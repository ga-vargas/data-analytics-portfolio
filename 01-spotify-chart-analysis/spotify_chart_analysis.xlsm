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WebImage.xml" ContentType="application/vnd.ms-excel.rdrichvaluewebimage+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hidePivotFieldList="1" defaultThemeVersion="202300"/>
  <mc:AlternateContent xmlns:mc="http://schemas.openxmlformats.org/markup-compatibility/2006">
    <mc:Choice Requires="x15">
      <x15ac:absPath xmlns:x15ac="http://schemas.microsoft.com/office/spreadsheetml/2010/11/ac" url="C:\BYU-Idaho\BA215 - Advanced Excel\Project 2\"/>
    </mc:Choice>
  </mc:AlternateContent>
  <xr:revisionPtr revIDLastSave="0" documentId="13_ncr:1_{3BC9F9DC-3D8E-4352-8A63-B07ED801A155}" xr6:coauthVersionLast="47" xr6:coauthVersionMax="47" xr10:uidLastSave="{00000000-0000-0000-0000-000000000000}"/>
  <bookViews>
    <workbookView xWindow="-120" yWindow="-120" windowWidth="29040" windowHeight="15720" xr2:uid="{16BA53BC-A5BC-3A4C-A168-0BE75AA54B1A}"/>
  </bookViews>
  <sheets>
    <sheet name="Summary" sheetId="2" r:id="rId1"/>
    <sheet name="Song Dashboard" sheetId="5" r:id="rId2"/>
    <sheet name="Analytics" sheetId="12" r:id="rId3"/>
    <sheet name="Statistical Summary" sheetId="21" r:id="rId4"/>
    <sheet name="Data Descriptions" sheetId="19" r:id="rId5"/>
    <sheet name="Project Requirements" sheetId="23" r:id="rId6"/>
    <sheet name="Raw_Data" sheetId="20" r:id="rId7"/>
  </sheets>
  <definedNames>
    <definedName name="_xlpm.lista" hidden="1" xlm="1">#NAME?</definedName>
  </definedNames>
  <calcPr calcId="191029"/>
  <pivotCaches>
    <pivotCache cacheId="0" r:id="rId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 i="5" l="1"/>
  <c r="B5" i="21" a="1"/>
  <c r="B5" i="21" s="1"/>
  <c r="B6" i="21" a="1"/>
  <c r="B6" i="21" s="1"/>
  <c r="B7" i="21" a="1"/>
  <c r="B7" i="21" s="1"/>
  <c r="B8" i="21" a="1"/>
  <c r="B8" i="21" s="1"/>
  <c r="B9" i="21" a="1"/>
  <c r="B9" i="21" s="1"/>
  <c r="B10" i="21" a="1"/>
  <c r="B10" i="21" s="1"/>
  <c r="C16" i="21" a="1"/>
  <c r="C16" i="21" s="1"/>
  <c r="D16" i="21" s="1"/>
  <c r="C17" i="21" a="1"/>
  <c r="C17" i="21" s="1"/>
  <c r="C18" i="21" a="1"/>
  <c r="C18" i="21" s="1"/>
  <c r="B24" i="21"/>
  <c r="C24" i="21"/>
  <c r="D24" i="21" s="1"/>
  <c r="B25" i="21"/>
  <c r="D25" i="21" s="1"/>
  <c r="C25" i="21"/>
  <c r="B26" i="21"/>
  <c r="C26" i="21"/>
  <c r="B27" i="21"/>
  <c r="C27" i="21"/>
  <c r="D27" i="21" s="1"/>
  <c r="B28" i="21"/>
  <c r="C28" i="21"/>
  <c r="B29" i="21"/>
  <c r="D29" i="21" s="1"/>
  <c r="C29" i="21"/>
  <c r="B30" i="21"/>
  <c r="C30" i="21"/>
  <c r="B31" i="21"/>
  <c r="C31" i="21"/>
  <c r="B32" i="21"/>
  <c r="C32" i="21"/>
  <c r="D32" i="21" s="1"/>
  <c r="B39" i="21" a="1"/>
  <c r="B39" i="21" s="1"/>
  <c r="D39" i="21" a="1"/>
  <c r="D39" i="21" s="1"/>
  <c r="C46" i="21" a="1"/>
  <c r="C46" i="21" s="1"/>
  <c r="D46" i="21" a="1"/>
  <c r="D46" i="21" s="1"/>
  <c r="C48" i="21" a="1"/>
  <c r="C48" i="21" s="1"/>
  <c r="D48" i="21" a="1"/>
  <c r="D48" i="21" s="1"/>
  <c r="C47" i="21" a="1"/>
  <c r="C47" i="21" s="1"/>
  <c r="D47" i="21" a="1"/>
  <c r="D47" i="21" s="1"/>
  <c r="C51" i="21" a="1"/>
  <c r="C51" i="21" s="1"/>
  <c r="D51" i="21" a="1"/>
  <c r="D51" i="21" s="1"/>
  <c r="E51" i="21" s="1"/>
  <c r="C49" i="21" a="1"/>
  <c r="C49" i="21" s="1"/>
  <c r="D49" i="21" a="1"/>
  <c r="D49" i="21" s="1"/>
  <c r="C50" i="21" a="1"/>
  <c r="C50" i="21" s="1"/>
  <c r="D50" i="21" a="1"/>
  <c r="D50" i="21" s="1"/>
  <c r="C56" i="21" a="1"/>
  <c r="C56" i="21" s="1"/>
  <c r="D56" i="21" a="1"/>
  <c r="D56" i="21" s="1"/>
  <c r="C55" i="21" a="1"/>
  <c r="C55" i="21" s="1"/>
  <c r="D55" i="21" a="1"/>
  <c r="D55" i="21" s="1"/>
  <c r="E55" i="21" s="1"/>
  <c r="C52" i="21" a="1"/>
  <c r="C52" i="21" s="1"/>
  <c r="D52" i="21" a="1"/>
  <c r="D52" i="21" s="1"/>
  <c r="C58" i="21" a="1"/>
  <c r="C58" i="21" s="1"/>
  <c r="D58" i="21" a="1"/>
  <c r="D58" i="21" s="1"/>
  <c r="C53" i="21" a="1"/>
  <c r="C53" i="21" s="1"/>
  <c r="D53" i="21" a="1"/>
  <c r="D53" i="21" s="1"/>
  <c r="C59" i="21" a="1"/>
  <c r="C59" i="21" s="1"/>
  <c r="D59" i="21" a="1"/>
  <c r="D59" i="21" s="1"/>
  <c r="E59" i="21" s="1"/>
  <c r="C60" i="21" a="1"/>
  <c r="C60" i="21" s="1"/>
  <c r="D60" i="21" a="1"/>
  <c r="D60" i="21" s="1"/>
  <c r="C54" i="21" a="1"/>
  <c r="C54" i="21" s="1"/>
  <c r="D54" i="21" a="1"/>
  <c r="D54" i="21" s="1"/>
  <c r="C57" i="21" a="1"/>
  <c r="C57" i="21" s="1"/>
  <c r="D57" i="21" a="1"/>
  <c r="D57" i="21" s="1"/>
  <c r="C61" i="21" a="1"/>
  <c r="C61" i="21" s="1"/>
  <c r="D61" i="21" a="1"/>
  <c r="D61" i="21" s="1"/>
  <c r="C62" i="21" a="1"/>
  <c r="C62" i="21" s="1"/>
  <c r="D62" i="21" a="1"/>
  <c r="D62" i="21" s="1"/>
  <c r="C63" i="21" a="1"/>
  <c r="C63" i="21" s="1"/>
  <c r="D63" i="21" a="1"/>
  <c r="D63" i="21" s="1"/>
  <c r="C64" i="21" a="1"/>
  <c r="C64" i="21" s="1"/>
  <c r="D64" i="21" a="1"/>
  <c r="D64" i="21" s="1"/>
  <c r="C65" i="21" a="1"/>
  <c r="C65" i="21" s="1"/>
  <c r="D65" i="21" a="1"/>
  <c r="D65" i="21" s="1"/>
  <c r="B70" i="21" a="1"/>
  <c r="B70" i="21" s="1"/>
  <c r="C70" i="21" a="1"/>
  <c r="C70" i="21" s="1"/>
  <c r="D70" i="21" s="1"/>
  <c r="E70" i="21"/>
  <c r="B71" i="21" a="1"/>
  <c r="B71" i="21" s="1"/>
  <c r="C71" i="21" a="1"/>
  <c r="C71" i="21"/>
  <c r="D71" i="21" s="1"/>
  <c r="E71" i="21"/>
  <c r="B72" i="21" a="1"/>
  <c r="B72" i="21" s="1"/>
  <c r="C72" i="21" a="1"/>
  <c r="C72" i="21" s="1"/>
  <c r="D72" i="21" s="1"/>
  <c r="E72" i="21"/>
  <c r="B73" i="21" a="1"/>
  <c r="B73" i="21" s="1"/>
  <c r="C73" i="21" a="1"/>
  <c r="C73" i="21" s="1"/>
  <c r="E73" i="21"/>
  <c r="B74" i="21" a="1"/>
  <c r="B74" i="21" s="1"/>
  <c r="C74" i="21" a="1"/>
  <c r="C74" i="21" s="1"/>
  <c r="D74" i="21" s="1"/>
  <c r="E74" i="21"/>
  <c r="B75" i="21" a="1"/>
  <c r="B75" i="21" s="1"/>
  <c r="C75" i="21" a="1"/>
  <c r="C75" i="21" s="1"/>
  <c r="D75" i="21" s="1"/>
  <c r="E75" i="21"/>
  <c r="B76" i="21" a="1"/>
  <c r="B76" i="21" s="1"/>
  <c r="C76" i="21" a="1"/>
  <c r="C76" i="21" s="1"/>
  <c r="E76" i="21"/>
  <c r="B77" i="21" a="1"/>
  <c r="B77" i="21" s="1"/>
  <c r="C77" i="21" a="1"/>
  <c r="C77" i="21" s="1"/>
  <c r="E77" i="21"/>
  <c r="B78" i="21" a="1"/>
  <c r="B78" i="21" s="1"/>
  <c r="C78" i="21" a="1"/>
  <c r="C78" i="21" s="1"/>
  <c r="D78" i="21" s="1"/>
  <c r="E78" i="21"/>
  <c r="B79" i="21" a="1"/>
  <c r="B79" i="21" s="1"/>
  <c r="C79" i="21" a="1"/>
  <c r="C79" i="21" s="1"/>
  <c r="D79" i="21" s="1"/>
  <c r="E79" i="21"/>
  <c r="B84" i="21" a="1"/>
  <c r="B84" i="21" s="1"/>
  <c r="C84" i="21" a="1"/>
  <c r="C84" i="21" s="1"/>
  <c r="D84" i="21" s="1"/>
  <c r="B85" i="21" a="1"/>
  <c r="B85" i="21"/>
  <c r="C85" i="21" a="1"/>
  <c r="C85" i="21" s="1"/>
  <c r="D85" i="21" s="1"/>
  <c r="B86" i="21" a="1"/>
  <c r="B86" i="21" s="1"/>
  <c r="C86" i="21" a="1"/>
  <c r="C86" i="21" s="1"/>
  <c r="D86" i="21" s="1"/>
  <c r="B87" i="21" a="1"/>
  <c r="B87" i="21" s="1"/>
  <c r="C87" i="21" a="1"/>
  <c r="C87" i="21" s="1"/>
  <c r="D87" i="21" s="1"/>
  <c r="B88" i="21" a="1"/>
  <c r="B88" i="21" s="1"/>
  <c r="C88" i="21" a="1"/>
  <c r="C88" i="21" s="1"/>
  <c r="D88" i="21" s="1"/>
  <c r="B89" i="21" a="1"/>
  <c r="B89" i="21" s="1"/>
  <c r="C89" i="21" a="1"/>
  <c r="C89" i="21" s="1"/>
  <c r="B90" i="21" a="1"/>
  <c r="B90" i="21" s="1"/>
  <c r="C90" i="21" a="1"/>
  <c r="C90" i="21" s="1"/>
  <c r="B91" i="21" a="1"/>
  <c r="B91" i="21" s="1"/>
  <c r="C91" i="21" a="1"/>
  <c r="C91" i="21" s="1"/>
  <c r="D91" i="21" s="1"/>
  <c r="B92" i="21" a="1"/>
  <c r="B92" i="21" s="1"/>
  <c r="C92" i="21" a="1"/>
  <c r="C92" i="21" s="1"/>
  <c r="B93" i="21" a="1"/>
  <c r="B93" i="21" s="1"/>
  <c r="C93" i="21" a="1"/>
  <c r="C93" i="21" s="1"/>
  <c r="B98" i="21" a="1"/>
  <c r="B98" i="21" s="1"/>
  <c r="C98" i="21" a="1"/>
  <c r="C98" i="21" s="1"/>
  <c r="B99" i="21" a="1"/>
  <c r="B99" i="21" s="1"/>
  <c r="C99" i="21" a="1"/>
  <c r="C99" i="21" s="1"/>
  <c r="B100" i="21" a="1"/>
  <c r="B100" i="21" s="1"/>
  <c r="C100" i="21" a="1"/>
  <c r="C100" i="21" s="1"/>
  <c r="B101" i="21" a="1"/>
  <c r="B101" i="21" s="1"/>
  <c r="B106" i="21"/>
  <c r="B107" i="21"/>
  <c r="B108" i="21"/>
  <c r="B109" i="21"/>
  <c r="B110" i="21"/>
  <c r="B111" i="21"/>
  <c r="B112" i="21"/>
  <c r="B113" i="21"/>
  <c r="B114" i="21"/>
  <c r="J21" i="5"/>
  <c r="J6" i="5"/>
  <c r="B16" i="5"/>
  <c r="G6" i="5" a="1"/>
  <c r="G6" i="5" s="1"/>
  <c r="C104" i="5"/>
  <c r="D102" i="5" s="1"/>
  <c r="C102" i="5"/>
  <c r="C101" i="5"/>
  <c r="C100" i="5"/>
  <c r="C99" i="5"/>
  <c r="C98" i="5"/>
  <c r="C97" i="5"/>
  <c r="C96" i="5"/>
  <c r="J33" i="5"/>
  <c r="X1812" i="20" a="1"/>
  <c r="X1812" i="20" s="1"/>
  <c r="J41" i="5"/>
  <c r="J39" i="5"/>
  <c r="J37" i="5"/>
  <c r="J35" i="5"/>
  <c r="J31" i="5"/>
  <c r="J29" i="5"/>
  <c r="J27" i="5"/>
  <c r="J23" i="5"/>
  <c r="J18" i="5"/>
  <c r="J16" i="5"/>
  <c r="J14" i="5"/>
  <c r="J12" i="5"/>
  <c r="J10" i="5"/>
  <c r="J8" i="5"/>
  <c r="BH4" i="5"/>
  <c r="E52" i="21" l="1"/>
  <c r="E65" i="21"/>
  <c r="E46" i="21"/>
  <c r="D89" i="21"/>
  <c r="E53" i="21"/>
  <c r="E56" i="21"/>
  <c r="E61" i="21"/>
  <c r="E48" i="21"/>
  <c r="D30" i="21"/>
  <c r="D76" i="21"/>
  <c r="D18" i="21"/>
  <c r="E57" i="21"/>
  <c r="E58" i="21"/>
  <c r="E50" i="21"/>
  <c r="D92" i="21"/>
  <c r="D28" i="21"/>
  <c r="D100" i="21"/>
  <c r="E64" i="21"/>
  <c r="E54" i="21"/>
  <c r="E49" i="21"/>
  <c r="E63" i="21"/>
  <c r="E60" i="21"/>
  <c r="D26" i="21"/>
  <c r="E47" i="21"/>
  <c r="D31" i="21"/>
  <c r="B11" i="21"/>
  <c r="D17" i="21"/>
  <c r="D19" i="21" s="1"/>
  <c r="C19" i="21"/>
  <c r="D40" i="21" a="1"/>
  <c r="D40" i="21" s="1"/>
  <c r="D41" i="21" s="1"/>
  <c r="E39" i="21" a="1"/>
  <c r="E39" i="21" s="1"/>
  <c r="F39" i="21"/>
  <c r="C39" i="21"/>
  <c r="D99" i="21"/>
  <c r="D90" i="21"/>
  <c r="D98" i="21"/>
  <c r="D77" i="21"/>
  <c r="D73" i="21"/>
  <c r="E62" i="21"/>
  <c r="D96" i="5"/>
  <c r="D97" i="5"/>
  <c r="D98" i="5"/>
  <c r="D99" i="5"/>
  <c r="D100" i="5"/>
  <c r="D101" i="5"/>
  <c r="X39" i="20" a="1"/>
  <c r="X39" i="20" s="1"/>
  <c r="E40" i="21" l="1" a="1"/>
  <c r="E40" i="21" s="1"/>
  <c r="E41" i="21" s="1"/>
  <c r="C101" i="21"/>
  <c r="D101" i="21" s="1"/>
  <c r="B40" i="21"/>
  <c r="C40" i="21" l="1"/>
  <c r="C41" i="21" s="1"/>
  <c r="B41" i="21"/>
  <c r="F40" i="21"/>
  <c r="B42" i="2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EF18DE8-6F13-42F2-997E-8AFA24A6D8E1}" keepAlive="1" name="Query - Raw_Data" description="Connection to the 'Raw_Data' query in the workbook." type="5" refreshedVersion="0" background="1">
    <dbPr connection="Provider=Microsoft.Mashup.OleDb.1;Data Source=$Workbook$;Location=Raw_Data;Extended Properties=&quot;&quot;" command="SELECT * FROM [Raw_Data]"/>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<sst xmlns="http://schemas.openxmlformats.org/spreadsheetml/2006/main" count="13826" uniqueCount="5025">
  <si>
    <t>Formulas</t>
  </si>
  <si>
    <t>Skill Growth</t>
  </si>
  <si>
    <t>A strong question is specific, measurable, and leads to actionable insights. Avoid broad topics; focus on a clear business issue. List your business question(s) here and a brief analysis.</t>
  </si>
  <si>
    <t>Technical Ability</t>
  </si>
  <si>
    <t>Technical Efficiency</t>
  </si>
  <si>
    <t>Analysis Quality</t>
  </si>
  <si>
    <t>Visualization Clarity</t>
  </si>
  <si>
    <t>Analysis and Visualizations</t>
  </si>
  <si>
    <t>Explain your Data</t>
  </si>
  <si>
    <t>Reflection on Your Process</t>
  </si>
  <si>
    <t>A successful professional will always be seeking ways to improve their skills. Describe how you have improved your skills during this week's project in the following areas:</t>
  </si>
  <si>
    <t>Good analysis starts with a strong question and reliable data. Share a link to your data and answer these questions: Why did you choose this data? How does it answer your business question(s)? What data cleaning did you have to do?</t>
  </si>
  <si>
    <t>Data Choice</t>
  </si>
  <si>
    <t>Business Question Relevance</t>
  </si>
  <si>
    <t>Data Cleaning</t>
  </si>
  <si>
    <t>Reflection</t>
  </si>
  <si>
    <t>Business Question(s)</t>
  </si>
  <si>
    <t>Data Source</t>
  </si>
  <si>
    <t>Chart Name</t>
  </si>
  <si>
    <t>Business Insight</t>
  </si>
  <si>
    <t>Formula</t>
  </si>
  <si>
    <t>Reason</t>
  </si>
  <si>
    <t>Each week, you are required to use a few specific formulas in your analysis. List the formulas you used this week and how you used them to find answers to your business question(s). Be specific.</t>
  </si>
  <si>
    <t>Chart Insights</t>
  </si>
  <si>
    <t>In this section, summarize the key business insights gained form the analysis, focusing on how the findings relate to decision-making, risk management, and real-world applications.</t>
  </si>
  <si>
    <t>On a clean sheet in this Excel workbook, present your findings from your analysis. Use good design principles. Make your insights easy to find at a glance. Then, in this section, write down an explanation for what each chart or graph is showing. Also answer the question, "What are the implications of this information?"</t>
  </si>
  <si>
    <t>R&amp;B</t>
  </si>
  <si>
    <t>HV Recordings</t>
  </si>
  <si>
    <t>Get You (feat. Kali Uchis)</t>
  </si>
  <si>
    <t>Christmas</t>
  </si>
  <si>
    <t>Island Records</t>
  </si>
  <si>
    <t>A Nonsense Christmas</t>
  </si>
  <si>
    <t>Sabrina Carpenter</t>
  </si>
  <si>
    <t>spotify:track:7yogx3TwxGwSxO2QITsT2q</t>
  </si>
  <si>
    <t>Dance Pop</t>
  </si>
  <si>
    <t>Def Jam Recordings</t>
  </si>
  <si>
    <t>S&amp;M</t>
  </si>
  <si>
    <t>Rihanna</t>
  </si>
  <si>
    <t>spotify:track:7ySUcLPVX7KudhnmNcgY2D</t>
  </si>
  <si>
    <t>Trap Brasileiro</t>
  </si>
  <si>
    <t>Supernova Entertainment</t>
  </si>
  <si>
    <t>Artista Genérico</t>
  </si>
  <si>
    <t>spotify:track:7yRlmQTjZ5pdtlq7ska9mj</t>
  </si>
  <si>
    <t>Alternative Pop</t>
  </si>
  <si>
    <t>Columbia</t>
  </si>
  <si>
    <t>Babydoll</t>
  </si>
  <si>
    <t>Dominic Fike</t>
  </si>
  <si>
    <t>spotify:track:7yNf9YjeO5JXUE3JEBgnYc</t>
  </si>
  <si>
    <t>Hip-Hop/Rap</t>
  </si>
  <si>
    <t>Cactus Jack / Epic</t>
  </si>
  <si>
    <t>DUMBO</t>
  </si>
  <si>
    <t>Travis Scott</t>
  </si>
  <si>
    <t>RBMG/Def Jam</t>
  </si>
  <si>
    <t>Mistletoe</t>
  </si>
  <si>
    <t>Justin Bieber</t>
  </si>
  <si>
    <t>spotify:track:7xapw9Oy21WpfEcib2ErSA</t>
  </si>
  <si>
    <t>Turkish Rap</t>
  </si>
  <si>
    <t>ZUNA</t>
  </si>
  <si>
    <t>PERDE</t>
  </si>
  <si>
    <t>Poizi</t>
  </si>
  <si>
    <t>spotify:track:7xYtgtwlgXvpiTnXUAkceF</t>
  </si>
  <si>
    <t>Regional Mexicano</t>
  </si>
  <si>
    <t>Double P Records</t>
  </si>
  <si>
    <t>ni pedo</t>
  </si>
  <si>
    <t>spotify:track:7xLfNI4gRNTu6FyXJlzBW5</t>
  </si>
  <si>
    <t>AWGE/Interscope Records</t>
  </si>
  <si>
    <t>CRANK</t>
  </si>
  <si>
    <t>Playboi Carti</t>
  </si>
  <si>
    <t>spotify:track:7xAvtuHf8nGi5OtXVPYgb3</t>
  </si>
  <si>
    <t>Rock</t>
  </si>
  <si>
    <t>Sony Music UK</t>
  </si>
  <si>
    <t>Total Eclipse of the Heart</t>
  </si>
  <si>
    <t>Bonnie Tyler</t>
  </si>
  <si>
    <t>spotify:track:7wuJGgpTNzbUyn26IOY6rj</t>
  </si>
  <si>
    <t>Indie Pop</t>
  </si>
  <si>
    <t>Republic Records</t>
  </si>
  <si>
    <t>The Cut That Always Bleeds</t>
  </si>
  <si>
    <t>Conan Gray</t>
  </si>
  <si>
    <t>spotify:track:7wTqEW5nrMhvyEhEyTnOMd</t>
  </si>
  <si>
    <t>Alternative</t>
  </si>
  <si>
    <t>Hotel Ugly, under exclusive license to Amuseio AB</t>
  </si>
  <si>
    <t>Shut up My Moms Calling</t>
  </si>
  <si>
    <t>Hotel Ugly</t>
  </si>
  <si>
    <t>Heavy Metal</t>
  </si>
  <si>
    <t>Epic</t>
  </si>
  <si>
    <t>No More Tears</t>
  </si>
  <si>
    <t>Ozzy Osbourne</t>
  </si>
  <si>
    <t>spotify:track:7w6PJe5KBPyvuRYxFkPssC</t>
  </si>
  <si>
    <t>Phonk</t>
  </si>
  <si>
    <t>ZXKAI</t>
  </si>
  <si>
    <t>NO BATIDÃO</t>
  </si>
  <si>
    <t>spotify:track:7vg9noSnFEyPfwLiaCW4vi</t>
  </si>
  <si>
    <t>Geffen</t>
  </si>
  <si>
    <t>Jingle Bell Rock</t>
  </si>
  <si>
    <t>Bobby Helms</t>
  </si>
  <si>
    <t>spotify:track:7vQbuQcyTflfCIOu3Uzzya</t>
  </si>
  <si>
    <t>Pop</t>
  </si>
  <si>
    <t>Taylor Swift</t>
  </si>
  <si>
    <t>Cleveland!</t>
  </si>
  <si>
    <t>spotify:track:7uxkx8HPBYkJKcimOyggUM</t>
  </si>
  <si>
    <t>Monkey Puzzle/Atlantic</t>
  </si>
  <si>
    <t>Snowman</t>
  </si>
  <si>
    <t>Sia</t>
  </si>
  <si>
    <t>spotify:track:7uoFMmxln0GPXQ0AcCBXRq</t>
  </si>
  <si>
    <t>Capitol Records</t>
  </si>
  <si>
    <t>Great Expectation</t>
  </si>
  <si>
    <t>SIENNA SPIRO</t>
  </si>
  <si>
    <t>spotify:track:7ujApz6iFP3PmKIDGcaGbe</t>
  </si>
  <si>
    <t>Wicked Awesome/Kid Cudi</t>
  </si>
  <si>
    <t>Maui Wowie</t>
  </si>
  <si>
    <t>Kid Cudi</t>
  </si>
  <si>
    <t>spotify:track:7uJUDd92ZfawO5clVSY0dq</t>
  </si>
  <si>
    <t>Blue Strips</t>
  </si>
  <si>
    <t>Jessie Murph</t>
  </si>
  <si>
    <t>spotify:track:7u7IqryLFAygWFz6bsEB7y</t>
  </si>
  <si>
    <t>K-Pop</t>
  </si>
  <si>
    <t>Republic Records - Stray Kids</t>
  </si>
  <si>
    <t>DIVINE</t>
  </si>
  <si>
    <t>Stray Kids</t>
  </si>
  <si>
    <t>spotify:track:7tvHcZM7GcXJQ1rKWuwRgp</t>
  </si>
  <si>
    <t>Warner Records</t>
  </si>
  <si>
    <t>Homewrecker</t>
  </si>
  <si>
    <t>sombr</t>
  </si>
  <si>
    <t>spotify:track:7tICCrK3CcyRFKza7yrR0z</t>
  </si>
  <si>
    <t>BIGHIT MUSIC</t>
  </si>
  <si>
    <t>Who</t>
  </si>
  <si>
    <t>Jimin</t>
  </si>
  <si>
    <t>spotify:track:7tI8dRuH2Yc6RuoTjxo4dU</t>
  </si>
  <si>
    <t>Reggaeton</t>
  </si>
  <si>
    <t>Rimas Entertainment LLC.</t>
  </si>
  <si>
    <t>TURiSTA</t>
  </si>
  <si>
    <t>Bad Bunny</t>
  </si>
  <si>
    <t>spotify:track:7tCuCjhxzjX2XCz4JiiAsp</t>
  </si>
  <si>
    <t>Interscope Records</t>
  </si>
  <si>
    <t>Die With A Smile</t>
  </si>
  <si>
    <t>Hard Rock</t>
  </si>
  <si>
    <t>Guns N Roses P&amp;D</t>
  </si>
  <si>
    <t>Sweet Child O' Mine</t>
  </si>
  <si>
    <t>Guns N' Roses</t>
  </si>
  <si>
    <t>spotify:track:7snQQk1zcKl8gZ92AnueZW</t>
  </si>
  <si>
    <t>NADIE</t>
  </si>
  <si>
    <t>Tito Double P</t>
  </si>
  <si>
    <t>spotify:track:7sd6zMrgGpEa7NkQm9TRrg</t>
  </si>
  <si>
    <t>Country</t>
  </si>
  <si>
    <t>SAWGOD/Columbia</t>
  </si>
  <si>
    <t>Choosin' Texas</t>
  </si>
  <si>
    <t>Ella Langley</t>
  </si>
  <si>
    <t>SMG Music LLC &amp; Friends Keep Secrets under exclusive license to Interscope Records</t>
  </si>
  <si>
    <t>How Does It Feel To Be Forgotten</t>
  </si>
  <si>
    <t>spotify:track:7sFMOSnRBa6td4lZa1oiTI</t>
  </si>
  <si>
    <t>Are You Listening Yet?</t>
  </si>
  <si>
    <t>Harry Styles</t>
  </si>
  <si>
    <t>spotify:track:7s7v5EoNLD6TwDu4Nw51Oy</t>
  </si>
  <si>
    <t>5020 Records</t>
  </si>
  <si>
    <t>mi refe</t>
  </si>
  <si>
    <t>spotify:track:7ricDBUakN3N0YkkKE8Obu</t>
  </si>
  <si>
    <t>back to friends</t>
  </si>
  <si>
    <t>Atlantic Records UK</t>
  </si>
  <si>
    <t>Shape of You</t>
  </si>
  <si>
    <t>Ed Sheeran</t>
  </si>
  <si>
    <t>spotify:track:7qiZfU4dY1lWllzX7mPBI3</t>
  </si>
  <si>
    <t>Afro House</t>
  </si>
  <si>
    <t>Unjaps AB</t>
  </si>
  <si>
    <t>Papaoutai - Afro Soul</t>
  </si>
  <si>
    <t>Vertigo Berlin</t>
  </si>
  <si>
    <t>Someone You Loved</t>
  </si>
  <si>
    <t>Lewis Capaldi</t>
  </si>
  <si>
    <t>spotify:track:7qEHsqek33rTcFNT9PFqLf</t>
  </si>
  <si>
    <t>broke</t>
  </si>
  <si>
    <t>FREAKED OUT</t>
  </si>
  <si>
    <t>spotify:track:7pBzCp7qNLlsH6rzEFkSwN</t>
  </si>
  <si>
    <t>Atlantic Records</t>
  </si>
  <si>
    <t>FEVER DREAM</t>
  </si>
  <si>
    <t>Alex Warren</t>
  </si>
  <si>
    <t>spotify:track:7ogpGbKc4Io6NCU6ydxXwZ</t>
  </si>
  <si>
    <t>JUMPIN (with Lil Uzi Vert)</t>
  </si>
  <si>
    <t>spotify:track:7oZOCPjlLpHZtIebTXhlfZ</t>
  </si>
  <si>
    <t>Rock with You - Single Version</t>
  </si>
  <si>
    <t>Michael Jackson</t>
  </si>
  <si>
    <t>spotify:track:7oOOI85fVQvVnK5ynNMdW7</t>
  </si>
  <si>
    <t>OVO/Republic</t>
  </si>
  <si>
    <t>What Did I Miss?</t>
  </si>
  <si>
    <t>Drake</t>
  </si>
  <si>
    <t>Flamenco</t>
  </si>
  <si>
    <t>La Rumba Del Perdón</t>
  </si>
  <si>
    <t>spotify:track:7o76sIawH9bRWsltcWfQfd</t>
  </si>
  <si>
    <t>we never dated</t>
  </si>
  <si>
    <t>spotify:track:7o3xJRQhpHRZ6IbyQX2xrp</t>
  </si>
  <si>
    <t>WEA Latina</t>
  </si>
  <si>
    <t>YOGURCITO REMIX (feat. Kris R., ROA)</t>
  </si>
  <si>
    <t>spotify:track:7nrd0eIftH3NQLfgk20Qp9</t>
  </si>
  <si>
    <t>Gracie Abrams, under exclusive license to Interscope Records</t>
  </si>
  <si>
    <t>That’s So True</t>
  </si>
  <si>
    <t>Gracie Abrams</t>
  </si>
  <si>
    <t>spotify:track:7ne4VBA60CxGM75vw0EYad</t>
  </si>
  <si>
    <t>Indie Folk</t>
  </si>
  <si>
    <t>Mercury Records</t>
  </si>
  <si>
    <t>Paid Time Off</t>
  </si>
  <si>
    <t>Noah Kahan</t>
  </si>
  <si>
    <t>spotify:track:7mOe6qQYMq1MCzJcifwPu4</t>
  </si>
  <si>
    <t>Parlophone UK</t>
  </si>
  <si>
    <t>Can't Get You out of My Head</t>
  </si>
  <si>
    <t>Kylie Minogue</t>
  </si>
  <si>
    <t>spotify:track:7m2g1kKuF7Tre2PzjK3Lnh</t>
  </si>
  <si>
    <t>Galactic / Republic Records</t>
  </si>
  <si>
    <t>Dark Thoughts</t>
  </si>
  <si>
    <t>Lil Tecca</t>
  </si>
  <si>
    <t>Eminem Catalog PS</t>
  </si>
  <si>
    <t>Without Me</t>
  </si>
  <si>
    <t>Eminem</t>
  </si>
  <si>
    <t>spotify:track:7lQ8MOhq6IN2w8EYcFNSUk</t>
  </si>
  <si>
    <t>YO y TÚ</t>
  </si>
  <si>
    <t>spotify:track:7koAf6aZgjO6TS7bipfPD0</t>
  </si>
  <si>
    <t>ITNO/Columbia</t>
  </si>
  <si>
    <t>Another Love</t>
  </si>
  <si>
    <t>Tom Odell</t>
  </si>
  <si>
    <t>spotify:track:7jtQIBanIiJOMS6RyCx6jZ</t>
  </si>
  <si>
    <t>PERRO NEGRO</t>
  </si>
  <si>
    <t>spotify:track:7iQXYTyuG13aoeHxGG28Nh</t>
  </si>
  <si>
    <t>Big Loud Records / Mercury Records / Republic Records</t>
  </si>
  <si>
    <t>Love Somebody</t>
  </si>
  <si>
    <t>Morgan Wallen</t>
  </si>
  <si>
    <t>Rancho Humilde/Sony Music Latin</t>
  </si>
  <si>
    <t>Amigos? No.</t>
  </si>
  <si>
    <t>American Girls</t>
  </si>
  <si>
    <t>spotify:track:7gtG45ieyQzKtNKobfLd49</t>
  </si>
  <si>
    <t>Die On This Hill</t>
  </si>
  <si>
    <t>PLG - Capitol</t>
  </si>
  <si>
    <t>Nice To Each Other</t>
  </si>
  <si>
    <t>Olivia Dean</t>
  </si>
  <si>
    <t>spotify:track:7gKxCvTDWwV9wBhdeBbr3l</t>
  </si>
  <si>
    <t>Legacy Recordings</t>
  </si>
  <si>
    <t>Sleigh Ride</t>
  </si>
  <si>
    <t>The Ronettes</t>
  </si>
  <si>
    <t>spotify:track:7fUYUcWy853HS8YJn0b3Sr</t>
  </si>
  <si>
    <t>The Weeknd/Lyric</t>
  </si>
  <si>
    <t>The Hills</t>
  </si>
  <si>
    <t>The Weeknd</t>
  </si>
  <si>
    <t>spotify:track:7fBv7CLKzipRk6EC6TWHOB</t>
  </si>
  <si>
    <t>Human Re Sources</t>
  </si>
  <si>
    <t>WHERE IS MY HUSBAND!</t>
  </si>
  <si>
    <t>RAYE</t>
  </si>
  <si>
    <t>Southern Rock</t>
  </si>
  <si>
    <t>Geffen*</t>
  </si>
  <si>
    <t>Sweet Home Alabama</t>
  </si>
  <si>
    <t>Lynyrd Skynyrd</t>
  </si>
  <si>
    <t>spotify:track:7e89621JPkKaeDSTQ3avtg</t>
  </si>
  <si>
    <t>House</t>
  </si>
  <si>
    <t>Jamaican (Bam Bam)</t>
  </si>
  <si>
    <t>VeLDÁ</t>
  </si>
  <si>
    <t>spotify:track:7d6yK8v8J484SWH5prIQiE</t>
  </si>
  <si>
    <t>Cor(e)</t>
  </si>
  <si>
    <t>What You Saying</t>
  </si>
  <si>
    <t>Lil Uzi Vert</t>
  </si>
  <si>
    <t>spotify:track:7cjoZVmWe2xsGR4wcXiV2v</t>
  </si>
  <si>
    <t>Universal Music AB</t>
  </si>
  <si>
    <t>Talking Body</t>
  </si>
  <si>
    <t>Tove Lo</t>
  </si>
  <si>
    <t>spotify:track:7cgu4JBW3hq1GwTM1ilkKQ</t>
  </si>
  <si>
    <t>UMLE - Latino</t>
  </si>
  <si>
    <t>LUNA</t>
  </si>
  <si>
    <t>spotify:track:7bywjHOc0wSjGGbj04XbVi</t>
  </si>
  <si>
    <t>Psychedelic Pop</t>
  </si>
  <si>
    <t>Loser</t>
  </si>
  <si>
    <t>Tame Impala</t>
  </si>
  <si>
    <t>spotify:track:7bxaFZ1O3cHkgLKMsdC3xR</t>
  </si>
  <si>
    <t>Columbia Nashville</t>
  </si>
  <si>
    <t>Be By You</t>
  </si>
  <si>
    <t>Luke Combs</t>
  </si>
  <si>
    <t>spotify:track:7aLndReanHBzpTGE5Am9H8</t>
  </si>
  <si>
    <t>SM Entertainment</t>
  </si>
  <si>
    <t>LEMONADE</t>
  </si>
  <si>
    <t>aespa</t>
  </si>
  <si>
    <t>Porch Light</t>
  </si>
  <si>
    <t>EDM</t>
  </si>
  <si>
    <t>Outside (feat. Ellie Goulding)</t>
  </si>
  <si>
    <t>spotify:track:7MmG8p0F9N3C4AXdK6o6Eb</t>
  </si>
  <si>
    <t>Starboy</t>
  </si>
  <si>
    <t>spotify:track:7MXVkk9YMctZqd1Srtv4MB</t>
  </si>
  <si>
    <t>Rhino Atlantic</t>
  </si>
  <si>
    <t>This Christmas</t>
  </si>
  <si>
    <t>Donny Hathaway</t>
  </si>
  <si>
    <t>spotify:track:7MSYSOobsombc1mbDWFxtD</t>
  </si>
  <si>
    <t>Universal Music Enterprises</t>
  </si>
  <si>
    <t>Christmas Time</t>
  </si>
  <si>
    <t>Bryan Adams</t>
  </si>
  <si>
    <t>spotify:track:7LoFMtL7hxP9tr5HYyyUrJ</t>
  </si>
  <si>
    <t>O Holy Night - Spotify Singles Holiday</t>
  </si>
  <si>
    <t>Ravyn Lenae</t>
  </si>
  <si>
    <t>spotify:track:7L3OGWgJMQdXSbY3zgUt1Q</t>
  </si>
  <si>
    <t>Aftermath</t>
  </si>
  <si>
    <t>HUMBLE.</t>
  </si>
  <si>
    <t>Kendrick Lamar</t>
  </si>
  <si>
    <t>spotify:track:7KXjTSCq5nL1LoYtL7XAwS</t>
  </si>
  <si>
    <t>Lloud Co./RCA Records</t>
  </si>
  <si>
    <t>Born Again (feat. Doja Cat &amp; RAYE)</t>
  </si>
  <si>
    <t>Whisper My Name</t>
  </si>
  <si>
    <t>spotify:track:7KGHenqXZofXNm5MKDbT3J</t>
  </si>
  <si>
    <t>See You Again (feat. Kali Uchis)</t>
  </si>
  <si>
    <t>spotify:track:7KA4W4McWYRpgf0fWsJZWB</t>
  </si>
  <si>
    <t>La Yugular</t>
  </si>
  <si>
    <t>ROSALÍA</t>
  </si>
  <si>
    <t>spotify:track:7JKpS5rKsKWeVPZ0ojBqv9</t>
  </si>
  <si>
    <t>There's Nothing Holdin' Me Back</t>
  </si>
  <si>
    <t>Shawn Mendes</t>
  </si>
  <si>
    <t>spotify:track:7JJmb5XwzOO8jgpou264Ml</t>
  </si>
  <si>
    <t>Billie Jean</t>
  </si>
  <si>
    <t>spotify:track:7J1uxwnxfQLu4APicE5Rnj</t>
  </si>
  <si>
    <t>Reprise</t>
  </si>
  <si>
    <t>Santa Claus Is Coming to Town</t>
  </si>
  <si>
    <t>Michael Bublé</t>
  </si>
  <si>
    <t>spotify:track:7Ivelh8N9J25Yj9KKxYj6w</t>
  </si>
  <si>
    <t>Sertanejo</t>
  </si>
  <si>
    <t>Sony Music Entertainment</t>
  </si>
  <si>
    <t>Imã de Problema</t>
  </si>
  <si>
    <t>spotify:track:7HrDxxY2b7vOKxJHtqdXN6</t>
  </si>
  <si>
    <t>Olivia Rodrigo PS</t>
  </si>
  <si>
    <t>drop dead</t>
  </si>
  <si>
    <t>Olivia Rodrigo</t>
  </si>
  <si>
    <t>Gingerbread Man Records / Atlantic Records UK</t>
  </si>
  <si>
    <t>Sapphire</t>
  </si>
  <si>
    <t>LiAngelo Ball (G3) PS/Def Jam</t>
  </si>
  <si>
    <t>Tweaker</t>
  </si>
  <si>
    <t>GELO</t>
  </si>
  <si>
    <t>JRC Entertainment, LLC / ILH Production Co. LLC / Def Jam Recordings</t>
  </si>
  <si>
    <t>GLORY VOICE MEMO</t>
  </si>
  <si>
    <t>spotify:track:7H6hs7WkNG48fS3agm63MR</t>
  </si>
  <si>
    <t>YZY/gamma.</t>
  </si>
  <si>
    <t>WHATEVER WORKS</t>
  </si>
  <si>
    <t>spotify:track:7GVuAK4EmYP7gvlXA4JXqU</t>
  </si>
  <si>
    <t>Magnolias</t>
  </si>
  <si>
    <t>spotify:track:7GF92haKwJg9WUdnkTxRtr</t>
  </si>
  <si>
    <t>Winter Ahead (with PARK HYO SHIN)</t>
  </si>
  <si>
    <t>spotify:track:7G7mSV4BebkoHWwKTDvXu9</t>
  </si>
  <si>
    <t>Chappell Roan PS/ Island</t>
  </si>
  <si>
    <t>Red Wine Supernova</t>
  </si>
  <si>
    <t>Chappell Roan</t>
  </si>
  <si>
    <t>spotify:track:7FOgcfdz9Nx5V9lCNXdBYv</t>
  </si>
  <si>
    <t>Som Livre</t>
  </si>
  <si>
    <t>P do Pecado - Ao Vivo</t>
  </si>
  <si>
    <t>spotify:track:7EW7Yivb93qKAtp5qEm5of</t>
  </si>
  <si>
    <t>ESAU ORTIZ AZUARA/Sony Music Latin</t>
  </si>
  <si>
    <t>Triple Lavada (feat. Victor Mendivil) - Remix</t>
  </si>
  <si>
    <t>spotify:track:7DkOpEOBOwHg6VBj4blikS</t>
  </si>
  <si>
    <t>XO / Republic Records</t>
  </si>
  <si>
    <t>São Paulo (feat. Anitta)</t>
  </si>
  <si>
    <t>Flowers</t>
  </si>
  <si>
    <t>Miley Cyrus</t>
  </si>
  <si>
    <t>spotify:track:7DSAEUvxU8FajXtRloy8M0</t>
  </si>
  <si>
    <t>OVO Sound</t>
  </si>
  <si>
    <t>MOTH BALLS</t>
  </si>
  <si>
    <t>spotify:track:7DL2F2bueQycqYjqsjHYjG</t>
  </si>
  <si>
    <t>Sucka Free</t>
  </si>
  <si>
    <t>spotify:track:7DIMKlmJ0CL6eROkbptoqi</t>
  </si>
  <si>
    <t>Alternative Rock</t>
  </si>
  <si>
    <t>Sparks</t>
  </si>
  <si>
    <t>Coldplay</t>
  </si>
  <si>
    <t>One Of The Girls (with JENNIE, Lily Rose Depp)</t>
  </si>
  <si>
    <t>spotify:track:7CyPwkp0oE8Ro9Dd5CUDjW</t>
  </si>
  <si>
    <t>Bollywood</t>
  </si>
  <si>
    <t>YRF Music</t>
  </si>
  <si>
    <t>Barbaad (From "Saiyaara")</t>
  </si>
  <si>
    <t>spotify:track:7Csa4PStpuYIfUqNMKQ4V8</t>
  </si>
  <si>
    <t>2 Hard 4 The Radio</t>
  </si>
  <si>
    <t>spotify:track:7COiiObIVJIdBcW3J43Iy2</t>
  </si>
  <si>
    <t>Just the Way You Are</t>
  </si>
  <si>
    <t>Bruno Mars</t>
  </si>
  <si>
    <t>spotify:track:7BqBn9nzAq8spo5e7cZ0dJ</t>
  </si>
  <si>
    <t>Lil Monsters, LLC / Top Dawg Entertainment, LLC under exclusive license to Interscope Records and Capitol Records</t>
  </si>
  <si>
    <t>RUNWAY</t>
  </si>
  <si>
    <t>spotify:track:7BjcYqD0CqXnG45ezWSTYR</t>
  </si>
  <si>
    <t>Darkroom/Interscope Records</t>
  </si>
  <si>
    <t>CHIHIRO</t>
  </si>
  <si>
    <t>Billie Eilish</t>
  </si>
  <si>
    <t>spotify:track:7BRD7x5pt8Lqa1eGYC4dzj</t>
  </si>
  <si>
    <t>Disruptor Records/Columbia</t>
  </si>
  <si>
    <t>Closer</t>
  </si>
  <si>
    <t>spotify:track:7BKLCZ1jbUBVqRi2FVlTVw</t>
  </si>
  <si>
    <t>Fame is a Gun</t>
  </si>
  <si>
    <t>Addison Rae</t>
  </si>
  <si>
    <t>spotify:track:7B3BwNecBhKvNwSMOOl7Gk</t>
  </si>
  <si>
    <t>RCA Records Label</t>
  </si>
  <si>
    <t>TRYING ON SHOES</t>
  </si>
  <si>
    <t>Tate McRae</t>
  </si>
  <si>
    <t>spotify:track:7AxXJXqJOMRqkgZxvG3r6E</t>
  </si>
  <si>
    <t>I'm The Problem</t>
  </si>
  <si>
    <t>OA Entertainment/Columbia</t>
  </si>
  <si>
    <t>ExtraL (feat. Doechii)</t>
  </si>
  <si>
    <t>Epic/Legacy</t>
  </si>
  <si>
    <t>Crazy Train</t>
  </si>
  <si>
    <t>spotify:track:7ACxUo21jtTHzy7ZEV56vU</t>
  </si>
  <si>
    <t>BOKeTE</t>
  </si>
  <si>
    <t>spotify:track:79x7xtoCLpf6l32Zz6mWo4</t>
  </si>
  <si>
    <t>RPM</t>
  </si>
  <si>
    <t>Jangan Paksa Rindu</t>
  </si>
  <si>
    <t>Ifan Seventeen</t>
  </si>
  <si>
    <t>spotify:track:79tbBuciPV221EozY3RKQv</t>
  </si>
  <si>
    <t>FINE SHIT</t>
  </si>
  <si>
    <t>spotify:track:79mFFAOYcG8ZF6AN1JecAL</t>
  </si>
  <si>
    <t>My Body Isn't Ready</t>
  </si>
  <si>
    <t>spotify:track:79RJg6MqIJlBuedcMqB9F0</t>
  </si>
  <si>
    <t>Syco Music</t>
  </si>
  <si>
    <t>One More Sleep</t>
  </si>
  <si>
    <t>Leona Lewis</t>
  </si>
  <si>
    <t>spotify:track:78pn8k7RogKo2oxl0DyX6d</t>
  </si>
  <si>
    <t>Blessings</t>
  </si>
  <si>
    <t>spotify:track:78nx0HDJIFD5xDq2L5420Z</t>
  </si>
  <si>
    <t>CM/Republic</t>
  </si>
  <si>
    <t>She Will</t>
  </si>
  <si>
    <t>spotify:track:78O33U6jbQtNiNfbkZudpd</t>
  </si>
  <si>
    <t>HOMEGROWN MAFIA S.A. DE C.V./Sony Music México-Latin</t>
  </si>
  <si>
    <t>Te Quería Ver</t>
  </si>
  <si>
    <t>The Great Divide</t>
  </si>
  <si>
    <t>Electropop</t>
  </si>
  <si>
    <t>Chains of Love</t>
  </si>
  <si>
    <t>Charli xcx</t>
  </si>
  <si>
    <t>spotify:track:77qLAmRzMPetmXywybpH15</t>
  </si>
  <si>
    <t>Rancho Humilde/Street Mob Records/Sony Music Latin</t>
  </si>
  <si>
    <t>Por Esos Ojos</t>
  </si>
  <si>
    <t>Fuerza Regida</t>
  </si>
  <si>
    <t>A Holly Jolly Christmas</t>
  </si>
  <si>
    <t>Burl Ives</t>
  </si>
  <si>
    <t>Orbiter</t>
  </si>
  <si>
    <t>spotify:track:77fL8ATR0dpUDLI0XLmDBV</t>
  </si>
  <si>
    <t>OPM BABI</t>
  </si>
  <si>
    <t>spotify:track:76yJsfb1CUy5Um8nFL7jKQ</t>
  </si>
  <si>
    <t>The Way You Make Me Feel - 2012 Remaster</t>
  </si>
  <si>
    <t>spotify:track:76HKOVWqsEg26SECtmw7Rz</t>
  </si>
  <si>
    <t>Universal Records</t>
  </si>
  <si>
    <t>Into You</t>
  </si>
  <si>
    <t>Ariana Grande</t>
  </si>
  <si>
    <t>spotify:track:76FZM38RC8XaAjJ77CVTNe</t>
  </si>
  <si>
    <t>Parlophone Records Limited</t>
  </si>
  <si>
    <t>The Scientist</t>
  </si>
  <si>
    <t>spotify:track:75JFxkI2RXiU7L9VXzMkle</t>
  </si>
  <si>
    <t>SUIZA</t>
  </si>
  <si>
    <t>Calle 24</t>
  </si>
  <si>
    <t>spotify:track:7585wxMp2e3IhBq3tJAXgw</t>
  </si>
  <si>
    <t>Curb | Word</t>
  </si>
  <si>
    <t>Kiss Me</t>
  </si>
  <si>
    <t>Sixpence None The Richer</t>
  </si>
  <si>
    <t>spotify:track:754kgU5rWscRTfvlsuEwFp</t>
  </si>
  <si>
    <t>Make Them Remember</t>
  </si>
  <si>
    <t>spotify:track:73ycOMnODtUc2Ggj6EfCpO</t>
  </si>
  <si>
    <t>Bichota/Interscope Records</t>
  </si>
  <si>
    <t>Si Antes Te Hubiera Conocido</t>
  </si>
  <si>
    <t>KAROL G</t>
  </si>
  <si>
    <t>Country Rap</t>
  </si>
  <si>
    <t>BigXthaPlug under exclusive license to UnitedMasters LLC</t>
  </si>
  <si>
    <t>All The Way (feat. Bailey Zimmerman)</t>
  </si>
  <si>
    <t>spotify:track:73kIKvg65QWieOKXIwyLJP</t>
  </si>
  <si>
    <t>Superpowers</t>
  </si>
  <si>
    <t>Daniel Caesar</t>
  </si>
  <si>
    <t>spotify:track:736PP5LTtREkDgktNmX3Gu</t>
  </si>
  <si>
    <t>Easykid</t>
  </si>
  <si>
    <t>Shiny</t>
  </si>
  <si>
    <t>spotify:track:72aGCwuSwD5Qb3tHvXBoX3</t>
  </si>
  <si>
    <t>NO BATIDÃO - Slowed</t>
  </si>
  <si>
    <t>spotify:track:72YttnPRxyHe8zCG50jYhj</t>
  </si>
  <si>
    <t>ALL I CAN TAKE</t>
  </si>
  <si>
    <t>spotify:track:72PVbRKkUimweUPV0nKAPs</t>
  </si>
  <si>
    <t>Raim Laode</t>
  </si>
  <si>
    <t>Bersenja Gurau</t>
  </si>
  <si>
    <t>spotify:track:713QSDLoNYvs6PKBNOMi8b</t>
  </si>
  <si>
    <t>petal</t>
  </si>
  <si>
    <t>spotify:track:70pVCVMGjmIWPbWXDwf11e</t>
  </si>
  <si>
    <t>Nicole Kidman</t>
  </si>
  <si>
    <t>ADÉLA</t>
  </si>
  <si>
    <t>spotify:track:70cHKK8bHAfJrOGVnfRG9J</t>
  </si>
  <si>
    <t>XL Recordings</t>
  </si>
  <si>
    <t>Creep</t>
  </si>
  <si>
    <t>Radiohead</t>
  </si>
  <si>
    <t>spotify:track:70LcF31zb1H0PyJoS1Sx1r</t>
  </si>
  <si>
    <t>WNBA</t>
  </si>
  <si>
    <t>spotify:track:6zZvy88xp6FIjJKhqwnJeQ</t>
  </si>
  <si>
    <t>A$AP Worldwide/RCA Records</t>
  </si>
  <si>
    <t>HELICOPTER</t>
  </si>
  <si>
    <t>A$AP Rocky</t>
  </si>
  <si>
    <t>spotify:track:6zJ68ym0Buv2TpuUu8tw9A</t>
  </si>
  <si>
    <t>intro</t>
  </si>
  <si>
    <t>T-Series</t>
  </si>
  <si>
    <t>Jaiye Sajana</t>
  </si>
  <si>
    <t>spotify:track:6xwKNAUHeo2DbWNAPi8aEy</t>
  </si>
  <si>
    <t>Josa Records</t>
  </si>
  <si>
    <t>Mi Vida Mi Muerte</t>
  </si>
  <si>
    <t>Neton Vega</t>
  </si>
  <si>
    <t>Sugar On My Tongue</t>
  </si>
  <si>
    <t>spotify:track:6xV7Be6XEvkSnighmh2Tzj</t>
  </si>
  <si>
    <t>Street Mob Records</t>
  </si>
  <si>
    <t>ROSONES</t>
  </si>
  <si>
    <t>spotify:track:6x59lSlNU7TvsJZy7134uC</t>
  </si>
  <si>
    <t>We Almost Broke Up Again Last Night</t>
  </si>
  <si>
    <t>spotify:track:6wkYQMrFfb0huLB5Qn19Iv</t>
  </si>
  <si>
    <t>What Was I Made For? [From The Motion Picture "Barbie"]</t>
  </si>
  <si>
    <t>spotify:track:6wf7Yu7cxBSPrRlWeSeK0Q</t>
  </si>
  <si>
    <t>Eternity</t>
  </si>
  <si>
    <t>spotify:track:6wHpLMmp98aHcV8L1JFrj8</t>
  </si>
  <si>
    <t>Camera</t>
  </si>
  <si>
    <t>spotify:track:6vqyk3mbDBv3npTpctYoka</t>
  </si>
  <si>
    <t>spotify:track:6vjt2smGK75oc9r2OGFfgp</t>
  </si>
  <si>
    <t>Shabang</t>
  </si>
  <si>
    <t>spotify:track:6vjpQIdABqntoe3zPazPec</t>
  </si>
  <si>
    <t>Epic/Sing It Loud</t>
  </si>
  <si>
    <t>bittersweet</t>
  </si>
  <si>
    <t>Madison Beer</t>
  </si>
  <si>
    <t>High Fives</t>
  </si>
  <si>
    <t>spotify:track:6vAg7qqbiIrQhQtxPegLw1</t>
  </si>
  <si>
    <t>Vim Music</t>
  </si>
  <si>
    <t>El Mayor De Los Ranas</t>
  </si>
  <si>
    <t>spotify:track:6v5qt5KPQHJt5ckWuhDGtM</t>
  </si>
  <si>
    <t>Come Over</t>
  </si>
  <si>
    <t>BTS</t>
  </si>
  <si>
    <t>spotify:track:6uvw8GFIqdqaJ4Nr3kN8Rs</t>
  </si>
  <si>
    <t>Triple Lavada</t>
  </si>
  <si>
    <t>Esau Ortiz</t>
  </si>
  <si>
    <t>spotify:track:6uroNiDEDd0xFLiri0aQNk</t>
  </si>
  <si>
    <t>DALE PLAY Records / Flakk Team</t>
  </si>
  <si>
    <t>TU VAS SIN (fav)</t>
  </si>
  <si>
    <t>Rels B</t>
  </si>
  <si>
    <t>spotify:track:6uiQ0DqbXTBc8tl0AUKZkR</t>
  </si>
  <si>
    <t>Holly Jolly Christmas</t>
  </si>
  <si>
    <t>TSNMI / Atlantic</t>
  </si>
  <si>
    <t>Folded</t>
  </si>
  <si>
    <t>Kehlani</t>
  </si>
  <si>
    <t>So Easy (To Fall In Love)</t>
  </si>
  <si>
    <t>spotify:track:6sGIMrtIzQjdzNndVxe397</t>
  </si>
  <si>
    <t>4X4</t>
  </si>
  <si>
    <t>spotify:track:6s8WSX1MxNThrot8ThI6fG</t>
  </si>
  <si>
    <t>One More Night</t>
  </si>
  <si>
    <t>spotify:track:6s3w7SUVtmm68Bw5KrKMh0</t>
  </si>
  <si>
    <t>NITRON concepts</t>
  </si>
  <si>
    <t>Santa Claus Is Comin' to Town - Live at C.W. Post College, Greenvale, NY - December 1975</t>
  </si>
  <si>
    <t>Bruce Springsteen</t>
  </si>
  <si>
    <t>spotify:track:6s2wpWPFPAgKg2LXxi1Oee</t>
  </si>
  <si>
    <t>Funk Brasileiro</t>
  </si>
  <si>
    <t>Sonar Music</t>
  </si>
  <si>
    <t>Barbie</t>
  </si>
  <si>
    <t>spotify:track:6s1kzj4EbhFLXbuAGJbhbn</t>
  </si>
  <si>
    <t>Dashboard</t>
  </si>
  <si>
    <t>spotify:track:6rlU0kRQNjMZ7t5I92yCIi</t>
  </si>
  <si>
    <t>88rising Music</t>
  </si>
  <si>
    <t>SLOW DANCING IN THE DARK</t>
  </si>
  <si>
    <t>Joji</t>
  </si>
  <si>
    <t>spotify:track:6rY5FAWxCdAGllYEOZMbjW</t>
  </si>
  <si>
    <t>RC Music</t>
  </si>
  <si>
    <t>Amor</t>
  </si>
  <si>
    <t>Emmanuel Cortes</t>
  </si>
  <si>
    <t>spotify:track:6r6IPuFvUX72kQGc9b46rk</t>
  </si>
  <si>
    <t>Ordinary</t>
  </si>
  <si>
    <t>HBA</t>
  </si>
  <si>
    <t>spotify:track:6q2PbvM9UEig4r8xku7VIb</t>
  </si>
  <si>
    <t>Willing and Able</t>
  </si>
  <si>
    <t>spotify:track:6pk6E0SZxILzfaAGFngxEs</t>
  </si>
  <si>
    <t>Hundred Days Records, LLC</t>
  </si>
  <si>
    <t>Run Rudolph Run - Spotify Singles Holiday</t>
  </si>
  <si>
    <t>Mark Ambor</t>
  </si>
  <si>
    <t>spotify:track:6pheMGrfMwwnypqafU7d4k</t>
  </si>
  <si>
    <t>Jingle Bell Rock - Daryl's Version</t>
  </si>
  <si>
    <t>Daryl Hall &amp; John Oates</t>
  </si>
  <si>
    <t>spotify:track:6pVW5LRWgeLaHudxauOTJU</t>
  </si>
  <si>
    <t>Road Trips</t>
  </si>
  <si>
    <t>spotify:track:6p0Ai6wRjz9CmjqkhoKOwf</t>
  </si>
  <si>
    <t>Diet Pepsi</t>
  </si>
  <si>
    <t>spotify:track:6ouhsRJ7gExB7LCYjITk4Y</t>
  </si>
  <si>
    <t>Can't Stop</t>
  </si>
  <si>
    <t>Red Hot Chili Peppers</t>
  </si>
  <si>
    <t>Dress</t>
  </si>
  <si>
    <t>spotify:track:6oVxXO5oQ4pTpO8RSnkzvv</t>
  </si>
  <si>
    <t>HYBE/Geffen</t>
  </si>
  <si>
    <t>Hootie Frutti</t>
  </si>
  <si>
    <t>KATSEYE</t>
  </si>
  <si>
    <t>Reliquia do 2T</t>
  </si>
  <si>
    <t>spotify:track:6n9JMoXkXu4lDOu1k6MRpy</t>
  </si>
  <si>
    <t>Richy Mitch &amp; The Coal Miners</t>
  </si>
  <si>
    <t>Evergreen</t>
  </si>
  <si>
    <t>spotify:track:6me7F0aaZjwDo6RJ5MrfBD</t>
  </si>
  <si>
    <t>Nappy Boy/Konvict Muzik/RCA Records</t>
  </si>
  <si>
    <t>Up Down (Do This All Day) (feat. B.o.B)</t>
  </si>
  <si>
    <t>spotify:track:6lbhWl34Il0WXm5pX1fM9E</t>
  </si>
  <si>
    <t>Top Dawg Entertainment/RCA Records</t>
  </si>
  <si>
    <t>Open Arms (feat. Travis Scott)</t>
  </si>
  <si>
    <t>spotify:track:6koKhrBBcExADvWuOgceNZ</t>
  </si>
  <si>
    <t>maggots for brains</t>
  </si>
  <si>
    <t>spotify:track:6jfiwkcwt8iYCdkbLukxeI</t>
  </si>
  <si>
    <t>Like Him (feat. Lola Young)</t>
  </si>
  <si>
    <t>spotify:track:6jbYpRPTEFl1HFKHk1IC0m</t>
  </si>
  <si>
    <t>EVIL J0RDAN</t>
  </si>
  <si>
    <t>spotify:track:6iycYUk3oB0NPMdaDUrN1w</t>
  </si>
  <si>
    <t>Me Rehúso</t>
  </si>
  <si>
    <t>Danny Ocean</t>
  </si>
  <si>
    <t>spotify:track:6ifUES3keWjwXgae8pXI3o</t>
  </si>
  <si>
    <t>La Plena - W Sound 05</t>
  </si>
  <si>
    <t>spotify:track:6iOndD4OFo7GkaDypWQIou</t>
  </si>
  <si>
    <t>Universal Music Spain S.L.</t>
  </si>
  <si>
    <t>SUPERESTRELLA</t>
  </si>
  <si>
    <t>Aitana</t>
  </si>
  <si>
    <t>spotify:track:6hpuesKPNa3WhV48O7Fa47</t>
  </si>
  <si>
    <t>The One That Got Away</t>
  </si>
  <si>
    <t>Katy Perry</t>
  </si>
  <si>
    <t>HITS Records</t>
  </si>
  <si>
    <t>Anugerah Terindah</t>
  </si>
  <si>
    <t>Andmesh</t>
  </si>
  <si>
    <t>spotify:track:6gjkHuMOR0CrN7Vb2NoEdg</t>
  </si>
  <si>
    <t>goosebumps</t>
  </si>
  <si>
    <t>spotify:track:6gBFPUFcJLzWGx4lenP6h2</t>
  </si>
  <si>
    <t>Photograph</t>
  </si>
  <si>
    <t>spotify:track:6fxVffaTuwjgEk5h9QyRjy</t>
  </si>
  <si>
    <t>BELIFT LAB</t>
  </si>
  <si>
    <t>ICONIC BY MISTAKE</t>
  </si>
  <si>
    <t>spotify:track:6fl4Gu0lJm5hc8FM5JzCZD</t>
  </si>
  <si>
    <t>I Just Might</t>
  </si>
  <si>
    <t>Baby</t>
  </si>
  <si>
    <t>spotify:track:6epn3r7S14KUqlReYr77hA</t>
  </si>
  <si>
    <t>Vingolf Recordings</t>
  </si>
  <si>
    <t>Winter Wonderland</t>
  </si>
  <si>
    <t>Laufey</t>
  </si>
  <si>
    <t>spotify:track:6eODMWDVi22dpEZJoqg5h7</t>
  </si>
  <si>
    <t>TU SANCHO</t>
  </si>
  <si>
    <t>spotify:track:6eLQXa6uk2EW8drsiKbABZ</t>
  </si>
  <si>
    <t>WM Sweden</t>
  </si>
  <si>
    <t>Bara Bada Bastu</t>
  </si>
  <si>
    <t>KAJ</t>
  </si>
  <si>
    <t>spotify:track:6eIzQCYExfnNeM7KOlE3lE</t>
  </si>
  <si>
    <t>One Time</t>
  </si>
  <si>
    <t>spotify:track:6eDApnV9Jdb1nYahOlbbUh</t>
  </si>
  <si>
    <t>Nonsense</t>
  </si>
  <si>
    <t>spotify:track:6dgUya35uo964z7GZXM07g</t>
  </si>
  <si>
    <t>BIRDS OF A FEATHER</t>
  </si>
  <si>
    <t>spotify:track:6dOtVTDdiauQNBQEDOtlAB</t>
  </si>
  <si>
    <t>TV Girl</t>
  </si>
  <si>
    <t>Lovers Rock</t>
  </si>
  <si>
    <t>spotify:track:6dBUzqjtbnIa1TwYbyw5CM</t>
  </si>
  <si>
    <t>Confident</t>
  </si>
  <si>
    <t>spotify:track:6czM6UMQD9qE5GAUp68oud</t>
  </si>
  <si>
    <t>Don’t Worry</t>
  </si>
  <si>
    <t>spotify:track:6cYGpGmnMeK9qWhRpaZOZ5</t>
  </si>
  <si>
    <t>Italian Pop</t>
  </si>
  <si>
    <t>Warner Music</t>
  </si>
  <si>
    <t>BATTITO</t>
  </si>
  <si>
    <t>Fedez</t>
  </si>
  <si>
    <t>spotify:track:6bfy5e5jWNcNSFAJzsMPED</t>
  </si>
  <si>
    <t>Touch</t>
  </si>
  <si>
    <t>spotify:track:6aJn7Cst74cj4lNIiPRgav</t>
  </si>
  <si>
    <t>UNI/MOTOWN</t>
  </si>
  <si>
    <t>Santa Claus Is Coming To Town</t>
  </si>
  <si>
    <t>The Jackson 5</t>
  </si>
  <si>
    <t>spotify:track:6a1hzBiTkgqTsDA0Xgfh9z</t>
  </si>
  <si>
    <t>Summer</t>
  </si>
  <si>
    <t>Calvin Harris</t>
  </si>
  <si>
    <t>spotify:track:6YUTL4dYpB9xZO5qExPf05</t>
  </si>
  <si>
    <t>ROCKSTAR</t>
  </si>
  <si>
    <t>Junior H</t>
  </si>
  <si>
    <t>spotify:track:6YOfGIE6iFxC7G8OlGGvzW</t>
  </si>
  <si>
    <t>Moscow Mule</t>
  </si>
  <si>
    <t>spotify:track:6Xom58OOXk2SoU711L2IXO</t>
  </si>
  <si>
    <t>2024 Double P Records</t>
  </si>
  <si>
    <t>EL LOKERON</t>
  </si>
  <si>
    <t>spotify:track:6X6m4xmdFcz31p1h7Qg68c</t>
  </si>
  <si>
    <t>Messy (From F1® The Movie)</t>
  </si>
  <si>
    <t>spotify:track:6Wobsw9uZ0D0xkfOjxXSq9</t>
  </si>
  <si>
    <t>GIRLS</t>
  </si>
  <si>
    <t>The Kid LAROI</t>
  </si>
  <si>
    <t>spotify:track:6WhwHYd38f4ZB2CefpDgLo</t>
  </si>
  <si>
    <t>spotify:track:6WatFBLVB0x077xWeoVc2k</t>
  </si>
  <si>
    <t>CAFé CON RON</t>
  </si>
  <si>
    <t>spotify:track:6VNXmo59yDYgcwLS17UNAW</t>
  </si>
  <si>
    <t>Ain't In LA</t>
  </si>
  <si>
    <t>K2ID PRODUCTION LIMITED</t>
  </si>
  <si>
    <t>Bangaranga</t>
  </si>
  <si>
    <t>DARA</t>
  </si>
  <si>
    <t>spotify:track:6SvlfrQYzUsW5UQUpUpy26</t>
  </si>
  <si>
    <t>Ivonny Bonita</t>
  </si>
  <si>
    <t>spotify:track:6Sv0CzVqzydd7NYQgAG70c</t>
  </si>
  <si>
    <t>Nalguita y Teta</t>
  </si>
  <si>
    <t>spotify:track:6SuIUd8Wl5tZcyMFAV0EZJ</t>
  </si>
  <si>
    <t>Me Porto Bonito</t>
  </si>
  <si>
    <t>spotify:track:6Sq7ltF9Qa7SNFBsV5Cogx</t>
  </si>
  <si>
    <t>start a war</t>
  </si>
  <si>
    <t>JENNIE</t>
  </si>
  <si>
    <t>spotify:track:6SaSFVlIQC1L6Fh1QKLeFi</t>
  </si>
  <si>
    <t>Elektra (NEK)</t>
  </si>
  <si>
    <t>Marry You</t>
  </si>
  <si>
    <t>spotify:track:6SKwQghsR8AISlxhcwyA9R</t>
  </si>
  <si>
    <t>New Music</t>
  </si>
  <si>
    <t>Descer Pra BC</t>
  </si>
  <si>
    <t>spotify:track:6RzcNTnS02dnqoQMdTkQwi</t>
  </si>
  <si>
    <t>Something Just Like This</t>
  </si>
  <si>
    <t>spotify:track:6RUKPb4LETWmmr3iAEQktW</t>
  </si>
  <si>
    <t>Iris</t>
  </si>
  <si>
    <t>The Goo Goo Dolls</t>
  </si>
  <si>
    <t>spotify:track:6Qyc6fS4DsZjB2mRW9DsQs</t>
  </si>
  <si>
    <t>Cha Cha Cha</t>
  </si>
  <si>
    <t>spotify:track:6QletrrmpkUpeJkipX9pgf</t>
  </si>
  <si>
    <t>freak</t>
  </si>
  <si>
    <t>spotify:track:6QhsCYcFdfyMbPWCiViI8K</t>
  </si>
  <si>
    <t>Beauty And A Beat</t>
  </si>
  <si>
    <t>spotify:track:6QFCMUUq1T2Vf5sFUXcuQ7</t>
  </si>
  <si>
    <t>LOVE. FEAT. ZACARI.</t>
  </si>
  <si>
    <t>spotify:track:6PGoSes0D9eUDeeAafB2As</t>
  </si>
  <si>
    <t>Deny Deny Deny</t>
  </si>
  <si>
    <t>spotify:track:6OICC2Us0JVbUgGXFJJOzZ</t>
  </si>
  <si>
    <t>Nicky Jam</t>
  </si>
  <si>
    <t>Hiekka</t>
  </si>
  <si>
    <t>spotify:track:6OCNg7QchXJMww1LHMjIzb</t>
  </si>
  <si>
    <t>Shadow Of A Man</t>
  </si>
  <si>
    <t>Lady Gaga</t>
  </si>
  <si>
    <t>spotify:track:6OC87jHRiovNPEUrgaqFSu</t>
  </si>
  <si>
    <t>Candela Music</t>
  </si>
  <si>
    <t>Cuando No Era Cantante</t>
  </si>
  <si>
    <t>12 to 12</t>
  </si>
  <si>
    <t>big feelings</t>
  </si>
  <si>
    <t>spotify:track:6MFSqc8pzXlwfzXqWZEKd4</t>
  </si>
  <si>
    <t>Coração Partido (Corazón Partío) - Ao Vivo</t>
  </si>
  <si>
    <t>Grupo Menos É Mais</t>
  </si>
  <si>
    <t>spotify:track:6Kyl2nFgU0J8WBlbBvDv6g</t>
  </si>
  <si>
    <t>SILET OPEN UP</t>
  </si>
  <si>
    <t>TABOLA BALE</t>
  </si>
  <si>
    <t>spotify:track:6KfugJFINWqA42k59hmjFr</t>
  </si>
  <si>
    <t>Universal-Island Records Ltd.</t>
  </si>
  <si>
    <t>One Thing</t>
  </si>
  <si>
    <t>Lola Young</t>
  </si>
  <si>
    <t>spotify:track:6KFQdIB3njXBQNcg1xUh9U</t>
  </si>
  <si>
    <t>Universal Music Australia Pty. Ltd.</t>
  </si>
  <si>
    <t>The Less I Know The Better</t>
  </si>
  <si>
    <t>spotify:track:6K4t31amVTZDgR3sKmwUJJ</t>
  </si>
  <si>
    <t>EoO</t>
  </si>
  <si>
    <t>spotify:track:6J5kc12BW5HuP3d7C3vvx8</t>
  </si>
  <si>
    <t>It's Beginning to Look a Lot Like Christmas (with Mitchell Ayres &amp; His Orchestra)</t>
  </si>
  <si>
    <t>spotify:track:6IeK3Ap5m3HabwJxgI6eSE</t>
  </si>
  <si>
    <t>PRIDE.</t>
  </si>
  <si>
    <t>spotify:track:6IZvVAP7VPPnsGX6bvgkqg</t>
  </si>
  <si>
    <t>world in red</t>
  </si>
  <si>
    <t>we fell in love in october</t>
  </si>
  <si>
    <t>girl in red</t>
  </si>
  <si>
    <t>spotify:track:6IPwKM3fUUzlElbvKw2sKl</t>
  </si>
  <si>
    <t>Jive</t>
  </si>
  <si>
    <t>Toxic</t>
  </si>
  <si>
    <t>Britney Spears</t>
  </si>
  <si>
    <t>spotify:track:6I9VzXrHxO9rA9A5euc8Ak</t>
  </si>
  <si>
    <t>Ghost</t>
  </si>
  <si>
    <t>spotify:track:6I3mqTwhRpn34SLVafSH7G</t>
  </si>
  <si>
    <t>ESCAPATE</t>
  </si>
  <si>
    <t>spotify:track:6HrALJOMsfPCCbUo5cJCON</t>
  </si>
  <si>
    <t>Damn Right (feat. Childish Gambino &amp; Kali Uchis)</t>
  </si>
  <si>
    <t>spotify:track:6HjYE79OOCGEhkIRfXLqrz</t>
  </si>
  <si>
    <t>u + me = &lt;3</t>
  </si>
  <si>
    <t>spotify:track:6Hdc3IQeyCxG5d14uAcwQW</t>
  </si>
  <si>
    <t>deja vu</t>
  </si>
  <si>
    <t>spotify:track:6HU7h9RYOaPRFeh0R3UeAr</t>
  </si>
  <si>
    <t>Season 2 Weight Loss</t>
  </si>
  <si>
    <t>spotify:track:6GteP2UCnpHRWSZTL63QHe</t>
  </si>
  <si>
    <t>2000 EXCURSION</t>
  </si>
  <si>
    <t>spotify:track:6Gp3pYkydEOkl8EHHJxa9s</t>
  </si>
  <si>
    <t>Tum Ho Toh (From "Saiyaara")</t>
  </si>
  <si>
    <t>spotify:track:6G8vN5EUtcDxOXOXadF6kp</t>
  </si>
  <si>
    <t>Dios Es Un Stalker</t>
  </si>
  <si>
    <t>spotify:track:6FdOGTRYvLCJ79d55YtGgZ</t>
  </si>
  <si>
    <t>Tubarões - Ao Vivo</t>
  </si>
  <si>
    <t>Diego &amp; Victor Hugo</t>
  </si>
  <si>
    <t>spotify:track:6Emsu0BaMpG0ilZCRT8KHZ</t>
  </si>
  <si>
    <t>300 Entertainment</t>
  </si>
  <si>
    <t>on one tonight</t>
  </si>
  <si>
    <t>Gunna</t>
  </si>
  <si>
    <t>spotify:track:6EUcP55GlbmsmCzfL2vxtZ</t>
  </si>
  <si>
    <t>Fueled By Ramen</t>
  </si>
  <si>
    <t>The Contract</t>
  </si>
  <si>
    <t>Twenty One Pilots</t>
  </si>
  <si>
    <t>spotify:track:6DzXaIgVIH7oLA1pkUtFaG</t>
  </si>
  <si>
    <t>Emo Rap</t>
  </si>
  <si>
    <t>Norgates</t>
  </si>
  <si>
    <t>misery.</t>
  </si>
  <si>
    <t>pupsies</t>
  </si>
  <si>
    <t>spotify:track:6De8sirPzVyAoBDlQpcutY</t>
  </si>
  <si>
    <t>Who Knows</t>
  </si>
  <si>
    <t>spotify:track:6DH13QYXK7lKkYHSU88N48</t>
  </si>
  <si>
    <t>Signs</t>
  </si>
  <si>
    <t>spotify:track:6DDEfqOoLlasIbPdzboOu4</t>
  </si>
  <si>
    <t>Dream Pop</t>
  </si>
  <si>
    <t>Polydor Records</t>
  </si>
  <si>
    <t>Henry, come on</t>
  </si>
  <si>
    <t>Lana Del Rey</t>
  </si>
  <si>
    <t>spotify:track:6CYldrsUPBsiPtfLW4xZCl</t>
  </si>
  <si>
    <t>Diles</t>
  </si>
  <si>
    <t>spotify:track:6C1RD7YQVvt3YQj0CmuTeu</t>
  </si>
  <si>
    <t>Riot Games</t>
  </si>
  <si>
    <t>Ma Meilleure Ennemie - from the series Arcane League of Legends</t>
  </si>
  <si>
    <t>spotify:track:6BPcUXYERAahpunmb0AovH</t>
  </si>
  <si>
    <t>Pela Última Vez - Ao Vivo</t>
  </si>
  <si>
    <t>spotify:track:6B7ot6Wlqf7zt3FCkYl2FJ</t>
  </si>
  <si>
    <t>Soundtrack</t>
  </si>
  <si>
    <t>Wicked Soundtrack</t>
  </si>
  <si>
    <t>For Good</t>
  </si>
  <si>
    <t>spotify:track:6Axf4FwBQvgcKzRwfm458N</t>
  </si>
  <si>
    <t>JipMusic Global / Planet Records [Powered by Planet Distribution]</t>
  </si>
  <si>
    <t>Dichavate</t>
  </si>
  <si>
    <t>spotify:track:6Ab2trdJulkRRhaJ9zVGQa</t>
  </si>
  <si>
    <t>SWEET SPOT</t>
  </si>
  <si>
    <t>spotify:track:6AX3i1TluzbvpJpKrY7NoD</t>
  </si>
  <si>
    <t>Kendrick Lamar, under exclusive license to Interscope Records</t>
  </si>
  <si>
    <t>Not Like Us</t>
  </si>
  <si>
    <t>spotify:track:6AI3ezQ4o3HUoP6Dhudph3</t>
  </si>
  <si>
    <t>One Less Lonely Girl</t>
  </si>
  <si>
    <t>spotify:track:69ghzc538EQSVon2Gm3wrr</t>
  </si>
  <si>
    <t>RATHER LIE (with The Weeknd)</t>
  </si>
  <si>
    <t>spotify:track:68qeaZhtMZ6abrJCYt6nQn</t>
  </si>
  <si>
    <t>SWIM</t>
  </si>
  <si>
    <t>spotify:track:68lbSrXDORS51pmyjZv712</t>
  </si>
  <si>
    <t>spotify:track:67mgz7S5y7hnCE63YBjfO6</t>
  </si>
  <si>
    <t>Rico o Muerto Music</t>
  </si>
  <si>
    <t>Canasteo</t>
  </si>
  <si>
    <t>spotify:track:67jm6nWkkJUsiJ6zedlYng</t>
  </si>
  <si>
    <t>OLIVIA LA FLAKA</t>
  </si>
  <si>
    <t>spotify:track:6756nr1dYiw5aNLSgIHNOI</t>
  </si>
  <si>
    <t>ANYTHING BUT LOVE</t>
  </si>
  <si>
    <t>spotify:track:66tlRqExpkn4kRyuxelzs5</t>
  </si>
  <si>
    <t>OWSLA/Mad Decent</t>
  </si>
  <si>
    <t>Where Are Ü Now (with Justin Bieber)</t>
  </si>
  <si>
    <t>spotify:track:66hayvUbTotekKU3H4ta1f</t>
  </si>
  <si>
    <t>Christmas (Baby Please Come Home)</t>
  </si>
  <si>
    <t>spotify:track:66WPXyhXqMlkM1kZhyEXWK</t>
  </si>
  <si>
    <t>Verve Reissues</t>
  </si>
  <si>
    <t>Frosty The Snowman</t>
  </si>
  <si>
    <t>Ella Fitzgerald</t>
  </si>
  <si>
    <t>spotify:track:65irrLqfCMRiO3p87P4C0D</t>
  </si>
  <si>
    <t>Look at My Life</t>
  </si>
  <si>
    <t>spotify:track:65DbTqJKhbwqYbZ1Okr0rc</t>
  </si>
  <si>
    <t>Komang</t>
  </si>
  <si>
    <t>spotify:track:654ZF6YNWjQS2NhwR3QnX7</t>
  </si>
  <si>
    <t>Papasito</t>
  </si>
  <si>
    <t>spotify:track:64zQbQTwu4ppBEfWyhst9t</t>
  </si>
  <si>
    <t>idgitaf musik</t>
  </si>
  <si>
    <t>Sedia Aku Sebelum Hujan</t>
  </si>
  <si>
    <t>Idgitaf</t>
  </si>
  <si>
    <t>spotify:track:64qfw9JZl3RYCrq4Mn0WvT</t>
  </si>
  <si>
    <t>Novelty</t>
  </si>
  <si>
    <t>Walt Disney Records</t>
  </si>
  <si>
    <t>This Is Halloween</t>
  </si>
  <si>
    <t>The Citizens of Halloween</t>
  </si>
  <si>
    <t>spotify:track:63y2aL2dT6zzw8FOSLaNrp</t>
  </si>
  <si>
    <t>Megaphonic</t>
  </si>
  <si>
    <t>Headlock</t>
  </si>
  <si>
    <t>Imogen Heap</t>
  </si>
  <si>
    <t>spotify:track:63Pi2NAx5yCgeLhCTOrEou</t>
  </si>
  <si>
    <t>Loco</t>
  </si>
  <si>
    <t>Pink Pony Club</t>
  </si>
  <si>
    <t>Enjoy The Show (feat. Future)</t>
  </si>
  <si>
    <t>spotify:track:637oNhilCI9UlkWkUW4Grt</t>
  </si>
  <si>
    <t>Bye Bye Bye</t>
  </si>
  <si>
    <t>*NSYNC</t>
  </si>
  <si>
    <t>spotify:track:62bOmKYxYg7dhrC6gH9vFn</t>
  </si>
  <si>
    <t>Ruin The Friendship</t>
  </si>
  <si>
    <t>spotify:track:62V2ZHslgQV98gH4AuVXnr</t>
  </si>
  <si>
    <t>Eldest Daughter</t>
  </si>
  <si>
    <t>spotify:track:62HoDY1Km6lm47haFpUn9c</t>
  </si>
  <si>
    <t>LUNCH</t>
  </si>
  <si>
    <t>spotify:track:629DixmZGHc7ILtEntuiWE</t>
  </si>
  <si>
    <t>Company</t>
  </si>
  <si>
    <t>spotify:track:61uyGDPJ06MkxJtHgPmuyO</t>
  </si>
  <si>
    <t>I Can't Love You Anymore</t>
  </si>
  <si>
    <t>spotify:track:61rwYQu9An4QWrcCUyFUyq</t>
  </si>
  <si>
    <t>Nu Metal</t>
  </si>
  <si>
    <t>In the End</t>
  </si>
  <si>
    <t>Linkin Park</t>
  </si>
  <si>
    <t>spotify:track:60a0Rd6pjrkxjPbaKzXjfq</t>
  </si>
  <si>
    <t>No Art</t>
  </si>
  <si>
    <t>Talk To You (ft. 54 Ultra)</t>
  </si>
  <si>
    <t>Just In Case</t>
  </si>
  <si>
    <t>Dracula (with JENNIE)</t>
  </si>
  <si>
    <t>spotify:track:5yvVYFDUpbnjcnRBgjwTzM</t>
  </si>
  <si>
    <t>Wood</t>
  </si>
  <si>
    <t>spotify:track:5ylJtmaWPJ33cW3En7WOu0</t>
  </si>
  <si>
    <t>Lord Huron</t>
  </si>
  <si>
    <t>The Night We Met</t>
  </si>
  <si>
    <t>Risk It All</t>
  </si>
  <si>
    <t>spotify:track:5y2ijHECwFYWqcAHKTZgzD</t>
  </si>
  <si>
    <t>Little Saint Nick - 1991 Remix</t>
  </si>
  <si>
    <t>The Beach Boys</t>
  </si>
  <si>
    <t>spotify:track:5xlS0QkVrSH7ssEbBgBzbM</t>
  </si>
  <si>
    <t>CMG/Interscope Records</t>
  </si>
  <si>
    <t>WHATCHU KNO ABOUT ME (feat. Sexyy Red)</t>
  </si>
  <si>
    <t>spotify:track:5xeSd4HgzrYpNLEf3LfYLK</t>
  </si>
  <si>
    <t>Saregama India Ltd</t>
  </si>
  <si>
    <t>Dhurandhar - Title Track</t>
  </si>
  <si>
    <t>spotify:track:5xKr4HfdnYLMDmAJZkOuBc</t>
  </si>
  <si>
    <t>The Giver</t>
  </si>
  <si>
    <t>spotify:track:5xHgo5JN0wfsV41HnRaos5</t>
  </si>
  <si>
    <t>Last Christmas</t>
  </si>
  <si>
    <t>spotify:track:5xDrO9DEDJGUQGfyoHvgDJ</t>
  </si>
  <si>
    <t>Bloody Paradise</t>
  </si>
  <si>
    <t>ENHYPEN</t>
  </si>
  <si>
    <t>spotify:track:5vlnF0r5xACeurZwjgn0Ij</t>
  </si>
  <si>
    <t>Walt Disney Records / Pixar</t>
  </si>
  <si>
    <t>I Knew It, I Knew You - From "Toy Story 5"</t>
  </si>
  <si>
    <t>spotify:track:5uPaqMMt59KGrdKIitDRqa</t>
  </si>
  <si>
    <t>Say You Won't Let Go</t>
  </si>
  <si>
    <t>James Arthur</t>
  </si>
  <si>
    <t>spotify:track:5uCax9HTNlzGybIStD3vDh</t>
  </si>
  <si>
    <t>Viva Records</t>
  </si>
  <si>
    <t>Multo</t>
  </si>
  <si>
    <t>Cup of Joe</t>
  </si>
  <si>
    <t>spotify:track:5tlb0AxuzsMWL2GtEppXGX</t>
  </si>
  <si>
    <t>CRG (feat. Dave)</t>
  </si>
  <si>
    <t>spotify:track:5tgSjvWO685Z0mYKefArMI</t>
  </si>
  <si>
    <t>Aliens</t>
  </si>
  <si>
    <t>spotify:track:5tg21NdePCn5m8F9BXOEeJ</t>
  </si>
  <si>
    <t>PT. Universal Music Indonesia</t>
  </si>
  <si>
    <t>Bahagia Lagi</t>
  </si>
  <si>
    <t>Piche Kota</t>
  </si>
  <si>
    <t>spotify:track:5tZaKZPJtiHh6teQfVEHB5</t>
  </si>
  <si>
    <t>LA CURA PER ME</t>
  </si>
  <si>
    <t>Giorgia</t>
  </si>
  <si>
    <t>spotify:track:5tOBPD3zL9kWpeELqkzwJC</t>
  </si>
  <si>
    <t>Downfall</t>
  </si>
  <si>
    <t>spotify:track:5tGnphp8D9Doa2ZULhJSMx</t>
  </si>
  <si>
    <t>El Bogueto</t>
  </si>
  <si>
    <t>Cuando No Era Cantante RMX - Remix</t>
  </si>
  <si>
    <t>French Rap</t>
  </si>
  <si>
    <t>Nojoke Record</t>
  </si>
  <si>
    <t>Pilé</t>
  </si>
  <si>
    <t>Mauvais djo</t>
  </si>
  <si>
    <t>Universal Music Italia srL. (Sugar)</t>
  </si>
  <si>
    <t>Volevo essere un duro</t>
  </si>
  <si>
    <t>Lucio Corsi</t>
  </si>
  <si>
    <t>spotify:track:5sFbAYktReH4AJbATsGAw8</t>
  </si>
  <si>
    <t>K-Pop Demon Hunters</t>
  </si>
  <si>
    <t>What It Sounds Like</t>
  </si>
  <si>
    <t>spotify:track:5sBDrrtLGbV64QJnEqfjer</t>
  </si>
  <si>
    <t>Big Brother</t>
  </si>
  <si>
    <t>Wonderwall - Remastered</t>
  </si>
  <si>
    <t>Oasis</t>
  </si>
  <si>
    <t>spotify:track:5qqabIl2vWzo9ApSC317sa</t>
  </si>
  <si>
    <t>The Dead Dance</t>
  </si>
  <si>
    <t>spotify:track:5pobX21I8uZdHM8YOWItU7</t>
  </si>
  <si>
    <t>FATHER (feat. Travis Scott)</t>
  </si>
  <si>
    <t>spotify:track:5pfn68duSmBKo4FhYknOms</t>
  </si>
  <si>
    <t>Balorda nostalgia</t>
  </si>
  <si>
    <t>spotify:track:5pNm9cYzWaAtoihxILG3cw</t>
  </si>
  <si>
    <t>Roc Nation / Rihanna</t>
  </si>
  <si>
    <t>Love On The Brain</t>
  </si>
  <si>
    <t>spotify:track:5oO3drDxtziYU2H1X23ZIp</t>
  </si>
  <si>
    <t>Carry You Home</t>
  </si>
  <si>
    <t>No Good Deed</t>
  </si>
  <si>
    <t>Cynthia Erivo</t>
  </si>
  <si>
    <t>spotify:track:5o0hD6Bs6RdyZxfYBoEEc8</t>
  </si>
  <si>
    <t>spotify:track:5nk6BxN9bM5rLNkA3pMOzn</t>
  </si>
  <si>
    <t>Intercord</t>
  </si>
  <si>
    <t>I Adore You (feat. Daecolm)</t>
  </si>
  <si>
    <t>spotify:track:5nPbKG04fhLkIAjcPFaZq7</t>
  </si>
  <si>
    <t>Dancehall</t>
  </si>
  <si>
    <t>VP Records</t>
  </si>
  <si>
    <t>(When You Gonna) Give It Up to Me - Radio Version</t>
  </si>
  <si>
    <t>spotify:track:5nEdwtSv0qqeE0l4o1lR4q</t>
  </si>
  <si>
    <t>Tu Boda</t>
  </si>
  <si>
    <t>Cash Money Records/Young Money Ent./Universal Rec.</t>
  </si>
  <si>
    <t>Passionfruit</t>
  </si>
  <si>
    <t>spotify:track:5mCPDVBb16L4XQwDdbRUpz</t>
  </si>
  <si>
    <t>spotify:track:5mAGsieQbw180sYdL3RMKk</t>
  </si>
  <si>
    <t>DOS DÍAS</t>
  </si>
  <si>
    <t>spotify:track:5lKFO0PrOC9jmOlPEdjHsL</t>
  </si>
  <si>
    <t>SONAR LLC.</t>
  </si>
  <si>
    <t>Vamo a Bailotear</t>
  </si>
  <si>
    <t>Cris MJ</t>
  </si>
  <si>
    <t>spotify:track:5lCk0ZeN8h76QxNqHEGMZJ</t>
  </si>
  <si>
    <t>Stitches</t>
  </si>
  <si>
    <t>spotify:track:5jsw9uXEGuKyJzs0boZ1bT</t>
  </si>
  <si>
    <t>spotify:track:5jHozZMWbrExAFni95mvvH</t>
  </si>
  <si>
    <t>Soft Rock</t>
  </si>
  <si>
    <t>Landslide</t>
  </si>
  <si>
    <t>Fleetwood Mac</t>
  </si>
  <si>
    <t>spotify:track:5ihS6UUlyQAfmp48eSkxuQ</t>
  </si>
  <si>
    <t>The Christmas Song (Merry Christmas To You)</t>
  </si>
  <si>
    <t>Nat King Cole</t>
  </si>
  <si>
    <t>spotify:track:5humEOJehpAwMJEJmb0JJ2</t>
  </si>
  <si>
    <t>Locked out of Heaven</t>
  </si>
  <si>
    <t>spotify:track:5g7sDjBhZ4I3gcFIpkrLuI</t>
  </si>
  <si>
    <t>RLG/Legacy</t>
  </si>
  <si>
    <t>Jolene</t>
  </si>
  <si>
    <t>Dolly Parton</t>
  </si>
  <si>
    <t>spotify:track:5fdhThPDe6jQQDqCyWrdAn</t>
  </si>
  <si>
    <t>American Dogwood / EMPIRE</t>
  </si>
  <si>
    <t>A Bar Song (Tipsy)</t>
  </si>
  <si>
    <t>Shaboozey</t>
  </si>
  <si>
    <t>spotify:track:5fZJQrFKWQLb7FpJXZ1g7K</t>
  </si>
  <si>
    <t>GBP (feat. 21 Savage)</t>
  </si>
  <si>
    <t>Wake Me Up (feat. Justice)</t>
  </si>
  <si>
    <t>spotify:track:5ehXToeJ8Tgc4wMhY42Oul</t>
  </si>
  <si>
    <t>The Life of a Showgirl (feat. Sabrina Carpenter)</t>
  </si>
  <si>
    <t>spotify:track:5eXgqtg3T8Av0m1FUaGHex</t>
  </si>
  <si>
    <t>Rhino/Warner Records</t>
  </si>
  <si>
    <t>The Chain - 2004 Remaster</t>
  </si>
  <si>
    <t>spotify:track:5e9TFTbltYBg2xThimr0rU</t>
  </si>
  <si>
    <t>Chezile / 10K Projects</t>
  </si>
  <si>
    <t>Beanie</t>
  </si>
  <si>
    <t>Chezile</t>
  </si>
  <si>
    <t>spotify:track:5e0b9LgOfi3aJSKXFcOWRe</t>
  </si>
  <si>
    <t>Linked Music / Dynamic Records / EMPIRE</t>
  </si>
  <si>
    <t>De Lejitos - Remix</t>
  </si>
  <si>
    <t>spotify:track:5dgREmLlxVJn6h8U0CofEo</t>
  </si>
  <si>
    <t>BUTTERFLIES</t>
  </si>
  <si>
    <t>spotify:track:5cfsQZEFf1IpQr8F9vI9le</t>
  </si>
  <si>
    <t>I Ain't Comin' Back (feat. Post Malone)</t>
  </si>
  <si>
    <t>Artist Partner</t>
  </si>
  <si>
    <t>Attention</t>
  </si>
  <si>
    <t>Charlie Puth</t>
  </si>
  <si>
    <t>spotify:track:5cF0dROlMOK5uNZtivgu50</t>
  </si>
  <si>
    <t>Training Season</t>
  </si>
  <si>
    <t>Dua Lipa</t>
  </si>
  <si>
    <t>spotify:track:5b5cPscqVEMChvDqscVw26</t>
  </si>
  <si>
    <t>DEL Records</t>
  </si>
  <si>
    <t>Polvo Rosita</t>
  </si>
  <si>
    <t>Lenin Ramírez</t>
  </si>
  <si>
    <t>spotify:track:5ahJTs5f6GAAFOYhK3ojP8</t>
  </si>
  <si>
    <t>Afrobeat</t>
  </si>
  <si>
    <t>FAX Records/Epic</t>
  </si>
  <si>
    <t>Water</t>
  </si>
  <si>
    <t>Tyla</t>
  </si>
  <si>
    <t>spotify:track:5aIVCx5tnk0ntmdiinnYvw</t>
  </si>
  <si>
    <t>CRYING IN CHANEL</t>
  </si>
  <si>
    <t>spotify:track:5aIEFCKhVUM5sKkwOSdFiM</t>
  </si>
  <si>
    <t>Abracadabra</t>
  </si>
  <si>
    <t>Los CT Records</t>
  </si>
  <si>
    <t>7 DIAS</t>
  </si>
  <si>
    <t>spotify:track:5Z75FvRFiultmPFWHx5jQ7</t>
  </si>
  <si>
    <t>Couldn’t Make It Any Harder</t>
  </si>
  <si>
    <t>spotify:track:5YwBaDW36fztKNnoiHQar3</t>
  </si>
  <si>
    <t>Nobody Gets Me</t>
  </si>
  <si>
    <t>SZA</t>
  </si>
  <si>
    <t>spotify:track:5Y35SjAfXjjG0sFQ3KOxmm</t>
  </si>
  <si>
    <t>Indie Rock</t>
  </si>
  <si>
    <t>Domino Recording Co</t>
  </si>
  <si>
    <t>I Wanna Be Yours</t>
  </si>
  <si>
    <t>Arctic Monkeys</t>
  </si>
  <si>
    <t>spotify:track:5XeFesFbtLpXzIVDNQP22n</t>
  </si>
  <si>
    <t>Sun Eater</t>
  </si>
  <si>
    <t>everything u are</t>
  </si>
  <si>
    <t>Hindia</t>
  </si>
  <si>
    <t>spotify:track:5WOSNVChcadlsCRiqXE45K</t>
  </si>
  <si>
    <t>WELTiTA</t>
  </si>
  <si>
    <t>spotify:track:5WEF0icHWmAZBBMglBd599</t>
  </si>
  <si>
    <t>White Keys</t>
  </si>
  <si>
    <t>spotify:track:5ViLKrbyL3HD6wsq3AB9eI</t>
  </si>
  <si>
    <t>Winter Wonderland - Remastered 2006</t>
  </si>
  <si>
    <t>Bing Crosby</t>
  </si>
  <si>
    <t>spotify:track:5VEuraNSVxMTzDTtrmL3lQ</t>
  </si>
  <si>
    <t>Sports car</t>
  </si>
  <si>
    <t>Punjabi</t>
  </si>
  <si>
    <t>Shubh</t>
  </si>
  <si>
    <t>Supreme</t>
  </si>
  <si>
    <t>spotify:track:5UGrftqh9U3zKQUt3vs7Ob</t>
  </si>
  <si>
    <t>EYP Creations</t>
  </si>
  <si>
    <t>Finding Her</t>
  </si>
  <si>
    <t>spotify:track:5ThyDv6aRVU8AH4vXQNldF</t>
  </si>
  <si>
    <t>No. 1 Party Anthem</t>
  </si>
  <si>
    <t>spotify:track:5TTGoX70AFrTvuEtqHK37S</t>
  </si>
  <si>
    <t>Roc-A-Fella</t>
  </si>
  <si>
    <t>Flashing Lights</t>
  </si>
  <si>
    <t>spotify:track:5TRPicyLGbAF2LGBFbHGvO</t>
  </si>
  <si>
    <t>NUEVAYoL</t>
  </si>
  <si>
    <t>spotify:track:5TFD2bmFKGhoCRbX61nXY5</t>
  </si>
  <si>
    <t>Smooth Criminal - 2012 Remaster</t>
  </si>
  <si>
    <t>spotify:track:5T7ywazdGIydr6JCW6t02j</t>
  </si>
  <si>
    <t>Kemosabe Records/RCA Records</t>
  </si>
  <si>
    <t>Gorgeous</t>
  </si>
  <si>
    <t>Doja Cat</t>
  </si>
  <si>
    <t>spotify:track:5T0mnzMsyHtmWB7Kou51Ph</t>
  </si>
  <si>
    <t>End of the World</t>
  </si>
  <si>
    <t>spotify:track:5SxahezRlC0saXbCALfB7c</t>
  </si>
  <si>
    <t>Bachata</t>
  </si>
  <si>
    <t>Sony Music Latin</t>
  </si>
  <si>
    <t>Dardos</t>
  </si>
  <si>
    <t>spotify:track:5SudOD9R1Of6CsJVWZy6CQ</t>
  </si>
  <si>
    <t>Baby Steps</t>
  </si>
  <si>
    <t>spotify:track:5SruEBX3KpgpDvEcIuN53P</t>
  </si>
  <si>
    <t>Saiyaara</t>
  </si>
  <si>
    <t>spotify:track:5SSZtFWdrmFV4MxtlRA13N</t>
  </si>
  <si>
    <t>PHILLY (with Travis Scott)</t>
  </si>
  <si>
    <t>spotify:track:5SIvP6TdWc9DNvKbENjnYc</t>
  </si>
  <si>
    <t>Columbia/Legacy</t>
  </si>
  <si>
    <t>Don't Stop Believin' (2022 Remaster)</t>
  </si>
  <si>
    <t>Journey</t>
  </si>
  <si>
    <t>spotify:track:5RKQ5NdjSh2QzD4MaunT91</t>
  </si>
  <si>
    <t>Save Your Tears</t>
  </si>
  <si>
    <t>spotify:track:5QO79kh1waicV47BqGRL3g</t>
  </si>
  <si>
    <t>I'm Not The Only One</t>
  </si>
  <si>
    <t>Sam Smith</t>
  </si>
  <si>
    <t>spotify:track:5QM0SsyzmBM0pbFY52Xj1X</t>
  </si>
  <si>
    <t>chiclona</t>
  </si>
  <si>
    <t>spotify:track:5Q4HTsEGKanxOwL1nYCnhQ</t>
  </si>
  <si>
    <t>Click Clack Symphony. (feat. Hans Zimmer)</t>
  </si>
  <si>
    <t>Killin' It Girl (feat. GloRilla)</t>
  </si>
  <si>
    <t>SOULFUL</t>
  </si>
  <si>
    <t>spotify:track:5PAKAADzrSpMDxcaRpSDCm</t>
  </si>
  <si>
    <t>KICK OUT</t>
  </si>
  <si>
    <t>Sign of the Times</t>
  </si>
  <si>
    <t>spotify:track:5Ohxk2dO5COHF1krpoPigN</t>
  </si>
  <si>
    <t>Night Changes</t>
  </si>
  <si>
    <t>One Direction</t>
  </si>
  <si>
    <t>spotify:track:5O2P9iiztwhomNh8xkR9lJ</t>
  </si>
  <si>
    <t>GIMME A HUG</t>
  </si>
  <si>
    <t>spotify:track:5Nz7hI3cCOHmMR4vSLJ1An</t>
  </si>
  <si>
    <t>BR MUSIC DIREITOS MUSICAIS LTDA.</t>
  </si>
  <si>
    <t>FAMOSINHA</t>
  </si>
  <si>
    <t>spotify:track:5Nj2UVsxXAvhfYNpcre3al</t>
  </si>
  <si>
    <t>purple</t>
  </si>
  <si>
    <t>spotify:track:5Ndn1irZG8l6xpcLMGeNvc</t>
  </si>
  <si>
    <t>Hollywood Records</t>
  </si>
  <si>
    <t>Like It's Christmas</t>
  </si>
  <si>
    <t>Jonas Brothers</t>
  </si>
  <si>
    <t>spotify:track:5NUXAUIItJAxBIUOdm0gUf</t>
  </si>
  <si>
    <t>Alternative Metal</t>
  </si>
  <si>
    <t>Sleep Token/RCA Records</t>
  </si>
  <si>
    <t>Emergence</t>
  </si>
  <si>
    <t>Sleep Token</t>
  </si>
  <si>
    <t>YG Entertainment</t>
  </si>
  <si>
    <t>Me and my</t>
  </si>
  <si>
    <t>BLACKPINK</t>
  </si>
  <si>
    <t>spotify:track:5MXcM263QvCTWriH3nVusc</t>
  </si>
  <si>
    <t>222 Records/Interscope Records</t>
  </si>
  <si>
    <t>Priceless (feat. LISA)</t>
  </si>
  <si>
    <t>spotify:track:5MI9rnOsAayuxi7pKVydNg</t>
  </si>
  <si>
    <t>Gehra Hua</t>
  </si>
  <si>
    <t>spotify:track:5MCbGWnNLLjoHpbDO3BOgi</t>
  </si>
  <si>
    <t>spotify:track:5MBAaEt7s8El3WWhYinLzv</t>
  </si>
  <si>
    <t>gamma. / Atlantic Records</t>
  </si>
  <si>
    <t>Fat Juicy &amp; Wet</t>
  </si>
  <si>
    <t>spotify:track:5M2lX0ZAYSAzCs1xPPi9BX</t>
  </si>
  <si>
    <t>Funk</t>
  </si>
  <si>
    <t>I Want You Back</t>
  </si>
  <si>
    <t>spotify:track:5LxvwujISqiB8vpRYv887S</t>
  </si>
  <si>
    <t>Pika Pika</t>
  </si>
  <si>
    <t>spotify:track:5LHPcY9yd0hWVFIW4yfOCJ</t>
  </si>
  <si>
    <t>nowhere, nobody</t>
  </si>
  <si>
    <t>spotify:track:5JbnupagBhD0AanbkCELdH</t>
  </si>
  <si>
    <t>Love Me Harder</t>
  </si>
  <si>
    <t>spotify:track:5J4ZkQpzMUFojo1CtAZYpn</t>
  </si>
  <si>
    <t>Vanish Into You</t>
  </si>
  <si>
    <t>spotify:track:5IoPnNiYAOvHHJpz13wzRL</t>
  </si>
  <si>
    <t>Mercury Records / Republic Records</t>
  </si>
  <si>
    <t>I Had Some Help (Feat. Morgan Wallen)</t>
  </si>
  <si>
    <t>spotify:track:5IZXB5IKAD2qlvTPJYDCFB</t>
  </si>
  <si>
    <t>Bamboo Artists</t>
  </si>
  <si>
    <t>Show Me Love</t>
  </si>
  <si>
    <t>2026 Bella Kay</t>
  </si>
  <si>
    <t>iloveitiloveitiloveit</t>
  </si>
  <si>
    <t>Bella Kay</t>
  </si>
  <si>
    <t>Up From the Bottom</t>
  </si>
  <si>
    <t>spotify:track:5IL3VPDy5siXiptYHF2aLS</t>
  </si>
  <si>
    <t>Vita Fer</t>
  </si>
  <si>
    <t>JUMP</t>
  </si>
  <si>
    <t>spotify:track:5H1sKFMzDeMtXwND3V6hRY</t>
  </si>
  <si>
    <t>Never Say Never</t>
  </si>
  <si>
    <t>spotify:track:5GYbkDveRD2I8M5ZJ14hWn</t>
  </si>
  <si>
    <t>Pretty Little Baby</t>
  </si>
  <si>
    <t>Connie Francis</t>
  </si>
  <si>
    <t>spotify:track:5GQPBzoRBDxcAjwSSluQXD</t>
  </si>
  <si>
    <t>Taste</t>
  </si>
  <si>
    <t>spotify:track:5G2f63n7IPVPPjfNIGih7Q</t>
  </si>
  <si>
    <t>MONA LISA</t>
  </si>
  <si>
    <t>j-hope</t>
  </si>
  <si>
    <t>spotify:track:5Fhr3wqeieN5WDkAsqL1JJ</t>
  </si>
  <si>
    <t>Do I Wanna Know?</t>
  </si>
  <si>
    <t>spotify:track:5FVd6KXrgO9B3JPmC8OPst</t>
  </si>
  <si>
    <t>Life Goes On</t>
  </si>
  <si>
    <t>spotify:track:5FVbvttjEvQ8r2BgUcJgNg</t>
  </si>
  <si>
    <t>PUNK ROCKY</t>
  </si>
  <si>
    <t>Which One (feat. Central Cee)</t>
  </si>
  <si>
    <t>Priti</t>
  </si>
  <si>
    <t>spotify:track:5FLzweTtgQurkLPs0E7uEO</t>
  </si>
  <si>
    <t>Breakin' Dishes</t>
  </si>
  <si>
    <t>spotify:track:5EcG8eMMlwkHRVa4aTR1qd</t>
  </si>
  <si>
    <t>OWA OWA</t>
  </si>
  <si>
    <t>Free</t>
  </si>
  <si>
    <t>spotify:track:5DxDLsW6PsLz5gkwC7Mk5S</t>
  </si>
  <si>
    <t>oh well</t>
  </si>
  <si>
    <t>spotify:track:5DZOKNtaoVEssXu9ltcMjx</t>
  </si>
  <si>
    <t>Don't Tap That Glass / Tweakin'</t>
  </si>
  <si>
    <t>spotify:track:5DRS7YEe1bwGJLDGviT3CD</t>
  </si>
  <si>
    <t>traitor</t>
  </si>
  <si>
    <t>spotify:track:5CZ40GBx1sQ9agT82CLQCT</t>
  </si>
  <si>
    <t>Nibiru International/Sony Music Latin</t>
  </si>
  <si>
    <t>ZIZI</t>
  </si>
  <si>
    <t>spotify:track:5BsvzSvw98mLqpZznMjuLX</t>
  </si>
  <si>
    <t>DAISIES</t>
  </si>
  <si>
    <t>spotify:track:5BZsQlgw21vDOAjoqkNgKb</t>
  </si>
  <si>
    <t>Epic/MJJ</t>
  </si>
  <si>
    <t>Chicago</t>
  </si>
  <si>
    <t>spotify:track:5BKKy9fIJL5uM9fz1SnqyP</t>
  </si>
  <si>
    <t>Te Estoy Correteando</t>
  </si>
  <si>
    <t>spotify:track:5B579RUazOpBcuxjTZWnMs</t>
  </si>
  <si>
    <t>Sugar Talking</t>
  </si>
  <si>
    <t>spotify:track:5B3GZOZYXNzWpUXQC42hxZ</t>
  </si>
  <si>
    <t>PULSE Records</t>
  </si>
  <si>
    <t>MILLION DOLLAR BABY</t>
  </si>
  <si>
    <t>Tommy Richman</t>
  </si>
  <si>
    <t>spotify:track:5AJ9hqTS2wcFQCELCFRO7A</t>
  </si>
  <si>
    <t>Grunge</t>
  </si>
  <si>
    <t>Come As You Are</t>
  </si>
  <si>
    <t>Nirvana</t>
  </si>
  <si>
    <t>spotify:track:5AEOqLsRJFAoSS4ay4Jzao</t>
  </si>
  <si>
    <t>J-Pop</t>
  </si>
  <si>
    <t>Sony Music Labels Inc.</t>
  </si>
  <si>
    <t>IRIS OUT</t>
  </si>
  <si>
    <t>Kenshi Yonezu</t>
  </si>
  <si>
    <t>spotify:track:59hVbgr8rfYkDbHfr8RcGI</t>
  </si>
  <si>
    <t>Rebel Rock/Grand Hustle/Atlantic</t>
  </si>
  <si>
    <t>Nothin' on You (feat. Bruno Mars)</t>
  </si>
  <si>
    <t>spotify:track:59dLtGBS26x7kc0rHbaPrq</t>
  </si>
  <si>
    <t>VOY A LLeVARTE PA PR</t>
  </si>
  <si>
    <t>spotify:track:59D4DOkspUbWyMmbAPQkxZ</t>
  </si>
  <si>
    <t>Atlantic/KSR</t>
  </si>
  <si>
    <t>I Like It</t>
  </si>
  <si>
    <t>spotify:track:58q2HKrzhC3ozto2nDdN4z</t>
  </si>
  <si>
    <t>505</t>
  </si>
  <si>
    <t>spotify:track:58ge6dfP91o9oXMzq3XkIS</t>
  </si>
  <si>
    <t>Alfatih Record</t>
  </si>
  <si>
    <t>Stecu Stecu</t>
  </si>
  <si>
    <t>Faris Adam</t>
  </si>
  <si>
    <t>spotify:track:58RQdadIHxBeiZ1kyDXnCo</t>
  </si>
  <si>
    <t>Make Them Pay</t>
  </si>
  <si>
    <t>spotify:track:57rkFdhoKjgkg16fsS4pgg</t>
  </si>
  <si>
    <t>Thunderstruck</t>
  </si>
  <si>
    <t>AC/DC</t>
  </si>
  <si>
    <t>spotify:track:57bgtoPSgt236HzfBOd8kj</t>
  </si>
  <si>
    <t>UK Rap</t>
  </si>
  <si>
    <t>Lizzy Records</t>
  </si>
  <si>
    <t>Phantom</t>
  </si>
  <si>
    <t>spotify:track:57Z6TJCTMACXxdrcwZ3Zvf</t>
  </si>
  <si>
    <t>spotify:track:57GsLpRtEtrzcPGPop20rS</t>
  </si>
  <si>
    <t>Cole World, Inc., under exclusive license to Interscope Records.</t>
  </si>
  <si>
    <t>Two Six</t>
  </si>
  <si>
    <t>J. Cole</t>
  </si>
  <si>
    <t>spotify:track:57ENogEkvFsU7Wmt3lvQMG</t>
  </si>
  <si>
    <t>Paint By Numbers</t>
  </si>
  <si>
    <t>spotify:track:56k68P3bFQvnKw89hizJFZ</t>
  </si>
  <si>
    <t>Frecuencia</t>
  </si>
  <si>
    <t>Los Dareyes De La Sierra</t>
  </si>
  <si>
    <t>spotify:track:56bPsRfOKla3bGGmVz1uk4</t>
  </si>
  <si>
    <t>spotify:track:56V7nzrqr6Sq1uFym4odwa</t>
  </si>
  <si>
    <t>Do It</t>
  </si>
  <si>
    <t>spotify:track:56Fu41EhpsPqqfDZsj3eaN</t>
  </si>
  <si>
    <t>Arista/Legacy</t>
  </si>
  <si>
    <t>Ghostbusters - from the "Ghostbusters" Original Motion Picture Soundtrack</t>
  </si>
  <si>
    <t>Ray Parker Jr.</t>
  </si>
  <si>
    <t>spotify:track:569uHYIB0X324FZOBEhvit</t>
  </si>
  <si>
    <t>STAY (with Justin Bieber)</t>
  </si>
  <si>
    <t>spotify:track:567e29TDzLwZwfDuEpGTwo</t>
  </si>
  <si>
    <t>HIGHS AND LOWS</t>
  </si>
  <si>
    <t>spotify:track:565G1vHZu2xoxrnTyF06Qw</t>
  </si>
  <si>
    <t>Mockingbird</t>
  </si>
  <si>
    <t>spotify:track:561jH07mF1jHuk7KlaeF0s</t>
  </si>
  <si>
    <t>Make Them Cry</t>
  </si>
  <si>
    <t>spotify:track:55wlsNYqcfiQsHuX8l0jmF</t>
  </si>
  <si>
    <t>never get over me</t>
  </si>
  <si>
    <t>spotify:track:55srcWA7TioKV0LZVNXltY</t>
  </si>
  <si>
    <t>the cure</t>
  </si>
  <si>
    <t>spotify:track:55lijDD6OAjLFFUHU9tcDm</t>
  </si>
  <si>
    <t>4 Raws</t>
  </si>
  <si>
    <t>EsDeeKid</t>
  </si>
  <si>
    <t>spotify:track:554qQSs9lpRVq6TlaaiIKT</t>
  </si>
  <si>
    <t>Some of Your Love</t>
  </si>
  <si>
    <t>PARTYNEXTDOOR</t>
  </si>
  <si>
    <t>spotify:track:554p4ro2rs7dHqGPwQX67H</t>
  </si>
  <si>
    <t>Hallelujah</t>
  </si>
  <si>
    <t>Pentatonix</t>
  </si>
  <si>
    <t>spotify:track:550rQQCGkrTzvp4SfpOPzx</t>
  </si>
  <si>
    <t>We Don't Talk Anymore (feat. Selena Gomez)</t>
  </si>
  <si>
    <t>spotify:track:54PbBpquVfhfrwRwvjSXbI</t>
  </si>
  <si>
    <t>Revolving door</t>
  </si>
  <si>
    <t>spotify:track:541sN2qNfIlllGn9nGOQoC</t>
  </si>
  <si>
    <t>Dreams - 2004 Remaster</t>
  </si>
  <si>
    <t>The Fate of Ophelia</t>
  </si>
  <si>
    <t>spotify:track:53iuhJlwXhSER5J2IYYv1W</t>
  </si>
  <si>
    <t>I Love You, I'm Sorry</t>
  </si>
  <si>
    <t>spotify:track:51rfRCiUSvxXlCSCfIztBy</t>
  </si>
  <si>
    <t>Night Street Records, Inc./Warner Records Inc.</t>
  </si>
  <si>
    <t>Slow It Down</t>
  </si>
  <si>
    <t>Benson Boone</t>
  </si>
  <si>
    <t>spotify:track:51eSHglvG1RJXtL3qI5trr</t>
  </si>
  <si>
    <t>we can't be friends (wait for your love)</t>
  </si>
  <si>
    <t>spotify:track:51ZQ1vr10ffzbwIjDCwqm4</t>
  </si>
  <si>
    <t>D4VD ENT, LLC</t>
  </si>
  <si>
    <t>Feel It</t>
  </si>
  <si>
    <t>d4vd</t>
  </si>
  <si>
    <t>Janice STFU</t>
  </si>
  <si>
    <t>spotify:track:514joG57v4yKTsfQmz7stz</t>
  </si>
  <si>
    <t>Running Wild</t>
  </si>
  <si>
    <t>Jin</t>
  </si>
  <si>
    <t>spotify:track:50zAEIE4B1QqhPjRMK2Xmh</t>
  </si>
  <si>
    <t>Love Yourself</t>
  </si>
  <si>
    <t>spotify:track:50kpGaPAhYJ3sGmk6vplg0</t>
  </si>
  <si>
    <t>Tommy Cash</t>
  </si>
  <si>
    <t>Espresso Macchiato</t>
  </si>
  <si>
    <t>spotify:track:4zpNfuWJA3K4d9TS4qnOIB</t>
  </si>
  <si>
    <t>bad thing (bunny hop)</t>
  </si>
  <si>
    <t>spotify:track:4zmXWmILSBkn7gTvIyCiNi</t>
  </si>
  <si>
    <t>Imagínate</t>
  </si>
  <si>
    <t>spotify:track:4zbEItKoaRId1vRZkoO0Uh</t>
  </si>
  <si>
    <t>LIKE WEEZY</t>
  </si>
  <si>
    <t>spotify:track:4zK082ykqJzJGzC64NXjp1</t>
  </si>
  <si>
    <t>B's On The Table (feat. 21 Savage)</t>
  </si>
  <si>
    <t>spotify:track:4ygJHbpMGwZknVFaRikdFr</t>
  </si>
  <si>
    <t>Call Me When You Break Up (with Gracie Abrams)</t>
  </si>
  <si>
    <t>All Them Horses</t>
  </si>
  <si>
    <t>spotify:track:4y3VBhJPEztyRmNxfK3tZ5</t>
  </si>
  <si>
    <t>I know love (feat. The Kid LAROI)</t>
  </si>
  <si>
    <t>spotify:track:4xvEn1vhrF9JbPFWqTXsH4</t>
  </si>
  <si>
    <t>Heather</t>
  </si>
  <si>
    <t>spotify:track:4xqrdfXkTW4T0RauPLv3WA</t>
  </si>
  <si>
    <t>Firefly Records</t>
  </si>
  <si>
    <t>Sesi Potret</t>
  </si>
  <si>
    <t>spotify:track:4xoY4lZNoTjEuHsSmhgF1G</t>
  </si>
  <si>
    <t>HOT TO GO!</t>
  </si>
  <si>
    <t>German Pop</t>
  </si>
  <si>
    <t>stereopolrecords / ZEITGEIST for Intercord Records</t>
  </si>
  <si>
    <t>Wackelkontakt</t>
  </si>
  <si>
    <t>Oimara</t>
  </si>
  <si>
    <t>spotify:track:4x7j9ed3FRH6CHj27kiTQ3</t>
  </si>
  <si>
    <t>My Old Ways</t>
  </si>
  <si>
    <t>spotify:track:4whkhyXTrTgHKZzkUvdwoq</t>
  </si>
  <si>
    <t>I'll Take Care of You (feat. Yebba)</t>
  </si>
  <si>
    <t>spotify:track:4waPZF96vX1Oz5pzH6dB0h</t>
  </si>
  <si>
    <t>APT.</t>
  </si>
  <si>
    <t>spotify:track:4wJ5Qq0jBN4ajy7ouZIV1c</t>
  </si>
  <si>
    <t>9 to 5</t>
  </si>
  <si>
    <t>spotify:track:4w3tQBXhn5345eUXDGBWZG</t>
  </si>
  <si>
    <t>Epic/Beluga Heights</t>
  </si>
  <si>
    <t>Eenie Meenie</t>
  </si>
  <si>
    <t>spotify:track:4vVTI94F9uJ8lHNDWKv0i2</t>
  </si>
  <si>
    <t>Make The Girls Dance Records</t>
  </si>
  <si>
    <t>Movin' To The Sun</t>
  </si>
  <si>
    <t>spotify:track:4vTsKN15Kqo3Geo9r7FhAN</t>
  </si>
  <si>
    <t>Real Hasta La Muerte, LLC</t>
  </si>
  <si>
    <t>Las mas bonitas son p#tas</t>
  </si>
  <si>
    <t>Anuel AA</t>
  </si>
  <si>
    <t>spotify:track:4vJaNTSA8fYLLLSauHmkLe</t>
  </si>
  <si>
    <t>Raanjhan (From "Do Patti")</t>
  </si>
  <si>
    <t>spotify:track:4vHRQnzGcKEtqsLH70tAms</t>
  </si>
  <si>
    <t>DEVOTION</t>
  </si>
  <si>
    <t>spotify:track:4uyBm26e7ElRigCH6vRbpc</t>
  </si>
  <si>
    <t>OLYMPIAN</t>
  </si>
  <si>
    <t>spotify:track:4uoADk7q83CHvXHW3k1etM</t>
  </si>
  <si>
    <t>Warner Music India</t>
  </si>
  <si>
    <t>Sahiba</t>
  </si>
  <si>
    <t>spotify:track:4ulroyDK6rN73nVkCkWhur</t>
  </si>
  <si>
    <t>WM Brazil</t>
  </si>
  <si>
    <t>ME POSTOU NO DAILY - FESTA DO BIG G</t>
  </si>
  <si>
    <t>spotify:track:4ukpXdplqDEMk3Fy2i30oI</t>
  </si>
  <si>
    <t>spotify:track:4ukUoXLuFzMixyZyabSGc4</t>
  </si>
  <si>
    <t>I'm Good (Blue)</t>
  </si>
  <si>
    <t>spotify:track:4uUG5RXrOk84mYEfFvj3cK</t>
  </si>
  <si>
    <t>CN TOWER</t>
  </si>
  <si>
    <t>spotify:track:4u43I0LP2Xf85OAS85eG0R</t>
  </si>
  <si>
    <t>Goodbye</t>
  </si>
  <si>
    <t>spotify:track:4tVVmShMF2PYdLqcejrsy2</t>
  </si>
  <si>
    <t>DIS 1 GOT IT</t>
  </si>
  <si>
    <t>spotify:track:4tMhjP02FRQ0KIUUEJ2oGK</t>
  </si>
  <si>
    <t>Masterworks</t>
  </si>
  <si>
    <t>Carol of the Bells (From "Home Alone" Soundtrack)</t>
  </si>
  <si>
    <t>John Williams</t>
  </si>
  <si>
    <t>spotify:track:4tHqQMWSqmL6YjXwsqthDI</t>
  </si>
  <si>
    <t>Nuzio Medeiros</t>
  </si>
  <si>
    <t>Tando</t>
  </si>
  <si>
    <t>spotify:track:4seW5sDVICaZw34NzrHPm0</t>
  </si>
  <si>
    <t>PASSO BEM SOLTO - Slowed</t>
  </si>
  <si>
    <t>ATLXS</t>
  </si>
  <si>
    <t>spotify:track:4sTlQPMyoFMPdhAJvErBN3</t>
  </si>
  <si>
    <t>Big Poe (feat. Sk8brd)</t>
  </si>
  <si>
    <t>spotify:track:4sLvxpKLvagQ4lZHUpymza</t>
  </si>
  <si>
    <t>COCAINE NOSE</t>
  </si>
  <si>
    <t>spotify:track:4rXxjHSAglOynjIF8Z34dx</t>
  </si>
  <si>
    <t>It Will Rain</t>
  </si>
  <si>
    <t>spotify:track:4rMNgxEwGWoPHIUcvB5BrB</t>
  </si>
  <si>
    <t>Haircut</t>
  </si>
  <si>
    <t>spotify:track:4rECUI03C2RMqr5GYvqjlJ</t>
  </si>
  <si>
    <t>FXCK UP THE WORLD (feat. Future)</t>
  </si>
  <si>
    <t>spotify:track:4rBRRLgdB9DYJhqA9uVcWt</t>
  </si>
  <si>
    <t>TRIM (with Future)</t>
  </si>
  <si>
    <t>spotify:track:4qvsNsA4gQKC9HLrmPC2Vx</t>
  </si>
  <si>
    <t>Honey</t>
  </si>
  <si>
    <t>spotify:track:4qmFC3Jz5aQ0erlk2OSi2X</t>
  </si>
  <si>
    <t>bckpckbyz</t>
  </si>
  <si>
    <t>spotify:track:4qfkZtOGVw2BXa05wqXKkV</t>
  </si>
  <si>
    <t>Temper City under exclusive license to Thirty Knots</t>
  </si>
  <si>
    <t>Self Aware</t>
  </si>
  <si>
    <t>Temper City</t>
  </si>
  <si>
    <t>spotify:track:4qW3BbQAwZsrnu8a3ZRdyT</t>
  </si>
  <si>
    <t>spotify:track:4qLHbbVJjNsOqWxHrTtvgx</t>
  </si>
  <si>
    <t>spotify:track:4pftaoQbbheCXSdleWIeDK</t>
  </si>
  <si>
    <t>WMD</t>
  </si>
  <si>
    <t>Fui Mlk</t>
  </si>
  <si>
    <t>spotify:track:4pOGEJRVOuaa9oyy7qTGf6</t>
  </si>
  <si>
    <t>Killah (feat. Gesaffelstein)</t>
  </si>
  <si>
    <t>spotify:track:4pNzBbGcqXofx8mLBPTeih</t>
  </si>
  <si>
    <t>Opening Night</t>
  </si>
  <si>
    <t>spotify:track:4oahRRZECfGud6eL7Lj7CO</t>
  </si>
  <si>
    <t>La Perla</t>
  </si>
  <si>
    <t>spotify:track:4oVO4fGNRRvEn0CRuFO4qv</t>
  </si>
  <si>
    <t>Morena</t>
  </si>
  <si>
    <t>spotify:track:4oB8Xd7gMlUEtWoD8bmCXW</t>
  </si>
  <si>
    <t>Favorite Girl</t>
  </si>
  <si>
    <t>spotify:track:4nTjkWK590oBDcnIxTr1mI</t>
  </si>
  <si>
    <t>Garden Of Eden</t>
  </si>
  <si>
    <t>spotify:track:4mUR5Tv0CvJtpmnUtzeIgd</t>
  </si>
  <si>
    <t>7-3</t>
  </si>
  <si>
    <t>spotify:track:4lzo6zPM2paqyP8oBp3DOs</t>
  </si>
  <si>
    <t>Grenade</t>
  </si>
  <si>
    <t>spotify:track:4lLtanYk6tkMvooU0tWzG8</t>
  </si>
  <si>
    <t>Baller</t>
  </si>
  <si>
    <t>Abor &amp; Tynna</t>
  </si>
  <si>
    <t>spotify:track:4kbkYbhWNiSJraySknB4hD</t>
  </si>
  <si>
    <t>honeybee</t>
  </si>
  <si>
    <t>spotify:track:4kX7xkopoXZCfE1D6fNwl2</t>
  </si>
  <si>
    <t>Interscope</t>
  </si>
  <si>
    <t>I Gotta Feeling</t>
  </si>
  <si>
    <t>Black Eyed Peas</t>
  </si>
  <si>
    <t>spotify:track:4kLLWz7srcuLKA7Et40PQR</t>
  </si>
  <si>
    <t>Let It Snow! Let It Snow! Let It Snow! (with The B. Swanson Quartet)</t>
  </si>
  <si>
    <t>spotify:track:4kKdvXD0ez7jp1296JmAts</t>
  </si>
  <si>
    <t>Death Note Music, LLC</t>
  </si>
  <si>
    <t>nuts</t>
  </si>
  <si>
    <t>spotify:track:4k3xDpAdBuM17mNNHhOZkK</t>
  </si>
  <si>
    <t>Remember the Time</t>
  </si>
  <si>
    <t>spotify:track:4jnFqNWeJCeCRHc4HCdxfd</t>
  </si>
  <si>
    <t>Training Season (Live from the Royal Albert Hall)</t>
  </si>
  <si>
    <t>spotify:track:4jiOgEp2ZPjzoUF5DxaOjG</t>
  </si>
  <si>
    <t>Snooze</t>
  </si>
  <si>
    <t>spotify:track:4iZ4pt7kvcaH6Yo8UoZ4s2</t>
  </si>
  <si>
    <t>On My Soul</t>
  </si>
  <si>
    <t>spotify:track:4i4BVY2JiH4mDSLIBdNGKD</t>
  </si>
  <si>
    <t>What Christmas Means to Me (feat. Stevie Wonder)</t>
  </si>
  <si>
    <t>spotify:track:4hnzXzE7JiU5QAZFF9OUsI</t>
  </si>
  <si>
    <t>SOURCE MUSIC</t>
  </si>
  <si>
    <t>CRAZY</t>
  </si>
  <si>
    <t>LE SSERAFIM</t>
  </si>
  <si>
    <t>spotify:track:4gxEY3Mh5FZZDAJAKPNrCS</t>
  </si>
  <si>
    <t>I Got Better</t>
  </si>
  <si>
    <t>spotify:track:4gfrYDtaRmp6HPvN80V2ob</t>
  </si>
  <si>
    <t>Christmas Lights</t>
  </si>
  <si>
    <t>spotify:track:4fzyvSu73BhGvi96p2zwjL</t>
  </si>
  <si>
    <t>Timing Is Everything Ent</t>
  </si>
  <si>
    <t>NOW OR NEVER</t>
  </si>
  <si>
    <t>spotify:track:4fUK2q5ERoi97E3g2kwB8c</t>
  </si>
  <si>
    <t>End of August</t>
  </si>
  <si>
    <t>spotify:track:4fEUmNN8KK5sNqvKjBstKg</t>
  </si>
  <si>
    <t>TOXIC (with Skepta)</t>
  </si>
  <si>
    <t>spotify:track:4evMMKc2HD6fV9slMfgkMx</t>
  </si>
  <si>
    <t>spotify:track:4ek0oGBCJal4Gxz8zEnMjn</t>
  </si>
  <si>
    <t>spotify:track:4eLDmhsJW3JoZTXCAozHor</t>
  </si>
  <si>
    <t>Dust</t>
  </si>
  <si>
    <t>spotify:track:4eE16RJFDKf2WxBTqqfylu</t>
  </si>
  <si>
    <t>MIENTRAS DUERMES</t>
  </si>
  <si>
    <t>spotify:track:4e76Ss3ji7HQZ4qwcPNkNA</t>
  </si>
  <si>
    <t>Fourtwnty Music</t>
  </si>
  <si>
    <t>Mangu</t>
  </si>
  <si>
    <t>spotify:track:4e6TmHCC4PRUj75knNplNP</t>
  </si>
  <si>
    <t>Post-Punk</t>
  </si>
  <si>
    <t>UMC (Universal Music Catalogue)</t>
  </si>
  <si>
    <t>Boys Don't Cry</t>
  </si>
  <si>
    <t>The Cure</t>
  </si>
  <si>
    <t>Kartel Music</t>
  </si>
  <si>
    <t>Bandida</t>
  </si>
  <si>
    <t>spotify:track:4dF08DjAjgactxNnsjRod6</t>
  </si>
  <si>
    <t>PIMMIE'S DILEMMA</t>
  </si>
  <si>
    <t>spotify:track:4cwyp1aL1q3LfGCteqe8tL</t>
  </si>
  <si>
    <t>Potential</t>
  </si>
  <si>
    <t>spotify:track:4cpHvqL4dvporE8JlQwkec</t>
  </si>
  <si>
    <t>spotify:track:4ck9vo0gEmjVHWUb5q2rYe</t>
  </si>
  <si>
    <t>Human Nature</t>
  </si>
  <si>
    <t>spotify:track:4cgjA7B4fJBHyB9Ya2bu0t</t>
  </si>
  <si>
    <t>The Abyss (feat. Lana Del Rey)</t>
  </si>
  <si>
    <t>spotify:track:4cYllEeJVH7dWKwQxpbk42</t>
  </si>
  <si>
    <t>KETU TeCRÉ</t>
  </si>
  <si>
    <t>spotify:track:4c2Pc0NrfkesPR0jff6q3F</t>
  </si>
  <si>
    <t>expectations</t>
  </si>
  <si>
    <t>spotify:track:4bkClAuofJULiaIZsuL3gT</t>
  </si>
  <si>
    <t>PUNCH DRUNK</t>
  </si>
  <si>
    <t>spotify:track:4bWZz15GR1EE8E8x23rDWV</t>
  </si>
  <si>
    <t>All The Things She Said</t>
  </si>
  <si>
    <t>t.A.T.u.</t>
  </si>
  <si>
    <t>spotify:track:4bJygwUKrRgq1stlNXcgMg</t>
  </si>
  <si>
    <t>FIRST PLACE</t>
  </si>
  <si>
    <t>spotify:track:4ZZJ7S4Z1pEIvTUgN1oRzS</t>
  </si>
  <si>
    <t>MORNING DEW (DONK)</t>
  </si>
  <si>
    <t>Beyoncé</t>
  </si>
  <si>
    <t>spotify:track:4ZYlzwjjAJrflwWg4DJTlT</t>
  </si>
  <si>
    <t>CactusJack/Donnway/ATL</t>
  </si>
  <si>
    <t>Secondhand (feat. Rema)</t>
  </si>
  <si>
    <t>spotify:track:4Z5KKoBGxpJo8YbDcGQXd5</t>
  </si>
  <si>
    <t>SPEED DEMON</t>
  </si>
  <si>
    <t>spotify:track:4YmS7BALpAU0h4EAF4fYuh</t>
  </si>
  <si>
    <t>EMI</t>
  </si>
  <si>
    <t>Do They Know It's Christmas? - 1984 Version</t>
  </si>
  <si>
    <t>Band Aid</t>
  </si>
  <si>
    <t>spotify:track:4Yg2w0P29BBBMixyeNjDtj</t>
  </si>
  <si>
    <t>spotify:track:4Yf6QS1hjFWT1qMqvpzNcK</t>
  </si>
  <si>
    <t>WE NEED ALL DA VIBES (with Young Thug &amp; Ty Dolla $ign)</t>
  </si>
  <si>
    <t>spotify:track:4XcZp2xqbiD8YsnPboNUDo</t>
  </si>
  <si>
    <t>Pakistani Pop</t>
  </si>
  <si>
    <t>Giraffe Music</t>
  </si>
  <si>
    <t>Jhol</t>
  </si>
  <si>
    <t>spotify:track:4XTgFBxBHN6var1BzAgE1m</t>
  </si>
  <si>
    <t>Tarot</t>
  </si>
  <si>
    <t>.Feast</t>
  </si>
  <si>
    <t>spotify:track:4XHijJfABTtUCW3Bp6KFvr</t>
  </si>
  <si>
    <t>Third Pardee Records</t>
  </si>
  <si>
    <t>Lean On (feat. MØ &amp; DJ Snake)</t>
  </si>
  <si>
    <t>spotify:track:4WxU1gDVmoH6gstgR0MT78</t>
  </si>
  <si>
    <t>Love Me Not</t>
  </si>
  <si>
    <t>spotify:track:4WFgvKVfEhb3IUAFGrutTR</t>
  </si>
  <si>
    <t>EYES CLOSED (with ZAYN)</t>
  </si>
  <si>
    <t>spotify:track:4WFfPxJv1KRekG6mxn837K</t>
  </si>
  <si>
    <t>CHANEL</t>
  </si>
  <si>
    <t>spotify:track:4VxTzYm00mg82MuoT35Ja7</t>
  </si>
  <si>
    <t>Eu Te Seguro - Ao Vivo</t>
  </si>
  <si>
    <t>spotify:track:4V2rUOmaevK0C1bKAkeFf5</t>
  </si>
  <si>
    <t>I Love You So</t>
  </si>
  <si>
    <t>The Walters</t>
  </si>
  <si>
    <t>spotify:track:4SqWKzw0CbA05TGszDgMlc</t>
  </si>
  <si>
    <t>Vitinho Imperador</t>
  </si>
  <si>
    <t>Eu Me Apaixonei</t>
  </si>
  <si>
    <t>spotify:track:4SjcIkVc4cvFgURD1EHxDM</t>
  </si>
  <si>
    <t>Nobody’s Son</t>
  </si>
  <si>
    <t>spotify:track:4SRShYMtFIGgnOU7iBicMH</t>
  </si>
  <si>
    <t>BOLOLO REC</t>
  </si>
  <si>
    <t>Amo Minha Favela</t>
  </si>
  <si>
    <t>spotify:track:4S1SaaCxQ87nXpA2EfYFj4</t>
  </si>
  <si>
    <t>Pop Rock</t>
  </si>
  <si>
    <t>Everybody Wants To Rule The World</t>
  </si>
  <si>
    <t>Tears For Fears</t>
  </si>
  <si>
    <t>Fearless Records</t>
  </si>
  <si>
    <t>Hey There Delilah</t>
  </si>
  <si>
    <t>Plain White T's</t>
  </si>
  <si>
    <t>spotify:track:4RCWB3V8V0dignt99LZ8vH</t>
  </si>
  <si>
    <t>TulusCompany</t>
  </si>
  <si>
    <t>Teh Hijau</t>
  </si>
  <si>
    <t>Tulus</t>
  </si>
  <si>
    <t>spotify:track:4R9G7azXaZe93KTX65P9fU</t>
  </si>
  <si>
    <t>cardigan</t>
  </si>
  <si>
    <t>spotify:track:4R2kfaDFhslZEMJqAFNpdd</t>
  </si>
  <si>
    <t>Mr.305/Polo Grounds Music/J Records</t>
  </si>
  <si>
    <t>Give Me Everything (feat. Nayer)</t>
  </si>
  <si>
    <t>spotify:track:4QNpBfC0zvjKqPJcyqBy9W</t>
  </si>
  <si>
    <t>Have Yourself a Merry Little Christmas</t>
  </si>
  <si>
    <t>spotify:track:4QMEcIbG9GtSrkbvk7Pswd</t>
  </si>
  <si>
    <t>Miss possessive</t>
  </si>
  <si>
    <t>spotify:track:4Q9ExJGFgL9Jd9kmYH3nXs</t>
  </si>
  <si>
    <t>spotify:track:4Q0qVhFQa7j6jRKzo3HDmP</t>
  </si>
  <si>
    <t>Good Days</t>
  </si>
  <si>
    <t>spotify:track:4PMqSO5qyjpvzhlLI5GnID</t>
  </si>
  <si>
    <t>SOLEAO</t>
  </si>
  <si>
    <t>Reliquia</t>
  </si>
  <si>
    <t>spotify:track:4ORvXsPK9AJmDzm36BYcdy</t>
  </si>
  <si>
    <t>PRESIDENTE</t>
  </si>
  <si>
    <t>spotify:track:4OLT65TRsOx3Iv1TlCcQVb</t>
  </si>
  <si>
    <t>Rancho Humilde</t>
  </si>
  <si>
    <t>Ya Borracho</t>
  </si>
  <si>
    <t>Herencia De Grandes</t>
  </si>
  <si>
    <t>spotify:track:4NyUIohBa3CEMGcXURYSOh</t>
  </si>
  <si>
    <t>Socios Music, LLC</t>
  </si>
  <si>
    <t>Ese Vato No Te Queda</t>
  </si>
  <si>
    <t>spotify:track:4Ndjd6DhKIC5IPoBIrMQuX</t>
  </si>
  <si>
    <t>COMO CAPO</t>
  </si>
  <si>
    <t>spotify:track:4N1dogCaVWnGyFdPjdqNWF</t>
  </si>
  <si>
    <t>DÁKITI</t>
  </si>
  <si>
    <t>spotify:track:4MzXwWMhyBbmu6hOcLVD49</t>
  </si>
  <si>
    <t>Baby, It's Cold Outside</t>
  </si>
  <si>
    <t>Dean Martin</t>
  </si>
  <si>
    <t>spotify:track:4MrfQL4TYQXJBlZYpAHTuE</t>
  </si>
  <si>
    <t>MONACO</t>
  </si>
  <si>
    <t>spotify:track:4MjDJD8cW7iVeWInc2Bdyj</t>
  </si>
  <si>
    <t>Lauv</t>
  </si>
  <si>
    <t>I Like Me Better</t>
  </si>
  <si>
    <t>spotify:track:4MagTPnkPiDuIa4P8GtW1b</t>
  </si>
  <si>
    <t>spotify:track:4MWodKBTAsRNWm5axHLxLR</t>
  </si>
  <si>
    <t>KLOuFRENS</t>
  </si>
  <si>
    <t>spotify:track:4MUrUT38U98olfnyzMBCzm</t>
  </si>
  <si>
    <t>Look To Windward</t>
  </si>
  <si>
    <t>spotify:track:4Lojbtk7XNMdSKRHSFbdkm</t>
  </si>
  <si>
    <t>KING</t>
  </si>
  <si>
    <t>spotify:track:4LP6bmyAxdMNrqUrMpaVQ8</t>
  </si>
  <si>
    <t>Afusic</t>
  </si>
  <si>
    <t>Pal Pal</t>
  </si>
  <si>
    <t>spotify:track:4LMlVCXHJtCE9abhmn0mYo</t>
  </si>
  <si>
    <t>PINKY UP</t>
  </si>
  <si>
    <t>spotify:track:4KmkJjHTNlr1jFY56Lyz4E</t>
  </si>
  <si>
    <t>Robots &amp; Humans</t>
  </si>
  <si>
    <t>NOBLE</t>
  </si>
  <si>
    <t>F3miii</t>
  </si>
  <si>
    <t>DEEPER</t>
  </si>
  <si>
    <t>spotify:track:4JeD0FGslDsMeeahEGZa2L</t>
  </si>
  <si>
    <t>my way</t>
  </si>
  <si>
    <t>spotify:track:4Ilw2lD6z4WBqh65vUUZUf</t>
  </si>
  <si>
    <t>Even In Arcadia</t>
  </si>
  <si>
    <t>spotify:track:4IixOTCzviJgIigKleiVbo</t>
  </si>
  <si>
    <t>FORTAL MUSIC</t>
  </si>
  <si>
    <t>Mãe Solteira</t>
  </si>
  <si>
    <t>spotify:track:4Hk1gmBr2KVEXr3hHwSgUi</t>
  </si>
  <si>
    <t>Jingle Bells - Remastered 1999</t>
  </si>
  <si>
    <t>Frank Sinatra</t>
  </si>
  <si>
    <t>spotify:track:4HEOgBHRCExyYVeTyrXsnL</t>
  </si>
  <si>
    <t>SPIDER-MAN SUPERMAN</t>
  </si>
  <si>
    <t>spotify:track:4GqhG9rDuRUoNyDSMJ0Brq</t>
  </si>
  <si>
    <t>sobelove</t>
  </si>
  <si>
    <t>Beéle</t>
  </si>
  <si>
    <t>spotify:track:4GZOxR1IuvoRiUz0gpmASl</t>
  </si>
  <si>
    <t>Posso Até Não Te Dar Flores</t>
  </si>
  <si>
    <t>spotify:track:4G7bbgD2DHORU4frrWoCXp</t>
  </si>
  <si>
    <t>Rosary (feat. Travis Scott)</t>
  </si>
  <si>
    <t>spotify:track:4FUQtedaG22FWZ6lGyRApm</t>
  </si>
  <si>
    <t>spotify:track:4EoJ151oQ5jY48z4RhSE96</t>
  </si>
  <si>
    <t>Do You Hear What I Hear? - Remastered 2006</t>
  </si>
  <si>
    <t>spotify:track:4EZUcj7c8n9pWIwHqN0DoH</t>
  </si>
  <si>
    <t>Heartless</t>
  </si>
  <si>
    <t>Kanye West</t>
  </si>
  <si>
    <t>spotify:track:4EWCNWgDS8707fNSZ1oaA5</t>
  </si>
  <si>
    <t>spotify:track:4EIFwndJvGpgFjsEbNuYif</t>
  </si>
  <si>
    <t>As It Was</t>
  </si>
  <si>
    <t>spotify:track:4Dvkj6JhhA12EX05fT7y2e</t>
  </si>
  <si>
    <t>Merengue</t>
  </si>
  <si>
    <t>La Ciudad</t>
  </si>
  <si>
    <t>capaz (merengueton)</t>
  </si>
  <si>
    <t>spotify:track:4DnrAI8WyUY6gkOwl8GlPN</t>
  </si>
  <si>
    <t>spotify:track:4CPuDVC8jhhK6lA2DIt8Cf</t>
  </si>
  <si>
    <t>putielegante</t>
  </si>
  <si>
    <t>spotify:track:4BXbjwe562hQ8AzEV5lmPc</t>
  </si>
  <si>
    <t>Craft Recordings</t>
  </si>
  <si>
    <t>Fortunate Son</t>
  </si>
  <si>
    <t>Creedence Clearwater Revival</t>
  </si>
  <si>
    <t>spotify:track:4BP3uh0hFLFRb5cjsgLqDh</t>
  </si>
  <si>
    <t>NORMAL</t>
  </si>
  <si>
    <t>spotify:track:4B4Q7zfd0aHcuhQBfCRnH5</t>
  </si>
  <si>
    <t>What Do You Mean?</t>
  </si>
  <si>
    <t>spotify:track:4B0JvthVoAAuygILe3n4Bs</t>
  </si>
  <si>
    <t>undressed</t>
  </si>
  <si>
    <t>void</t>
  </si>
  <si>
    <t>LUNA BALA - Slowed</t>
  </si>
  <si>
    <t>spotify:track:49t3uvN9hUNefdvtaD6HBj</t>
  </si>
  <si>
    <t>stupid song</t>
  </si>
  <si>
    <t>spotify:track:49j6SvuvWfbEKZKzsHCdLJ</t>
  </si>
  <si>
    <t>spotify:track:48Z9ixFIkuzJMATvfFJHIz</t>
  </si>
  <si>
    <t>No Lie</t>
  </si>
  <si>
    <t>spotify:track:48QmG1dfvMuYLxMPt7KSRA</t>
  </si>
  <si>
    <t>Rudolph The Red-Nosed Reindeer</t>
  </si>
  <si>
    <t>spotify:track:47otoIkhx3fkdivEXL5OB6</t>
  </si>
  <si>
    <t>Darlene Love</t>
  </si>
  <si>
    <t>spotify:track:47ohYW8e7dxCYn9qbUMBCI</t>
  </si>
  <si>
    <t>2025 JERE KLEIN</t>
  </si>
  <si>
    <t>TODO KE VER</t>
  </si>
  <si>
    <t>spotify:track:47aX1tXPTBpAG8Y2iAYmiy</t>
  </si>
  <si>
    <t>DOG HOUSE (feat. Julia Wolf &amp; Yeat)</t>
  </si>
  <si>
    <t>spotify:track:47Sa7pC00F7D5Z0i7HC5la</t>
  </si>
  <si>
    <t>Don't Stop 'Til You Get Enough</t>
  </si>
  <si>
    <t>spotify:track:46eu3SBuFCXWsPT39Yg3tJ</t>
  </si>
  <si>
    <t>Insolito LLC</t>
  </si>
  <si>
    <t>MOJABI GHOST</t>
  </si>
  <si>
    <t>spotify:track:46YjJXVXWHlQ21odKktg5e</t>
  </si>
  <si>
    <t>Easy On Me</t>
  </si>
  <si>
    <t>Adele</t>
  </si>
  <si>
    <t>spotify:track:46IZ0fSY2mpAiktS3KOqds</t>
  </si>
  <si>
    <t>Don't You Worry Baby (feat. Madison McFerrin)</t>
  </si>
  <si>
    <t>spotify:track:45mVT3DCE7AATXgESSdfee</t>
  </si>
  <si>
    <t>Afinarte Music</t>
  </si>
  <si>
    <t>Ayúdame</t>
  </si>
  <si>
    <t>LOS DOS DE TAMAULIPAS</t>
  </si>
  <si>
    <t>spotify:track:45f6FcdWcuBGB4GvFuwr9f</t>
  </si>
  <si>
    <t>Aperture</t>
  </si>
  <si>
    <t>Jazz Pop</t>
  </si>
  <si>
    <t>From The Start</t>
  </si>
  <si>
    <t>spotify:track:43iIQbw5hx986dUEZbr3eN</t>
  </si>
  <si>
    <t>Champion</t>
  </si>
  <si>
    <t>spotify:track:43BJVWcBzHRIDaQCg7abnX</t>
  </si>
  <si>
    <t>Amapola</t>
  </si>
  <si>
    <t>spotify:track:43558Td2trz7O0chZYohEE</t>
  </si>
  <si>
    <t>FloyyMenor under exclusive license to UnitedMasters LLC</t>
  </si>
  <si>
    <t>PELIGROSA</t>
  </si>
  <si>
    <t>FloyyMenor</t>
  </si>
  <si>
    <t>spotify:track:42wdz3j7gstgUuhoFLCXqd</t>
  </si>
  <si>
    <t>Nettwerk Music Group</t>
  </si>
  <si>
    <t>Duvet</t>
  </si>
  <si>
    <t>bôa</t>
  </si>
  <si>
    <t>spotify:track:42qNWdLKCI41S4uzfamhFM</t>
  </si>
  <si>
    <t>Cactus Jack/Epic</t>
  </si>
  <si>
    <t>FE!N (feat. Playboi Carti)</t>
  </si>
  <si>
    <t>spotify:track:42VsgItocQwOQC3XWZ8JNA</t>
  </si>
  <si>
    <t>Tears</t>
  </si>
  <si>
    <t>spotify:track:42VUCXerQ5qTr4Qp6PhKo4</t>
  </si>
  <si>
    <t>Manchild</t>
  </si>
  <si>
    <t>THIS A MUST</t>
  </si>
  <si>
    <t>spotify:track:41e8XO5tcG6Uesk2FhdsWm</t>
  </si>
  <si>
    <t>Sony Music India / Nine</t>
  </si>
  <si>
    <t>Sheesha - Aakhya Mai Aakh Ghali Jo Bairan</t>
  </si>
  <si>
    <t>spotify:track:412poAqbwD8OC0dYD1nBkV</t>
  </si>
  <si>
    <t>fitterkarma</t>
  </si>
  <si>
    <t>Pag-Ibig ay Kanibalismo II</t>
  </si>
  <si>
    <t>spotify:track:410fyfFghBsxNu45LiNJ24</t>
  </si>
  <si>
    <t>HOT</t>
  </si>
  <si>
    <t>EL CLúB</t>
  </si>
  <si>
    <t>Stop The Wedding!</t>
  </si>
  <si>
    <t>Ashe</t>
  </si>
  <si>
    <t>spotify:track:3zOYmiNOuyDL0ClxJcEJ0T</t>
  </si>
  <si>
    <t>Electronic</t>
  </si>
  <si>
    <t>EMI Recorded Music Australia Pty Ltd</t>
  </si>
  <si>
    <t>We Are The People</t>
  </si>
  <si>
    <t>Empire Of The Sun</t>
  </si>
  <si>
    <t>Opalite</t>
  </si>
  <si>
    <t>spotify:track:3yWuTOYDztXjZxdE2cIRUa</t>
  </si>
  <si>
    <t>Big Loud Records / Mercury Records</t>
  </si>
  <si>
    <t>Been By Now</t>
  </si>
  <si>
    <t>spotify:track:3xwMjQriBVW0OGEvNKo9c0</t>
  </si>
  <si>
    <t>Beautiful Things</t>
  </si>
  <si>
    <t>spotify:track:3xkHsmpQCBMytMJNiDf3Ii</t>
  </si>
  <si>
    <t>Pink + White</t>
  </si>
  <si>
    <t>Frank Ocean</t>
  </si>
  <si>
    <t>spotify:track:3xKsf9qdS1CyvXSMEid6g8</t>
  </si>
  <si>
    <t>Taste Back</t>
  </si>
  <si>
    <t>spotify:track:3xClevycpBON8bkyxFbAna</t>
  </si>
  <si>
    <t>Sorry I'm Here For Someone Else</t>
  </si>
  <si>
    <t>They Don't Care About Us</t>
  </si>
  <si>
    <t>spotify:track:3wuCCNCnBhJlwkIJTBZFiv</t>
  </si>
  <si>
    <t>Virgin Records Ltd</t>
  </si>
  <si>
    <t>La La La</t>
  </si>
  <si>
    <t>spotify:track:3wPPWcVuinAU7dXcJXtCID</t>
  </si>
  <si>
    <t>Dead Oceans</t>
  </si>
  <si>
    <t>My Love Mine All Mine</t>
  </si>
  <si>
    <t>Mitski</t>
  </si>
  <si>
    <t>spotify:track:3vkCueOmm7xQDoJ17W1Pm3</t>
  </si>
  <si>
    <t>Zoo</t>
  </si>
  <si>
    <t>spotify:track:3vJIaiTIHxHhYafTSPNiH4</t>
  </si>
  <si>
    <t>Netflix Music</t>
  </si>
  <si>
    <t>Ishq Hai</t>
  </si>
  <si>
    <t>spotify:track:3vCzLB6kS2lGcIpm1OOUsy</t>
  </si>
  <si>
    <t>Sticky (feat. GloRilla, Sexyy Red &amp; Lil Wayne)</t>
  </si>
  <si>
    <t>spotify:track:3tFed7YsjGnIfxeLEQwx3R</t>
  </si>
  <si>
    <t>M&amp;M</t>
  </si>
  <si>
    <t>spotify:track:3t72JCbFJ3syOhFC7x9Pa4</t>
  </si>
  <si>
    <t>TWIN TRIM (with Lil Uzi Vert)</t>
  </si>
  <si>
    <t>spotify:track:3surY3LebvLLdJezmiKUBO</t>
  </si>
  <si>
    <t>Nice Life/Atlantic</t>
  </si>
  <si>
    <t>No One Noticed</t>
  </si>
  <si>
    <t>The Marías</t>
  </si>
  <si>
    <t>spotify:track:3siwsiaEoU4Kuuc9WKMUy5</t>
  </si>
  <si>
    <t>DtMF</t>
  </si>
  <si>
    <t>spotify:track:3sK8wGT43QFpWrvNQsrQya</t>
  </si>
  <si>
    <t>Firm Friends</t>
  </si>
  <si>
    <t>spotify:track:3rssNOLucK9fzsRcKonhYu</t>
  </si>
  <si>
    <t>greedy</t>
  </si>
  <si>
    <t>spotify:track:3rUGC1vUpkDG9CZFHMur1t</t>
  </si>
  <si>
    <t>De Lejitos</t>
  </si>
  <si>
    <t>Jay Wheeler</t>
  </si>
  <si>
    <t>spotify:track:3r2ZoCWlf9RewWlxxozfQ8</t>
  </si>
  <si>
    <t>Djo</t>
  </si>
  <si>
    <t>End of Beginning</t>
  </si>
  <si>
    <t>spotify:track:3qhlB30KknSejmIvZZLjOD</t>
  </si>
  <si>
    <t>CHAVALITAS</t>
  </si>
  <si>
    <t>spotify:track:3qdeRGn9erK9sjs1kUtBys</t>
  </si>
  <si>
    <t>Feliz Navidad</t>
  </si>
  <si>
    <t>José Feliciano</t>
  </si>
  <si>
    <t>spotify:track:3qCeq0rWK67SoBDgFd2sId</t>
  </si>
  <si>
    <t>No. 29</t>
  </si>
  <si>
    <t>spotify:track:3plyGpDgzfrnZbpElpfioV</t>
  </si>
  <si>
    <t>Disco</t>
  </si>
  <si>
    <t>Upside Down</t>
  </si>
  <si>
    <t>Diana Ross</t>
  </si>
  <si>
    <t>spotify:track:3pbtBomO4Zt5gGiqsYeiBH</t>
  </si>
  <si>
    <t>Partisan Records</t>
  </si>
  <si>
    <t>Cry</t>
  </si>
  <si>
    <t>Cigarettes After Sex</t>
  </si>
  <si>
    <t>spotify:track:3p4hRhMcb6ch8OLtATMaLw</t>
  </si>
  <si>
    <t>Animal</t>
  </si>
  <si>
    <t>spotify:track:3ouNEk0tv5TTi8VWMe1xbX</t>
  </si>
  <si>
    <t>British Rap</t>
  </si>
  <si>
    <t>Neighbourhood</t>
  </si>
  <si>
    <t>Raindance (feat. Tems)</t>
  </si>
  <si>
    <t>spotify:track:3oTuTpF1F3A7rEC6RKsMRz</t>
  </si>
  <si>
    <t>Slap The City (feat. Qendresa)</t>
  </si>
  <si>
    <t>spotify:track:3nwcQXP0mBmXmlrirQxCkz</t>
  </si>
  <si>
    <t>Epic/Phonogenic</t>
  </si>
  <si>
    <t>The Man Who Can't Be Moved</t>
  </si>
  <si>
    <t>The Script</t>
  </si>
  <si>
    <t>spotify:track:3nqqDo8CcCLke3ZoTgiOKf</t>
  </si>
  <si>
    <t>Given Up On Me</t>
  </si>
  <si>
    <t>spotify:track:3niLgyM9yJTaZMpeXjjSSk</t>
  </si>
  <si>
    <t>Jingle Bells (feat. The Puppini Sisters)</t>
  </si>
  <si>
    <t>spotify:track:3nfxV3jfRcRWISwek49LTg</t>
  </si>
  <si>
    <t>Bad Dreams</t>
  </si>
  <si>
    <t>Teddy Swims</t>
  </si>
  <si>
    <t>Underneath the Tree</t>
  </si>
  <si>
    <t>Kelly Clarkson</t>
  </si>
  <si>
    <t>spotify:track:3nAp4IvdMPPWEH9uuXFFV5</t>
  </si>
  <si>
    <t>I Saw Mommy Kissing Santa Claus</t>
  </si>
  <si>
    <t>spotify:track:3lkYS3iMpWMVpaJ0yJAFrJ</t>
  </si>
  <si>
    <t>RADAR</t>
  </si>
  <si>
    <t>spotify:track:3lAEHk0eZzMKtCUFLXz8Ln</t>
  </si>
  <si>
    <t>September</t>
  </si>
  <si>
    <t>spotify:track:3kXoKlD84c6OmIcOLfrfEs</t>
  </si>
  <si>
    <t>Ojitos Lindos</t>
  </si>
  <si>
    <t>spotify:track:3k3NWokhRRkEPhCzPmV8TW</t>
  </si>
  <si>
    <t>SHE DID IT AGAIN (feat. Zara Larsson)</t>
  </si>
  <si>
    <t>spotify:track:3jucj0h0tajme6rUEadmWN</t>
  </si>
  <si>
    <t>I Smoked Away My Brain (I'm God x Demons Mashup) (feat. Imogen Heap &amp; Clams Casino)</t>
  </si>
  <si>
    <t>spotify:track:3jnYCrF7UpSYAwwy1URW8d</t>
  </si>
  <si>
    <t>Adore You</t>
  </si>
  <si>
    <t>spotify:track:3jjujdWJ72nww5eGnfs2E7</t>
  </si>
  <si>
    <t>JETSKI</t>
  </si>
  <si>
    <t>spotify:track:3jhyw60F61gc7nC4dblqtC</t>
  </si>
  <si>
    <t>spotify:track:3jS9G4KmuOwuawj3k4Smpc</t>
  </si>
  <si>
    <t>spotify:track:3jAshemiRYWukWLtT3Ivrb</t>
  </si>
  <si>
    <t>spotify:track:3j6CeoBBlm40Msn1JE1SPD</t>
  </si>
  <si>
    <t>POP OUT</t>
  </si>
  <si>
    <t>spotify:track:3j3SfV4hAcR4XjCvW393Gr</t>
  </si>
  <si>
    <t>hate that i made you love me</t>
  </si>
  <si>
    <t>Doors</t>
  </si>
  <si>
    <t>spotify:track:3iU2qsthCTo5EeTE03l3Si</t>
  </si>
  <si>
    <t>Rostrum Records</t>
  </si>
  <si>
    <t>The Spins</t>
  </si>
  <si>
    <t>spotify:track:3hxIUxnT27p5WcmjGUXNwx</t>
  </si>
  <si>
    <t>Marlboro Rojo</t>
  </si>
  <si>
    <t>spotify:track:3hpm0fTeSqlhJbnqAgaLZs</t>
  </si>
  <si>
    <t>LoveDrug</t>
  </si>
  <si>
    <t>spotify:track:3hcivoswCVR8LZkHR8MYA5</t>
  </si>
  <si>
    <t>august</t>
  </si>
  <si>
    <t>spotify:track:3hUxzQpSfdDqwM3ZTFQY0K</t>
  </si>
  <si>
    <t>spotify:track:3hRV0jL3vUpRrcy398teAU</t>
  </si>
  <si>
    <t>Dirty Hit</t>
  </si>
  <si>
    <t>About You</t>
  </si>
  <si>
    <t>The 1975</t>
  </si>
  <si>
    <t>Porcelana</t>
  </si>
  <si>
    <t>spotify:track:3hETtcSLmNncBjPMLHtVZs</t>
  </si>
  <si>
    <t>De Madrugá</t>
  </si>
  <si>
    <t>spotify:track:3h64Lbm3TXMBSByfnRQyZE</t>
  </si>
  <si>
    <t>BbY WOW</t>
  </si>
  <si>
    <t>spotify:track:3h5T5JypYU7huFiVYhv1dr</t>
  </si>
  <si>
    <t>Pink Clouding</t>
  </si>
  <si>
    <t>spotify:track:3gyJbNBTRVRdZDA1yO3clm</t>
  </si>
  <si>
    <t>Zombie - 2025 Remastered</t>
  </si>
  <si>
    <t>The Cranberries</t>
  </si>
  <si>
    <t>spotify:track:3gjHnylel3PTRpjS44ocqr</t>
  </si>
  <si>
    <t>Handlebars (feat. Dua Lipa)</t>
  </si>
  <si>
    <t>spotify:track:3gJAFFELdZyIM8tiwLAikg</t>
  </si>
  <si>
    <t>dandelion</t>
  </si>
  <si>
    <t>spotify:track:3fxDcaiomBMomHdMeCSsZ2</t>
  </si>
  <si>
    <t>Somewhere I Belong</t>
  </si>
  <si>
    <t>spotify:track:3fjmSxt0PskST13CSdBUFx</t>
  </si>
  <si>
    <t>Post-Hardcore</t>
  </si>
  <si>
    <t>So Far So Fake</t>
  </si>
  <si>
    <t>Pierce The Veil</t>
  </si>
  <si>
    <t>spotify:track:3fWibgdtgIie6LKTZ2rUoI</t>
  </si>
  <si>
    <t>spotify:track:3fRCAPMMZ8l8P9YKI6OCzD</t>
  </si>
  <si>
    <t>Killin' It Girl - Solo Version</t>
  </si>
  <si>
    <t>spotify:track:3efpTAvesRrJYCTx4w2UVc</t>
  </si>
  <si>
    <t>HIGHEST IN THE ROOM</t>
  </si>
  <si>
    <t>spotify:track:3eekarcy7kvN4yt5ZFzltW</t>
  </si>
  <si>
    <t>dopamina</t>
  </si>
  <si>
    <t>spotify:track:3e32UUqXzrI4g2y5kNZrwC</t>
  </si>
  <si>
    <t>The Door</t>
  </si>
  <si>
    <t>spotify:track:3dj4wgM3cPeuLwMNHDuBon</t>
  </si>
  <si>
    <t>Coleccionando Heridas</t>
  </si>
  <si>
    <t>spotify:track:3ddJ8Vbc5tYPxq5zKRVke6</t>
  </si>
  <si>
    <t>Take Me To Church</t>
  </si>
  <si>
    <t>Hozier</t>
  </si>
  <si>
    <t>like i do</t>
  </si>
  <si>
    <t>spotify:track:3d1oTMjtfVySbAYQp3v4MU</t>
  </si>
  <si>
    <t>Hips Don't Lie (feat. Wyclef Jean)</t>
  </si>
  <si>
    <t>No Broke Boys</t>
  </si>
  <si>
    <t>spotify:track:3cZajhyr8LmtPfHZ9296tj</t>
  </si>
  <si>
    <t>The Hardest Part</t>
  </si>
  <si>
    <t>spotify:track:3cPoiK69oQ1SdbB2j2ulGm</t>
  </si>
  <si>
    <t>Plot Twist</t>
  </si>
  <si>
    <t>spotify:track:3cLCA9LSb6UiOeNvTZoaav</t>
  </si>
  <si>
    <t>Mr.305/Polo Grounds Music/RCA Records</t>
  </si>
  <si>
    <t>Timber</t>
  </si>
  <si>
    <t>spotify:track:3cHyrEgdyYRjgJKSOiOtcS</t>
  </si>
  <si>
    <t>2.0</t>
  </si>
  <si>
    <t>spotify:track:3bmpXHVie1GTy37OkXJ7Vc</t>
  </si>
  <si>
    <t>BMG Rights Management (US) LLC</t>
  </si>
  <si>
    <t>blue</t>
  </si>
  <si>
    <t>yung kai</t>
  </si>
  <si>
    <t>spotify:track:3be9ACTxtcL6Zm4vJRUiPG</t>
  </si>
  <si>
    <t>warm</t>
  </si>
  <si>
    <t>spotify:track:3bdSZEgKApb7vGxDxyrpdO</t>
  </si>
  <si>
    <t>Jazz</t>
  </si>
  <si>
    <t>Christmas Time Is Here</t>
  </si>
  <si>
    <t>Vince Guaraldi Trio</t>
  </si>
  <si>
    <t>spotify:track:3bMfUUpzUzqWp9II00yRhE</t>
  </si>
  <si>
    <t>Take My Mind</t>
  </si>
  <si>
    <t>spotify:track:3bB97PIqXf7WtkKeuYuXFS</t>
  </si>
  <si>
    <t>Quevedo</t>
  </si>
  <si>
    <t>TUCHAT</t>
  </si>
  <si>
    <t>spotify:track:3bAAv8knmzFpYQsLFoK6de</t>
  </si>
  <si>
    <t>Last Friday Night (T.G.I.F.)</t>
  </si>
  <si>
    <t>spotify:track:3avYqdwHKEq8beXbeWCKqJ</t>
  </si>
  <si>
    <t>30 For 30 (with Kendrick Lamar)</t>
  </si>
  <si>
    <t>spotify:track:3aSWXU6owkZeVhh94XxEWO</t>
  </si>
  <si>
    <t>Pop Punk</t>
  </si>
  <si>
    <t>EST 19XX, LLC, under exclusive license to Interscope Records</t>
  </si>
  <si>
    <t>cliché</t>
  </si>
  <si>
    <t>mgk</t>
  </si>
  <si>
    <t>spotify:track:3aD33slymVwdEcdbKUBnDu</t>
  </si>
  <si>
    <t>spotify:track:3ZOEytgrvLwQaqXreDs2Jx</t>
  </si>
  <si>
    <t>spotify:track:3ZFTkvIE7kyPt6Nu3PEa7V</t>
  </si>
  <si>
    <t>Afro Pop</t>
  </si>
  <si>
    <t>Waka Waka (This Time for Africa) [The Official 2010 FIFA World Cup (TM) Song] (feat. Freshlyground)</t>
  </si>
  <si>
    <t>spotify:track:3XyCSaEvFQeflTqlF8FAjL</t>
  </si>
  <si>
    <t>White Christmas - 1947 Version</t>
  </si>
  <si>
    <t>spotify:track:3XsaSIPWvM61RIFfeb0BBR</t>
  </si>
  <si>
    <t>Mommanem</t>
  </si>
  <si>
    <t>spotify:track:3WgFhZfyk5nb6v7hkwPmD4</t>
  </si>
  <si>
    <t>American Cars</t>
  </si>
  <si>
    <t>spotify:track:3WRgRy12YW4I9mjodKXWwy</t>
  </si>
  <si>
    <t>MOJO JOJO</t>
  </si>
  <si>
    <t>spotify:track:3WRUvGqySBZC6RkB5c2w1S</t>
  </si>
  <si>
    <t>SWAG</t>
  </si>
  <si>
    <t>spotify:track:3WQ5w7ruC3c861lHXF9Gs2</t>
  </si>
  <si>
    <t>Take Me Back To LA</t>
  </si>
  <si>
    <t>spotify:track:3W5Y2d0HB3sgubDAYXGRKn</t>
  </si>
  <si>
    <t>Stargazing</t>
  </si>
  <si>
    <t>Myles Smith</t>
  </si>
  <si>
    <t>spotify:track:3Vr3zh0r7ALn8VLqCiRR10</t>
  </si>
  <si>
    <t>Merry Go Round</t>
  </si>
  <si>
    <t>spotify:track:3VegC0PZiHjGxb80DER8XU</t>
  </si>
  <si>
    <t>CRUSH (with Travis Scott)</t>
  </si>
  <si>
    <t>spotify:track:3VdooJLOy4tLxKpnn46SMP</t>
  </si>
  <si>
    <t>Let Alone The One You Love</t>
  </si>
  <si>
    <t>spotify:track:3Vd4fHzwS6pBS3muymjiDi</t>
  </si>
  <si>
    <t>WM UK</t>
  </si>
  <si>
    <t>Fairytale of New York (feat. Kirsty MacColl)</t>
  </si>
  <si>
    <t>spotify:track:3VTNVsTTu05dmTsVFrmGpK</t>
  </si>
  <si>
    <t>Heat Waves</t>
  </si>
  <si>
    <t>Glass Animals</t>
  </si>
  <si>
    <t>spotify:track:3USxtqRwSYz57Ewm6wWRMp</t>
  </si>
  <si>
    <t>Boyfriend</t>
  </si>
  <si>
    <t>spotify:track:3UGIZ8qcrMTwzLbx6Kttqt</t>
  </si>
  <si>
    <t>Sony Music CG</t>
  </si>
  <si>
    <t>Unwritten</t>
  </si>
  <si>
    <t>Natasha Bedingfield</t>
  </si>
  <si>
    <t>spotify:track:3U5JVgI2x4rDyHGObzJfNf</t>
  </si>
  <si>
    <t>G.O.O.D. Music/Columbia</t>
  </si>
  <si>
    <t>All of Me</t>
  </si>
  <si>
    <t>John Legend</t>
  </si>
  <si>
    <t>spotify:track:3U4isOIWM3VvDubwSI3y7a</t>
  </si>
  <si>
    <t>BMF</t>
  </si>
  <si>
    <t>spotify:track:3U3hFkMr0Q90pD24EkE3Pr</t>
  </si>
  <si>
    <t>UME - Global Clearing House</t>
  </si>
  <si>
    <t>spotify:track:3U0K5zLGVVIHoAXQolRGEP</t>
  </si>
  <si>
    <t>Hybe/Geffen</t>
  </si>
  <si>
    <t>Internet Girl</t>
  </si>
  <si>
    <t>spotify:track:3THVfoVD5kdCxPviVaCPi7</t>
  </si>
  <si>
    <t>Feel It (From “Invincible”)</t>
  </si>
  <si>
    <t>spotify:track:3SAga35lAPYdjj3qyfEsCF</t>
  </si>
  <si>
    <t>How It’s Done</t>
  </si>
  <si>
    <t>spotify:track:3RXUgPNIbUgFxsDWuBQEt6</t>
  </si>
  <si>
    <t>Carla's Song</t>
  </si>
  <si>
    <t>spotify:track:3QuRLv8zkIYH31O5VgEpmo</t>
  </si>
  <si>
    <t>RCA Victor</t>
  </si>
  <si>
    <t>Blue Christmas</t>
  </si>
  <si>
    <t>Elvis Presley</t>
  </si>
  <si>
    <t>spotify:track:3QiAAp20rPC3dcAtKtMaqQ</t>
  </si>
  <si>
    <t>WILDFLOWER</t>
  </si>
  <si>
    <t>spotify:track:3QaPy1KgI7nu9FJEQUgn6h</t>
  </si>
  <si>
    <t>Rhino/Elektra</t>
  </si>
  <si>
    <t>Please Come Home for Christmas - 2013 Remaster</t>
  </si>
  <si>
    <t>Eagles</t>
  </si>
  <si>
    <t>spotify:track:3QIoEi8Enr9uHffwInGIsC</t>
  </si>
  <si>
    <t>Treat You Better</t>
  </si>
  <si>
    <t>spotify:track:3QGsuHI8jO1Rx4JWLUh9jd</t>
  </si>
  <si>
    <t>Mariah Carey</t>
  </si>
  <si>
    <t>spotify:track:3PIDciSFdrQxSQSihim3hN</t>
  </si>
  <si>
    <t>It's ok I'm ok</t>
  </si>
  <si>
    <t>spotify:track:3OfqwyE7RrZrtuxCRixfII</t>
  </si>
  <si>
    <t>Devil in Disguise</t>
  </si>
  <si>
    <t>Marino</t>
  </si>
  <si>
    <t>spotify:track:3MKhTroJs5GF9H7LqN9fiw</t>
  </si>
  <si>
    <t>Smile</t>
  </si>
  <si>
    <t>spotify:track:3MJ6lFNV12FSHAOzTzkwxz</t>
  </si>
  <si>
    <t>Alternative R&amp;B</t>
  </si>
  <si>
    <t>Swim</t>
  </si>
  <si>
    <t>Chase Atlantic</t>
  </si>
  <si>
    <t>spotify:track:3M0lSi5WW79CXQamgSBIjx</t>
  </si>
  <si>
    <t>Be Mine</t>
  </si>
  <si>
    <t>spotify:track:3LWVXp636uLT356Rj08Jaz</t>
  </si>
  <si>
    <t>Top Dawg Entertainment/Capitol Records</t>
  </si>
  <si>
    <t>Anxiety</t>
  </si>
  <si>
    <t>Doechii</t>
  </si>
  <si>
    <t>TATTOO</t>
  </si>
  <si>
    <t>spotify:track:3KgHiAVuP88QoQs9CO4z1P</t>
  </si>
  <si>
    <t>spotify:track:3KYOGt8IO6j8wptkG9THag</t>
  </si>
  <si>
    <t>RARI</t>
  </si>
  <si>
    <t>Peso Pluma</t>
  </si>
  <si>
    <t>spotify:track:3KTuR5TklU3D3BiBQkWEpI</t>
  </si>
  <si>
    <t>Superman</t>
  </si>
  <si>
    <t>spotify:track:3KC1yCIfkLrRaeeMUEKvg3</t>
  </si>
  <si>
    <t>Islands in the Stream</t>
  </si>
  <si>
    <t>spotify:track:3K68JyPFh5fV8bdWesIqdb</t>
  </si>
  <si>
    <t>AP Dhillon</t>
  </si>
  <si>
    <t>Thodi Si Daaru</t>
  </si>
  <si>
    <t>spotify:track:3JiLQJmVW7d4O8AQDFB3oj</t>
  </si>
  <si>
    <t>Turkish Pop</t>
  </si>
  <si>
    <t>3TR6AP2</t>
  </si>
  <si>
    <t>Yerinde Dur</t>
  </si>
  <si>
    <t>spotify:track:3JTphuwOWcI28J2vS4gMmI</t>
  </si>
  <si>
    <t>Artemas</t>
  </si>
  <si>
    <t>i like the way you kiss me</t>
  </si>
  <si>
    <t>spotify:track:3JG1uFc40wfyrqaWC7iv0e</t>
  </si>
  <si>
    <t>Sanctuary Records</t>
  </si>
  <si>
    <t>Iron Man - 2009 Remaster</t>
  </si>
  <si>
    <t>Black Sabbath</t>
  </si>
  <si>
    <t>spotify:track:3IOQZRcEkplCXg6LofKqE9</t>
  </si>
  <si>
    <t>5-7</t>
  </si>
  <si>
    <t>spotify:track:3IEvQ1CzszUJtTRLmmMJ2X</t>
  </si>
  <si>
    <t>spotify:track:3HlWVKwU0JqJXqJK9DWHnZ</t>
  </si>
  <si>
    <t>NF Real Music II</t>
  </si>
  <si>
    <t>FEAR</t>
  </si>
  <si>
    <t>NF</t>
  </si>
  <si>
    <t>spotify:track:3HfKlhohNNTLIv2t9uvmzz</t>
  </si>
  <si>
    <t>Black Panther (TDE/DMG) PS</t>
  </si>
  <si>
    <t>All The Stars (with SZA) - From "Black Panther: The Album"</t>
  </si>
  <si>
    <t>spotify:track:3GCdLUSnKSMJhs4Tj6CV3s</t>
  </si>
  <si>
    <t>LA MuDANZA</t>
  </si>
  <si>
    <t>spotify:track:3G7agPwWfcORnWCAGMDOpm</t>
  </si>
  <si>
    <t>Winners Circle/RCA Records</t>
  </si>
  <si>
    <t>ANXIETY (feat. Doechii)</t>
  </si>
  <si>
    <t>spotify:track:3FjK86616FbluOfTxNK2gY</t>
  </si>
  <si>
    <t>GO</t>
  </si>
  <si>
    <t>spotify:track:3FZPp9lBUvhsxFxKJi3VkB</t>
  </si>
  <si>
    <t>23</t>
  </si>
  <si>
    <t>spotify:track:3EnTGnmNu1TDEcpbbTajuo</t>
  </si>
  <si>
    <t>300 Entertainment/RGF Productions</t>
  </si>
  <si>
    <t>Again</t>
  </si>
  <si>
    <t>Fetty Wap</t>
  </si>
  <si>
    <t>spotify:track:3ESSGgWzRf1xvP7G5hHMhB</t>
  </si>
  <si>
    <t>My Man on Willpower</t>
  </si>
  <si>
    <t>spotify:track:3EMfeKtNK4q4k3sVjwg5Yy</t>
  </si>
  <si>
    <t>Quality Control Music/Motown Records</t>
  </si>
  <si>
    <t>Dum, Dumb, and Dumber (with Young Thug &amp; Future)</t>
  </si>
  <si>
    <t>spotify:track:3E9IzxNXsk7yFfc1SHpiG1</t>
  </si>
  <si>
    <t>Party In The U.S.A.</t>
  </si>
  <si>
    <t>spotify:track:3E7dfMvvCLUddWissuqMwr</t>
  </si>
  <si>
    <t>Blackened Recordings / Universal Music</t>
  </si>
  <si>
    <t>Enter Sandman - Remastered 2021</t>
  </si>
  <si>
    <t>Metallica</t>
  </si>
  <si>
    <t>spotify:track:3DwQ7AH3xGD9h65ezslm6q</t>
  </si>
  <si>
    <t>Ran To Atlanta (feat. Future &amp; Molly Santana)</t>
  </si>
  <si>
    <t>spotify:track:3DK90400cDlV5WUJPraMph</t>
  </si>
  <si>
    <t>Rancho Humilde/Streetmob Records/Grupo Frontera/Sony Music Latin</t>
  </si>
  <si>
    <t>ME JALO</t>
  </si>
  <si>
    <t>spotify:track:3D24ErT1MMmUfXWotSj2A2</t>
  </si>
  <si>
    <t>Stressed Out</t>
  </si>
  <si>
    <t>spotify:track:3CRDbSIZ4r5MsZ0YwxuEkn</t>
  </si>
  <si>
    <t>Nuyorican Productions / IDJ</t>
  </si>
  <si>
    <t>On The Floor</t>
  </si>
  <si>
    <t>spotify:track:3C0nOe05EIt1390bVABLyN</t>
  </si>
  <si>
    <t>Beat It</t>
  </si>
  <si>
    <t>spotify:track:3BovdzfaX4jb5KFQwoPfAw</t>
  </si>
  <si>
    <t>spotify:track:3BntzKsnLf2pc0dsvE3Zav</t>
  </si>
  <si>
    <t>Blancanieves</t>
  </si>
  <si>
    <t>Natanael Cano</t>
  </si>
  <si>
    <t>spotify:track:3BZUM1xojiL3TvRo3T50R9</t>
  </si>
  <si>
    <t>Bad Boy Entertainment/Epic Records</t>
  </si>
  <si>
    <t>Unforgettable</t>
  </si>
  <si>
    <t>spotify:track:3B54sVLJ402zGa6Xm4YGNe</t>
  </si>
  <si>
    <t>E85</t>
  </si>
  <si>
    <t>Don Toliver</t>
  </si>
  <si>
    <t>spotify:track:3B4cjvGlPvyBLNG3AzEgkZ</t>
  </si>
  <si>
    <t>NOBODY'S GIRL</t>
  </si>
  <si>
    <t>spotify:track:3B2ZpJeewPvhAkjXtTkdtJ</t>
  </si>
  <si>
    <t>Pophouse Entertainment Group</t>
  </si>
  <si>
    <t>Wake Me Up</t>
  </si>
  <si>
    <t>Avicii</t>
  </si>
  <si>
    <t>Caramel</t>
  </si>
  <si>
    <t>Why You Wanna Fight?</t>
  </si>
  <si>
    <t>spotify:track:3Ac4AjYkqsvop2ydbSAhTX</t>
  </si>
  <si>
    <t>Cry For Me</t>
  </si>
  <si>
    <t>spotify:track:3AWDeHLc88XogCaCnZQLVI</t>
  </si>
  <si>
    <t>Yellow</t>
  </si>
  <si>
    <t>spotify:track:3AD73lKeY2c9JhsHRqWkOw</t>
  </si>
  <si>
    <t>spotify:track:3A02hWQ2ebOFDWSbAMNnpw</t>
  </si>
  <si>
    <t>Punk Rock</t>
  </si>
  <si>
    <t>Should I Stay or Should I Go - Remastered</t>
  </si>
  <si>
    <t>The Clash</t>
  </si>
  <si>
    <t>spotify:track:39shmbIHICJ2Wxnk1fPSdz</t>
  </si>
  <si>
    <t>Sua Música Digital</t>
  </si>
  <si>
    <t>Uma e Quinze da Manhã</t>
  </si>
  <si>
    <t>Natanzinho Lima</t>
  </si>
  <si>
    <t>spotify:track:39O9PGzlZnVTOhAYQjyBRG</t>
  </si>
  <si>
    <t>National Treasures</t>
  </si>
  <si>
    <t>spotify:track:393OFJFZKIIv66JmJcNm9D</t>
  </si>
  <si>
    <t>Slaughter Gang, LLC/Epic Records</t>
  </si>
  <si>
    <t>MR RECOUP</t>
  </si>
  <si>
    <t>spotify:track:38iBHQloAVZNpKsFVU8aAd</t>
  </si>
  <si>
    <t>Universal Music New Zealand Limited</t>
  </si>
  <si>
    <t>Ribs</t>
  </si>
  <si>
    <t>Lorde</t>
  </si>
  <si>
    <t>spotify:track:38WyDtxZhxm63jiythwemE</t>
  </si>
  <si>
    <t>spotify:track:38Ps9Kui6qJjpVqdBOfN5M</t>
  </si>
  <si>
    <t>DALE PLAY Records / RIMAS Entertainment LLC</t>
  </si>
  <si>
    <t>Con otra</t>
  </si>
  <si>
    <t>Cazzu</t>
  </si>
  <si>
    <t>spotify:track:38EGs4h8GqgrS1HT344SCQ</t>
  </si>
  <si>
    <t>RIKI</t>
  </si>
  <si>
    <t>spotify:track:37wfBdDJidbipEG2fEwkWX</t>
  </si>
  <si>
    <t>Dive</t>
  </si>
  <si>
    <t>spotify:track:36vmaZyO0iAE6FZ7287fg2</t>
  </si>
  <si>
    <t>Atlantic Outpost</t>
  </si>
  <si>
    <t>Boston</t>
  </si>
  <si>
    <t>STELLA LEFTY</t>
  </si>
  <si>
    <t>The Visitor</t>
  </si>
  <si>
    <t>spotify:track:36OpC3NK7kQzcOo8qiCHaA</t>
  </si>
  <si>
    <t>Staying Still</t>
  </si>
  <si>
    <t>spotify:track:35po0dhj4pRkbVDeooNVBW</t>
  </si>
  <si>
    <t>Messy</t>
  </si>
  <si>
    <t>spotify:track:35ISBknsCeZQtq66xABI9g</t>
  </si>
  <si>
    <t>Many Hats Distribution</t>
  </si>
  <si>
    <t>It Feels Like Christmas (Spotify Singles Holiday)</t>
  </si>
  <si>
    <t>Fall Out Boy</t>
  </si>
  <si>
    <t>spotify:track:34sUWOEjFKrj8Rzk1HHicq</t>
  </si>
  <si>
    <t>Republic Records – CORTIS</t>
  </si>
  <si>
    <t>REDRED</t>
  </si>
  <si>
    <t>CORTIS</t>
  </si>
  <si>
    <t>WizTheMc</t>
  </si>
  <si>
    <t>spotify:track:33lL8HLB8YO834kMoQeoZd</t>
  </si>
  <si>
    <t>intro (end of the world) - extended</t>
  </si>
  <si>
    <t>spotify:track:33cRPtUHTjMG90FZV76S8T</t>
  </si>
  <si>
    <t>Josa Records (Neton Vega)</t>
  </si>
  <si>
    <t>Pvta Luna</t>
  </si>
  <si>
    <t>spotify:track:33MeEaRCeIQMSRyFTr5ZJU</t>
  </si>
  <si>
    <t>Impostor Syndrome</t>
  </si>
  <si>
    <t>Sidney Gish</t>
  </si>
  <si>
    <t>spotify:track:33KU9huHP1Lv1UWWVkuTYd</t>
  </si>
  <si>
    <t>I Don't Wanna Wait</t>
  </si>
  <si>
    <t>spotify:track:331l3xABO0HMr1Kkyh2LZq</t>
  </si>
  <si>
    <t>Scar Tissue</t>
  </si>
  <si>
    <t>The Wave Music Group</t>
  </si>
  <si>
    <t>WASSUP</t>
  </si>
  <si>
    <t>Young Miko</t>
  </si>
  <si>
    <t>spotify:track:32SJM4tQyJHsB8rgVtZURn</t>
  </si>
  <si>
    <t>Uptown Funk (feat. Bruno Mars)</t>
  </si>
  <si>
    <t>spotify:track:32OlwWuMpZ6b0aN2RZOeMS</t>
  </si>
  <si>
    <t>Warner Music Central Europe</t>
  </si>
  <si>
    <t>Wasted Love</t>
  </si>
  <si>
    <t>JJ</t>
  </si>
  <si>
    <t>spotify:track:321yySUTzRXUbzkRTeTzDB</t>
  </si>
  <si>
    <t>NUBES</t>
  </si>
  <si>
    <t>spotify:track:31we7ZzWdSBEOKs5Ln6QVF</t>
  </si>
  <si>
    <t>Pure</t>
  </si>
  <si>
    <t>spotify:track:31IKMjvv6Oskp4hjGVeYsT</t>
  </si>
  <si>
    <t>In The Stars</t>
  </si>
  <si>
    <t>spotify:track:315aBOUD3xtj7sUMXtRgMV</t>
  </si>
  <si>
    <t>A Couple Minutes</t>
  </si>
  <si>
    <t>spotify:track:312z6PZ8wwREck8613PkJk</t>
  </si>
  <si>
    <t>Universal Music Philippines Inc.</t>
  </si>
  <si>
    <t>Marilag</t>
  </si>
  <si>
    <t>Dionela</t>
  </si>
  <si>
    <t>spotify:track:2zbq6eS68i4NIJWekIuW1s</t>
  </si>
  <si>
    <t>Highway to Hell</t>
  </si>
  <si>
    <t>spotify:track:2zYzyRzz6pRmhPzyfMEC8s</t>
  </si>
  <si>
    <t>spotify:track:2zOmS55knKWSgScYPTNmGQ</t>
  </si>
  <si>
    <t>I SEEEEEE YOU BABY BOI</t>
  </si>
  <si>
    <t>spotify:track:2ydagYqcyFfRtQPzKc5E8l</t>
  </si>
  <si>
    <t>Just Keep Watching (From F1® The Movie)</t>
  </si>
  <si>
    <t>spotify:track:2yWlGEgEfPot0lv3OAjuG3</t>
  </si>
  <si>
    <t>Umbrella</t>
  </si>
  <si>
    <t>spotify:track:2yPoXCs7BSIUrucMdK5PzV</t>
  </si>
  <si>
    <t>Universal Music India Pvt Ltd.</t>
  </si>
  <si>
    <t>KALYANI (with Shreya Ghoshal) - Remix</t>
  </si>
  <si>
    <t>spotify:track:2y8mkajKikV5S1PRCMQ5WL</t>
  </si>
  <si>
    <t>Chris Isaak</t>
  </si>
  <si>
    <t>Wicked Game</t>
  </si>
  <si>
    <t>spotify:track:2y42xAsl6dfMeVXQgOYsUw</t>
  </si>
  <si>
    <t>STAY HERE 4 LIFE (feat. Brent Faiyaz)</t>
  </si>
  <si>
    <t>spotify:track:2xsTsnA5QOFCnFXdEHGkli</t>
  </si>
  <si>
    <t>Reflections</t>
  </si>
  <si>
    <t>The Neighbourhood</t>
  </si>
  <si>
    <t>spotify:track:2xql0pid3EUwW38AsywxhV</t>
  </si>
  <si>
    <t>Thank God It's Christmas</t>
  </si>
  <si>
    <t>Queen</t>
  </si>
  <si>
    <t>spotify:track:2xGO2UjzxeVQSIkyg98vck</t>
  </si>
  <si>
    <t>Actually Romantic</t>
  </si>
  <si>
    <t>spotify:track:2x3mwb96B6TquRqMtbxUE1</t>
  </si>
  <si>
    <t>Dembow</t>
  </si>
  <si>
    <t>EMDP Music</t>
  </si>
  <si>
    <t>Y Que Fue?</t>
  </si>
  <si>
    <t>Don Miguelo</t>
  </si>
  <si>
    <t>spotify:track:2wAmparvQdtQemzY9I8PKv</t>
  </si>
  <si>
    <t>Niagara Falls</t>
  </si>
  <si>
    <t>spotify:track:2v0AG62ZHtD3I4YmTb3WYM</t>
  </si>
  <si>
    <t>EZMNY Records/Motown Records</t>
  </si>
  <si>
    <t>MUTT</t>
  </si>
  <si>
    <t>Leon Thomas</t>
  </si>
  <si>
    <t>spotify:track:2uvE4L5ZsYKpv8hbK4TIOt</t>
  </si>
  <si>
    <t>Austin (Boots Stop Workin')</t>
  </si>
  <si>
    <t>Dasha</t>
  </si>
  <si>
    <t>spotify:track:2uqYupMHANxnwgeiXTZXzd</t>
  </si>
  <si>
    <t>Riptide</t>
  </si>
  <si>
    <t>Vance Joy</t>
  </si>
  <si>
    <t>spotify:track:2uXlHCUbq9OMUwx3hrk06o</t>
  </si>
  <si>
    <t>DALE PLAY Records</t>
  </si>
  <si>
    <t>Daddy Yankee: Bzrp Music Sessions, Vol. 0/66</t>
  </si>
  <si>
    <t>spotify:track:2uPMsTEKx79gJ8rB3AcT0v</t>
  </si>
  <si>
    <t>spotify:track:2uP6t2J5MEwhr9rDkAAzwh</t>
  </si>
  <si>
    <t>Darkroom</t>
  </si>
  <si>
    <t>ocean eyes</t>
  </si>
  <si>
    <t>spotify:track:2uIX8YMNjGMD7441kqyyNU</t>
  </si>
  <si>
    <t>Let It Snow! Let It Snow! Let It Snow!</t>
  </si>
  <si>
    <t>spotify:track:2uFaJJtFpPDc5Pa95XzTvg</t>
  </si>
  <si>
    <t>NOKIA</t>
  </si>
  <si>
    <t>spotify:track:2u9S9JJ6hTZS3Vf22HOZKg</t>
  </si>
  <si>
    <t>Wilburn Holding Co./Boominati/Epic/Republic</t>
  </si>
  <si>
    <t>Like That</t>
  </si>
  <si>
    <t>spotify:track:2tudvzsrR56uom6smgOcSf</t>
  </si>
  <si>
    <t>Mosley / Interscope</t>
  </si>
  <si>
    <t>Counting Stars</t>
  </si>
  <si>
    <t>OneRepublic</t>
  </si>
  <si>
    <t>spotify:track:2tpWsVSb9UEmDRxAl1zhX1</t>
  </si>
  <si>
    <t>Please Please Please</t>
  </si>
  <si>
    <t>spotify:track:2tHwzyyOLoWSFqYNjeVMzj</t>
  </si>
  <si>
    <t>How Bad Do U Want Me</t>
  </si>
  <si>
    <t>spotify:track:2rvd6akG8qEtBNUvQpN7iY</t>
  </si>
  <si>
    <t>Body to Body</t>
  </si>
  <si>
    <t>spotify:track:2rKkfc4VZ74FQDc1FF1Zo6</t>
  </si>
  <si>
    <t>DADZ LOVE</t>
  </si>
  <si>
    <t>spotify:track:2qqylaMQ54zfveakMkDULI</t>
  </si>
  <si>
    <t>CORAZÓN PARTÍO</t>
  </si>
  <si>
    <t>spotify:track:2qo9LSOvqq5yFxETD8XMaj</t>
  </si>
  <si>
    <t>spotify:track:2qfAnCOsLPFs8zOQc2pNKI</t>
  </si>
  <si>
    <t>Bloodline</t>
  </si>
  <si>
    <t>spotify:track:2pwED7E7gGr3UR7T3s3LSM</t>
  </si>
  <si>
    <t>Run Rudolph Run</t>
  </si>
  <si>
    <t>Chuck Berry</t>
  </si>
  <si>
    <t>spotify:track:2pnPe4pJtq7689i5ydzvJJ</t>
  </si>
  <si>
    <t>spotify:track:2plbrEY59IikOBgBGLjaoe</t>
  </si>
  <si>
    <t>Cuando No Era Cantante - Remix</t>
  </si>
  <si>
    <t>spotify:track:2pbSCYzxrG0wa6qcj8IyiE</t>
  </si>
  <si>
    <t>Artist House</t>
  </si>
  <si>
    <t>bloodstream</t>
  </si>
  <si>
    <t>Alyssa Grace</t>
  </si>
  <si>
    <t>spotify:track:2oWFJJW9d1bIra3zHjR6GO</t>
  </si>
  <si>
    <t>intro (end of the world)</t>
  </si>
  <si>
    <t>spotify:track:2o1pb13quMReXZqE7jWsgq</t>
  </si>
  <si>
    <t>Starboy Entertainment Ltd. / GIRAN Republic / EMPIRE</t>
  </si>
  <si>
    <t>Jogodo</t>
  </si>
  <si>
    <t>spotify:track:2njWzPDRRhsXOUhiA42e62</t>
  </si>
  <si>
    <t>Young And Beautiful</t>
  </si>
  <si>
    <t>spotify:track:2nMeu6UenVvwUktBCpLMK9</t>
  </si>
  <si>
    <t>Numb</t>
  </si>
  <si>
    <t>spotify:track:2nLtzopw4rPReszdYBJU6h</t>
  </si>
  <si>
    <t>GOOD CREDIT (with Kendrick Lamar)</t>
  </si>
  <si>
    <t>spotify:track:2n9fC0A4ptmWqYeMXEVaok</t>
  </si>
  <si>
    <t>Christmas Tree Farm</t>
  </si>
  <si>
    <t>spotify:track:2mvabkN1i2gLnGAPUVdwek</t>
  </si>
  <si>
    <t>Sony Music Entertainment Chile S.A</t>
  </si>
  <si>
    <t>QLOO*</t>
  </si>
  <si>
    <t>spotify:track:2mdrVnxEnPR6iFijakkxQS</t>
  </si>
  <si>
    <t>Cinnamon Girl</t>
  </si>
  <si>
    <t>spotify:track:2mdEsXPu8ZmkHRRtAdC09e</t>
  </si>
  <si>
    <t>Cinderella (feat. Ty Dolla $ign)</t>
  </si>
  <si>
    <t>spotify:track:2lpygKqzPFtItQ4ss3cgfb</t>
  </si>
  <si>
    <t>BAILE INoLVIDABLE</t>
  </si>
  <si>
    <t>spotify:track:2lTm559tuIvatlT1u0JYG2</t>
  </si>
  <si>
    <t>AY MAMÁ</t>
  </si>
  <si>
    <t>spotify:track:2lAUq68F2bt7Kc218n9FPp</t>
  </si>
  <si>
    <t>SOMEBODY LOVES ME</t>
  </si>
  <si>
    <t>spotify:track:2kZoOj1n5vk9BuF0sih58M</t>
  </si>
  <si>
    <t>Eric Land</t>
  </si>
  <si>
    <t>Pilantra e Meio</t>
  </si>
  <si>
    <t>spotify:track:2k7EhDUKXApmeYVew9xeDf</t>
  </si>
  <si>
    <t>What Was That</t>
  </si>
  <si>
    <t>spotify:track:2jNyiavSywmA472t2m6ZBz</t>
  </si>
  <si>
    <t>Plastic Cigarette</t>
  </si>
  <si>
    <t>Zach Bryan</t>
  </si>
  <si>
    <t>spotify:track:2jCJjRc9mz6VYBMhLy3H9i</t>
  </si>
  <si>
    <t>Babylon</t>
  </si>
  <si>
    <t>spotify:track:2j7wI9QWrP8cjKDdOLVQTU</t>
  </si>
  <si>
    <t>Mystical Magical</t>
  </si>
  <si>
    <t>Roc Nation / Jay-Z</t>
  </si>
  <si>
    <t>Empire State Of Mind</t>
  </si>
  <si>
    <t>spotify:track:2igwFfvr1OAGX9SKDCPBwO</t>
  </si>
  <si>
    <t>Reflections Laughing (feat. Travis Scott, Florence + The Machine)</t>
  </si>
  <si>
    <t>spotify:track:2gyHr9WqZeMtzJOpWGuGo6</t>
  </si>
  <si>
    <t>Oldilla Records</t>
  </si>
  <si>
    <t>Cuida do Pet</t>
  </si>
  <si>
    <t>spotify:track:2gbEvM5IwVIwJFpTVPUXV5</t>
  </si>
  <si>
    <t>White Christmas (with Shania Twain)</t>
  </si>
  <si>
    <t>spotify:track:2gbCG4Rt9984UZ7Tc0dIFd</t>
  </si>
  <si>
    <t>Mosley / Geffen</t>
  </si>
  <si>
    <t>Promiscuous</t>
  </si>
  <si>
    <t>spotify:track:2gam98EZKrF9XuOkU13ApN</t>
  </si>
  <si>
    <t>spotify:track:2gYTC8DsplN3RNdpdBcCOQ</t>
  </si>
  <si>
    <t>Bad - 2012 Remaster</t>
  </si>
  <si>
    <t>spotify:track:2gSNBigeWMVtY3QBIvPAEc</t>
  </si>
  <si>
    <t>Let Down</t>
  </si>
  <si>
    <t>spotify:track:2fuYa3Lx06QQJAm0MjztKr</t>
  </si>
  <si>
    <t>spotify:track:2fCwv2ppU5nTRTckomIGsd</t>
  </si>
  <si>
    <t>Gameboy</t>
  </si>
  <si>
    <t>Gata Only</t>
  </si>
  <si>
    <t>spotify:track:2esZG2XFtuoWWA9AfDvSxy</t>
  </si>
  <si>
    <t>spotify:track:2efbgTtEGNpsUZaOfgRTR6</t>
  </si>
  <si>
    <t>Dandelions</t>
  </si>
  <si>
    <t>Ruth B.</t>
  </si>
  <si>
    <t>spotify:track:2eAvDnpXP5W0cVtiI0PUxV</t>
  </si>
  <si>
    <t>what’s wrong with me</t>
  </si>
  <si>
    <t>spotify:track:2e3YJ6Hm8tR5L5Zy8HzOtv</t>
  </si>
  <si>
    <t>begged</t>
  </si>
  <si>
    <t>spotify:track:2duvkmcQAezPigFEGlERuA</t>
  </si>
  <si>
    <t>NISSAN ALTIMA</t>
  </si>
  <si>
    <t>spotify:track:2dKkVF2m160z0RNDN2dddc</t>
  </si>
  <si>
    <t>Trap Queen</t>
  </si>
  <si>
    <t>spotify:track:2d8JP84HNLKhmd6IYOoupQ</t>
  </si>
  <si>
    <t>ZEN</t>
  </si>
  <si>
    <t>spotify:track:2chbuybiy6aDDBC985tJcP</t>
  </si>
  <si>
    <t>Purple lace bra</t>
  </si>
  <si>
    <t>spotify:track:2bqLj0NvdtGbPCl9PdBtP2</t>
  </si>
  <si>
    <t>Interscope Records*</t>
  </si>
  <si>
    <t>Animals</t>
  </si>
  <si>
    <t>Maroon 5</t>
  </si>
  <si>
    <t>spotify:track:2bL2gyO6kBdLkNSkxXNh6x</t>
  </si>
  <si>
    <t>LA PATRULLA</t>
  </si>
  <si>
    <t>spotify:track:2aYZaN5SmkRDLsrrV8GkBQ</t>
  </si>
  <si>
    <t>spotify:track:2aHgHoX9SqBDGyMn32W1oA</t>
  </si>
  <si>
    <t>UMLE - Machete</t>
  </si>
  <si>
    <t>Danza Kuduro</t>
  </si>
  <si>
    <t>spotify:track:2a1o6ZejUi8U3wzzOtCOYw</t>
  </si>
  <si>
    <t>AWOO Corp./Sony Music Latin</t>
  </si>
  <si>
    <t>LA VILLA</t>
  </si>
  <si>
    <t>spotify:track:2ZyrAym0sRLwt4PhGotHuI</t>
  </si>
  <si>
    <t>spotify:track:2YiCMmONQcoMPX2bV1LxE0</t>
  </si>
  <si>
    <t>Little Birdie</t>
  </si>
  <si>
    <t>spotify:track:2XcmjSdYqdhFjyWFdbnBaY</t>
  </si>
  <si>
    <t>Chest Pain (I Love)</t>
  </si>
  <si>
    <t>Malcolm Todd</t>
  </si>
  <si>
    <t>spotify:track:2XUx8PCXGpP1XhZJMGiUol</t>
  </si>
  <si>
    <t>Synth-Pop</t>
  </si>
  <si>
    <t>Rhino</t>
  </si>
  <si>
    <t>Take on Me</t>
  </si>
  <si>
    <t>a-ha</t>
  </si>
  <si>
    <t>Rock That Body</t>
  </si>
  <si>
    <t>spotify:track:2WQ09wqQBIOor7Q0VpIDBK</t>
  </si>
  <si>
    <t>A Star is Born OST</t>
  </si>
  <si>
    <t>Shallow</t>
  </si>
  <si>
    <t>spotify:track:2VxeLyX666F8uXCJ0dZF8B</t>
  </si>
  <si>
    <t>spotify:track:2Vw8vOliCmBOAys8Q2xzJZ</t>
  </si>
  <si>
    <t>pgLang, under exclusive license to Interscope Records</t>
  </si>
  <si>
    <t>peekaboo (feat. azchike)</t>
  </si>
  <si>
    <t>spotify:track:2Uts1QFB4u2YNIMiqcb4de</t>
  </si>
  <si>
    <t>Wi$h Li$t</t>
  </si>
  <si>
    <t>spotify:track:2TEQvxxQabwLQMqWMg1qGu</t>
  </si>
  <si>
    <t>Merry Christmas Everyone</t>
  </si>
  <si>
    <t>Shakin' Stevens</t>
  </si>
  <si>
    <t>spotify:track:2TE4xW3ImvpltVU0cPcKUn</t>
  </si>
  <si>
    <t>Art Pop</t>
  </si>
  <si>
    <t>Berghain</t>
  </si>
  <si>
    <t>spotify:track:2T8yuUKl1nhmtaIocqWo4i</t>
  </si>
  <si>
    <t>FONO / Dinero Nuevo Records, LLC</t>
  </si>
  <si>
    <t>Beretta (De Los Cerros La Escuela)</t>
  </si>
  <si>
    <t>El De Las R's</t>
  </si>
  <si>
    <t>spotify:track:2T6bX3rxdMc9V7ErfOB5yG</t>
  </si>
  <si>
    <t>The Subway</t>
  </si>
  <si>
    <t>spotify:track:2SsY5k7UWFqgye3PUMG3Oq</t>
  </si>
  <si>
    <t>En Privado</t>
  </si>
  <si>
    <t>spotify:track:2SkB7jADnfiWH8qAE9H8cO</t>
  </si>
  <si>
    <t>ALL THE LOVE (feat. Andre Troutman)</t>
  </si>
  <si>
    <t>spotify:track:2SjnvpedDUU0Ga69bxnoCa</t>
  </si>
  <si>
    <t>Who's Dexter Enterprises / Severance Records / Big Loud Rock</t>
  </si>
  <si>
    <t>Freakin’ Out</t>
  </si>
  <si>
    <t>Dexter and The Moonrocks</t>
  </si>
  <si>
    <t>spotify:track:2SaWT781xr3hHLdbVt5DB7</t>
  </si>
  <si>
    <t>spotify:track:2RkZ5LkEzeHGRsmDqKwmaJ</t>
  </si>
  <si>
    <t>party 4 u</t>
  </si>
  <si>
    <t>spotify:track:2RdEC8Ff83WkX7kDVCHseE</t>
  </si>
  <si>
    <t>Old Phone</t>
  </si>
  <si>
    <t>spotify:track:2QxviKpVdEXKDWs706MUZB</t>
  </si>
  <si>
    <t>Grade A Productions/Interscope Records</t>
  </si>
  <si>
    <t>Empty Out Your Pockets</t>
  </si>
  <si>
    <t>Juice WRLD</t>
  </si>
  <si>
    <t>spotify:track:2QxekHjOYDnzNO5w8hu2D9</t>
  </si>
  <si>
    <t>spotify:track:2QihEF7BIfPCJjkB0c4Rrv</t>
  </si>
  <si>
    <t>top diesel</t>
  </si>
  <si>
    <t>spotify:track:2QP041AcWg8PwPIWP95RKN</t>
  </si>
  <si>
    <t>spotify:track:2QGVKiAGTa1YcDqPMhAzF7</t>
  </si>
  <si>
    <t>Love Hangover (feat. Dominic Fike)</t>
  </si>
  <si>
    <t>Fortnight (feat. Post Malone)</t>
  </si>
  <si>
    <t>spotify:track:2OzhQlSqBEmt7hmkYxfT6m</t>
  </si>
  <si>
    <t>Lesung Pipi</t>
  </si>
  <si>
    <t>spotify:track:2OxvanM5m1Na9OVlXyXmUp</t>
  </si>
  <si>
    <t>Palace Creek</t>
  </si>
  <si>
    <t>PIXELATED KISSES</t>
  </si>
  <si>
    <t>spotify:track:2OZVskV28xxJjjhQqKTLSg</t>
  </si>
  <si>
    <t>UMGRI Interscope</t>
  </si>
  <si>
    <t>You Make It Feel Like Christmas (feat. Blake Shelton)</t>
  </si>
  <si>
    <t>spotify:track:2OQ6a4CfUeYskpTTgyawyJ</t>
  </si>
  <si>
    <t>spotify:track:2OMjHcniFxzijWX7EaBrXE</t>
  </si>
  <si>
    <t>Easy Lover</t>
  </si>
  <si>
    <t>spotify:track:2OBzYCYMNsD6yhBZZSs0xg</t>
  </si>
  <si>
    <t>Santa, Can’t You Hear Me</t>
  </si>
  <si>
    <t>spotify:track:2O3MQ6H3gjrIWDcpeTrikT</t>
  </si>
  <si>
    <t>SPAGHETTI</t>
  </si>
  <si>
    <t>spotify:track:2N9miXnewVmUrgl6JSK1FI</t>
  </si>
  <si>
    <t>Apocalypse</t>
  </si>
  <si>
    <t>Stayin' Alive - From "Saturday Night Fever" Soundtrack</t>
  </si>
  <si>
    <t>Bee Gees</t>
  </si>
  <si>
    <t>spotify:track:2Lz4iCypeUTy62CP3Xwk6i</t>
  </si>
  <si>
    <t>Thriller</t>
  </si>
  <si>
    <t>spotify:track:2LlQb7Uoj1kKyGhlkBf9aC</t>
  </si>
  <si>
    <t>Have You Ever Seen The Rain</t>
  </si>
  <si>
    <t>spotify:track:2LawezPeJhN4AWuSB0GtAU</t>
  </si>
  <si>
    <t>spotify:track:2LSmH4vxyRhkJ2pPqcmkXw</t>
  </si>
  <si>
    <t>spotify:track:2LHNTC9QZxsL3nWpt8iaSR</t>
  </si>
  <si>
    <t>Die For You</t>
  </si>
  <si>
    <t>spotify:track:2LBqCSwhJGcFQeTHMVGwy3</t>
  </si>
  <si>
    <t>spotify:track:2L9QLAhrvtP4EYg1lY0Tnw</t>
  </si>
  <si>
    <t>LATINA FOREVA</t>
  </si>
  <si>
    <t>This &amp; That</t>
  </si>
  <si>
    <t>spotify:track:2KUgQWhPsYgB829i9n6IhP</t>
  </si>
  <si>
    <t>Softcore</t>
  </si>
  <si>
    <t>spotify:track:2K7xn816oNHJZ0aVqdQsha</t>
  </si>
  <si>
    <t>Santa Baby</t>
  </si>
  <si>
    <t>spotify:track:2JiJRwhGRg20GhFGXd6JZX</t>
  </si>
  <si>
    <t>spotify:track:2JPctdUgvkQSpnUdfROxvY</t>
  </si>
  <si>
    <t>MUNYUN</t>
  </si>
  <si>
    <t>spotify:track:2JJFJEvFSWyQ59Pwl2gqSF</t>
  </si>
  <si>
    <t>Divinize</t>
  </si>
  <si>
    <t>spotify:track:2JH26hQtnqWUNnQET8o2N1</t>
  </si>
  <si>
    <t>iqro'</t>
  </si>
  <si>
    <t>spotify:track:2ImWVGyYTRMi64861WCCcq</t>
  </si>
  <si>
    <t>past life</t>
  </si>
  <si>
    <t>spotify:track:2Im5a2GdRF1QIUUNqnloX4</t>
  </si>
  <si>
    <t>Like Animals</t>
  </si>
  <si>
    <t>spotify:track:2IFND3phjzIG1RcPnHh2hP</t>
  </si>
  <si>
    <t>Sound of Street</t>
  </si>
  <si>
    <t>Şarkılar Sokaklara Ait</t>
  </si>
  <si>
    <t>spotify:track:2HjJTdEdEApv1QrKcMXKqo</t>
  </si>
  <si>
    <t>Money Trees</t>
  </si>
  <si>
    <t>spotify:track:2HbKqm4o0w5wEeEFXm2sD4</t>
  </si>
  <si>
    <t>Espresso</t>
  </si>
  <si>
    <t>spotify:track:2HRqTpkrJO5ggZyyK6NPWz</t>
  </si>
  <si>
    <t>Seven (feat. Latto) (Explicit Ver.)</t>
  </si>
  <si>
    <t>spotify:track:2HRgqmZQC0MC7GeNuDIXHN</t>
  </si>
  <si>
    <t>spotify:track:2HMvIK2S3oC6OABl2YXAx1</t>
  </si>
  <si>
    <t>Enarma Records</t>
  </si>
  <si>
    <t>MONTAGEM TOMADA - Slowed</t>
  </si>
  <si>
    <t>MXZI</t>
  </si>
  <si>
    <t>spotify:track:2GzwtXPlI0gZEOS6xFOZ2j</t>
  </si>
  <si>
    <t>One Play</t>
  </si>
  <si>
    <t>Eu Vou na Sua Casa</t>
  </si>
  <si>
    <t>spotify:track:2GylVVMD21R4SqgAt8gGC5</t>
  </si>
  <si>
    <t>Lunar Media</t>
  </si>
  <si>
    <t>MONTAGEM XONADA</t>
  </si>
  <si>
    <t>spotify:track:2Gs0iF27my40p0dANv2rAg</t>
  </si>
  <si>
    <t>WM Mexico</t>
  </si>
  <si>
    <t>2+2</t>
  </si>
  <si>
    <t>spotify:track:2GP6UzoA55p6yYiPCGyEhg</t>
  </si>
  <si>
    <t>Tiramisu</t>
  </si>
  <si>
    <t>spotify:track:2GHKo6nrSjruvBEQbzD7Fw</t>
  </si>
  <si>
    <t>STOLE YA FLOW</t>
  </si>
  <si>
    <t>spotify:track:2FycFFuNMVVYIiIqeldXF5</t>
  </si>
  <si>
    <t>Bass Persuades</t>
  </si>
  <si>
    <t>spotify:track:2FZcjBYK4dTt48q94pJbJD</t>
  </si>
  <si>
    <t>Wham!</t>
  </si>
  <si>
    <t>spotify:track:2FRnf9qhLbvw8fu4IBXx78</t>
  </si>
  <si>
    <t>Have Yourself A Merry Little Christmas - Remastered 1999</t>
  </si>
  <si>
    <t>spotify:track:2FPfeYlrbSBR8PwCU0zaqq</t>
  </si>
  <si>
    <t>The Days - NOTION Remix</t>
  </si>
  <si>
    <t>spotify:track:2FAZskT9yRjp2Oow9szJD8</t>
  </si>
  <si>
    <t>Rendezvous (feat. Yeat)</t>
  </si>
  <si>
    <t>spotify:track:2Ejyg4CavumEr7lFUkk9aF</t>
  </si>
  <si>
    <t>MCA Nashville</t>
  </si>
  <si>
    <t>Rockin' Around The Christmas Tree</t>
  </si>
  <si>
    <t>Brenda Lee</t>
  </si>
  <si>
    <t>spotify:track:2EjXfH91m7f8HiJN1yQg97</t>
  </si>
  <si>
    <t>Dear god</t>
  </si>
  <si>
    <t>spotify:track:2ETQsbiuGm2WLOSOr2I19A</t>
  </si>
  <si>
    <t>Only Girl (In The World)</t>
  </si>
  <si>
    <t>spotify:track:2ENexcMEMsYk0rVJigVD3i</t>
  </si>
  <si>
    <t>Scorsese Baby Daddy</t>
  </si>
  <si>
    <t>spotify:track:2E7a96qey4AzSOdK6H21vS</t>
  </si>
  <si>
    <t>American/Columbia</t>
  </si>
  <si>
    <t>Chop Suey!</t>
  </si>
  <si>
    <t>System Of A Down</t>
  </si>
  <si>
    <t>spotify:track:2DlHlPMa4M17kufBvI2lEN</t>
  </si>
  <si>
    <t>Vicor Music</t>
  </si>
  <si>
    <t>Tibok</t>
  </si>
  <si>
    <t>Earl Agustin</t>
  </si>
  <si>
    <t>spotify:track:2Dhdu4YB3y5U3RiIcCJduv</t>
  </si>
  <si>
    <t>Safaera</t>
  </si>
  <si>
    <t>spotify:track:2DEZmgHKAvm41k4J3R2E9Y</t>
  </si>
  <si>
    <t>Mantra</t>
  </si>
  <si>
    <t>luther (with sza)</t>
  </si>
  <si>
    <t>spotify:track:2CGNAOSuO1MEFCbBRgUzjd</t>
  </si>
  <si>
    <t>spotify:track:2BwO5K8Q7EPAJSGze3AAh9</t>
  </si>
  <si>
    <t>Republic Records - TWICE</t>
  </si>
  <si>
    <t>Strategy (from the Netflix film KPop Demon Hunters)</t>
  </si>
  <si>
    <t>TWICE</t>
  </si>
  <si>
    <t>spotify:track:2BkTPMr1v6Fr6JJwc4V7R5</t>
  </si>
  <si>
    <t>Solcito</t>
  </si>
  <si>
    <t>spotify:track:2BE1Q5N4Enl1eRrM82uzsu</t>
  </si>
  <si>
    <t>K Music/Sony Music Latin</t>
  </si>
  <si>
    <t>Chula Vente</t>
  </si>
  <si>
    <t>YUKON</t>
  </si>
  <si>
    <t>spotify:track:29iva9idM6rFCPUlu7Rhxl</t>
  </si>
  <si>
    <t>Juice WRLD Mixtape / ISR P&amp;D</t>
  </si>
  <si>
    <t>Lucid Dreams</t>
  </si>
  <si>
    <t>spotify:track:285pBltuF7vW8TeWk8hdRR</t>
  </si>
  <si>
    <t>Acertei Produções</t>
  </si>
  <si>
    <t>Cópia Proibida</t>
  </si>
  <si>
    <t>spotify:track:280QfKhmWGn3LbyB39aA7u</t>
  </si>
  <si>
    <t>Don’t Say You Love Me</t>
  </si>
  <si>
    <t>spotify:track:27xkOIER6uDLKALIelHylZ</t>
  </si>
  <si>
    <t>Driving Home for Christmas - 2019 Remaster</t>
  </si>
  <si>
    <t>Chris Rea</t>
  </si>
  <si>
    <t>spotify:track:27qAMKrDdKEs8HDXcvR24R</t>
  </si>
  <si>
    <t>Asquerosamente Rico</t>
  </si>
  <si>
    <t>spotify:track:27aWzQn0uCuEwHkNlKi1jP</t>
  </si>
  <si>
    <t>spotify:track:27Y0yW53n0R1Oxle01FKmj</t>
  </si>
  <si>
    <t>EMI Catalogue</t>
  </si>
  <si>
    <t>Happy Xmas (War Is Over) - Remastered 2010</t>
  </si>
  <si>
    <t>spotify:track:27RYrbL6S02LNVhDWVl38b</t>
  </si>
  <si>
    <t>WHERE WAS YOU</t>
  </si>
  <si>
    <t>spotify:track:26N5kAVhlqFOWAkuMQ5Kwe</t>
  </si>
  <si>
    <t>WM Indonesia</t>
  </si>
  <si>
    <t>Bunga Maaf</t>
  </si>
  <si>
    <t>The Lantis</t>
  </si>
  <si>
    <t>spotify:track:26KhLgFuPymkm1uiZkc6Rv</t>
  </si>
  <si>
    <t>Here Comes Santa Claus (Right Down Santa Claus Lane) - 1947 Version</t>
  </si>
  <si>
    <t>Gene Autry</t>
  </si>
  <si>
    <t>spotify:track:25leEEaz1gIpp7o21Fqyjo</t>
  </si>
  <si>
    <t>House Tour</t>
  </si>
  <si>
    <t>spotify:track:25jgQBxuUkGDdCG1WGKKN9</t>
  </si>
  <si>
    <t>Incoscienti Giovani</t>
  </si>
  <si>
    <t>Achille Lauro</t>
  </si>
  <si>
    <t>spotify:track:25VdEndwyUDs0DbpfCMfKD</t>
  </si>
  <si>
    <t>spotify:track:24Y63uAvj6Oc9jGuTlhlgf</t>
  </si>
  <si>
    <t>Hypers</t>
  </si>
  <si>
    <t>Toz Pembe</t>
  </si>
  <si>
    <t>manifest</t>
  </si>
  <si>
    <t>spotify:track:24CSPGkF9QB1zW07dgtZhr</t>
  </si>
  <si>
    <t>Arab Pop</t>
  </si>
  <si>
    <t>Outlaw Productions</t>
  </si>
  <si>
    <t>FA9LA</t>
  </si>
  <si>
    <t>Flipperachi</t>
  </si>
  <si>
    <t>spotify:track:23p1uP74XiVYCXjPP23Kz7</t>
  </si>
  <si>
    <t>Africa</t>
  </si>
  <si>
    <t>TOTO</t>
  </si>
  <si>
    <t>spotify:track:2374M0fQpWi3dLnB54qaLX</t>
  </si>
  <si>
    <t>Macklemore</t>
  </si>
  <si>
    <t>Can't Hold Us (feat. Ray Dalton)</t>
  </si>
  <si>
    <t>spotify:track:22skzmqfdWrjJylampe0kt</t>
  </si>
  <si>
    <t>Bamboo Artists 2025 / Tyla appears courtesy of Fax/Epic</t>
  </si>
  <si>
    <t>Show Me Love (with Tyla)</t>
  </si>
  <si>
    <t>spotify:track:22YkP95GjCfXkWKyU5k1zZ</t>
  </si>
  <si>
    <t>L-M Records/RCA Records</t>
  </si>
  <si>
    <t>oh yeah?</t>
  </si>
  <si>
    <t>Steve Lacy</t>
  </si>
  <si>
    <t>spotify:track:22NHkFYbgxB2Zirj29Gbp8</t>
  </si>
  <si>
    <t>Sailor Song</t>
  </si>
  <si>
    <t>Gigi Perez</t>
  </si>
  <si>
    <t>spotify:track:221eHga9f9Ne4f8D7WVgPT</t>
  </si>
  <si>
    <t>Circles</t>
  </si>
  <si>
    <t>Post Malone</t>
  </si>
  <si>
    <t>spotify:track:21jGcNKet2qwijlDFuPiPb</t>
  </si>
  <si>
    <t>CHARGE DEM HOES A FEE (with Future &amp; Travis Scott)</t>
  </si>
  <si>
    <t>spotify:track:21aDVa64pWR8SYQ7wBRMkd</t>
  </si>
  <si>
    <t>Outtahere, LLC / Island Records</t>
  </si>
  <si>
    <t>spotify:track:21IYMdzTrzSe191Cy5eMap</t>
  </si>
  <si>
    <t>Don’t Worry I’ll Make You Worry</t>
  </si>
  <si>
    <t>spotify:track:21IVPfi81m6ywNgOvqTj1i</t>
  </si>
  <si>
    <t>Juno</t>
  </si>
  <si>
    <t>spotify:track:21B4gaTWnTkuSh77iWEXdS</t>
  </si>
  <si>
    <t>spotify:track:20jbSiX29FDX4oQxBXyUEi</t>
  </si>
  <si>
    <t>Hooligan</t>
  </si>
  <si>
    <t>spotify:track:20dAJsyno9ZoBLJtqgQnUI</t>
  </si>
  <si>
    <t>Silent Records IGA</t>
  </si>
  <si>
    <t>Call Me Maybe</t>
  </si>
  <si>
    <t>Carly Rae Jepsen</t>
  </si>
  <si>
    <t>spotify:track:20I6sIOMTCkB6w7ryavxtO</t>
  </si>
  <si>
    <t>spotify:track:2009X8GyWTqyxIdzAEYW6N</t>
  </si>
  <si>
    <t>We Found Love</t>
  </si>
  <si>
    <t>spotify:track:1zv3WFUbZ5vPxFq9I2jAU1</t>
  </si>
  <si>
    <t>Maspam Company Ltd.</t>
  </si>
  <si>
    <t>Monolog</t>
  </si>
  <si>
    <t>Pamungkas</t>
  </si>
  <si>
    <t>spotify:track:1zu5ZpnrSArdoaT6Qq3yo9</t>
  </si>
  <si>
    <t>One Dance</t>
  </si>
  <si>
    <t>spotify:track:1zi7xx7UVEFkmKfv06H8x0</t>
  </si>
  <si>
    <t>15 Minutes</t>
  </si>
  <si>
    <t>spotify:track:1zhvxTuSha22nsUT5Nw8gE</t>
  </si>
  <si>
    <t>toxic till the end</t>
  </si>
  <si>
    <t>ROSÉ</t>
  </si>
  <si>
    <t>spotify:track:1z5ebC9238uGoBgzYyvGpQ</t>
  </si>
  <si>
    <t>Miss You - Bonus Track</t>
  </si>
  <si>
    <t>spotify:track:1ypwNj8eK2qAMDEs4EiIIX</t>
  </si>
  <si>
    <t>Sweet Dreams (feat. Miguel)</t>
  </si>
  <si>
    <t>spotify:track:1yX9gy5fK02j6nBnGJ1S3k</t>
  </si>
  <si>
    <t>Gabriela</t>
  </si>
  <si>
    <t>spotify:track:1xOqGUkyxGQRdCvGpvWKmL</t>
  </si>
  <si>
    <t>Make Them Know</t>
  </si>
  <si>
    <t>spotify:track:1xO3PpGchMqMmmF6OEtH5Y</t>
  </si>
  <si>
    <t>Romantic Homicide</t>
  </si>
  <si>
    <t>spotify:track:1xK59OXxi2TAAAbmZK0kBL</t>
  </si>
  <si>
    <t>Beat Music</t>
  </si>
  <si>
    <t>Peão Todo Tatuado</t>
  </si>
  <si>
    <t>spotify:track:1wrA9K1P177mkPNt9BB2OZ</t>
  </si>
  <si>
    <t>spotify:track:1wOp7yTVyH176bW1z9WAiv</t>
  </si>
  <si>
    <t>E-Motion Entertainment</t>
  </si>
  <si>
    <t>Alamak</t>
  </si>
  <si>
    <t>spotify:track:1vkwlZncsYqFukl2Q7M6Fe</t>
  </si>
  <si>
    <t>Purple Rain</t>
  </si>
  <si>
    <t>Prince</t>
  </si>
  <si>
    <t>spotify:track:1uvyZBs4IZYRebHIB1747m</t>
  </si>
  <si>
    <t>Damocles</t>
  </si>
  <si>
    <t>spotify:track:1ulH5PIntNj0ro2K69W4Fx</t>
  </si>
  <si>
    <t>Saiyaara Reprise - Female</t>
  </si>
  <si>
    <t>spotify:track:1uRTH9LeFh40tFYlq48vcy</t>
  </si>
  <si>
    <t>Where Have You Been</t>
  </si>
  <si>
    <t>spotify:track:1uN0f4NqMDcReSwXO6PLuG</t>
  </si>
  <si>
    <t>Blank Space</t>
  </si>
  <si>
    <t>spotify:track:1u8c2t2Cy7UBoG4ArRcF5g</t>
  </si>
  <si>
    <t>KOKO</t>
  </si>
  <si>
    <t>Omar Courtz</t>
  </si>
  <si>
    <t>spotify:track:1tz7RZirwiuaJw2p0jbdHb</t>
  </si>
  <si>
    <t>On My Mind</t>
  </si>
  <si>
    <t>spotify:track:1tMRh8jiYlmatpVeWWesCe</t>
  </si>
  <si>
    <t>Dunia Yang Nanti</t>
  </si>
  <si>
    <t>spotify:track:1sVQuuvFDKu6vklPVeiUXT</t>
  </si>
  <si>
    <t>God Was Showing Off</t>
  </si>
  <si>
    <t>spotify:track:1sVBT215CDmVJvfy1E2OCU</t>
  </si>
  <si>
    <t>spotify:track:1sA1DhT0bLyeICf8NalPS7</t>
  </si>
  <si>
    <t>It's Beginning to Look a Lot like Christmas</t>
  </si>
  <si>
    <t>spotify:track:1rv46mRwDqMEhOBZ7vODg3</t>
  </si>
  <si>
    <t>spotify:track:1rQEgtQNsj63xIUzEmKbML</t>
  </si>
  <si>
    <t>TAKEDOWN (JEONGYEON, JIHYO, CHAEYOUNG)</t>
  </si>
  <si>
    <t>spotify:track:1rKQjUhF9zFJmuUotr3VkV</t>
  </si>
  <si>
    <t>Epic/Record Company TEN</t>
  </si>
  <si>
    <t>Lush Life</t>
  </si>
  <si>
    <t>Zara Larsson</t>
  </si>
  <si>
    <t>spotify:track:1rIKgCH4H52lrvDcz50hS8</t>
  </si>
  <si>
    <t>WAY IT IS</t>
  </si>
  <si>
    <t>spotify:track:1r3uOHPoiIv89Xb6K9bDH4</t>
  </si>
  <si>
    <t>Go Go Juice</t>
  </si>
  <si>
    <t>spotify:track:1qyw5wSUkEvH8DtaCdx7Lg</t>
  </si>
  <si>
    <t>Man I Need</t>
  </si>
  <si>
    <t>spotify:track:1qbmS6ep2hbBRaEZFpn7BX</t>
  </si>
  <si>
    <t>Sommer House/Epic</t>
  </si>
  <si>
    <t>Midnight Sun</t>
  </si>
  <si>
    <t>spotify:track:1qRV1dKLOfH1s00b9J2LUQ</t>
  </si>
  <si>
    <t>Somebody That I Used To Know</t>
  </si>
  <si>
    <t>spotify:track:1qDrWA6lyx8cLECdZE7TV7</t>
  </si>
  <si>
    <t>WAKE UP F1LTHY (with Travis Scott)</t>
  </si>
  <si>
    <t>spotify:track:1pzN8bCzy017iK3vWzkk6Z</t>
  </si>
  <si>
    <t>Save Your Tears (Remix) (with Ariana Grande) - Bonus Track</t>
  </si>
  <si>
    <t>spotify:track:1oFAF1hdPOickyHgbuRjyX</t>
  </si>
  <si>
    <t>4x4</t>
  </si>
  <si>
    <t>spotify:track:1nkrOMcNi5TAwYWDQAOaB3</t>
  </si>
  <si>
    <t>Dance With Me</t>
  </si>
  <si>
    <t>spotify:track:1myZ6GQewhAzMH2dKtKSWK</t>
  </si>
  <si>
    <t>spotify:track:1musbempyJAw5gfSKZHXP9</t>
  </si>
  <si>
    <t>Mundo Music</t>
  </si>
  <si>
    <t>KUSURA BAKMA</t>
  </si>
  <si>
    <t>BLOK3</t>
  </si>
  <si>
    <t>spotify:track:1mgoLJV5W6JSWanT5bgf3o</t>
  </si>
  <si>
    <t>spotify:track:1mfvWzF39LwVpAm8g0LhQT</t>
  </si>
  <si>
    <t>Viva La Vida</t>
  </si>
  <si>
    <t>spotify:track:1mea3bSkSGXuIRvnydlB5b</t>
  </si>
  <si>
    <t>Just Give Me a Reason (feat. Nate Ruess)</t>
  </si>
  <si>
    <t>spotify:track:1mKXFLRA179hdOWQBwUk9e</t>
  </si>
  <si>
    <t>I Wish It Could Be Christmas Everyday</t>
  </si>
  <si>
    <t>Wizzard</t>
  </si>
  <si>
    <t>spotify:track:1mH6tZC6iXIHPI6EixCwxw</t>
  </si>
  <si>
    <t>LOVE SONG</t>
  </si>
  <si>
    <t>spotify:track:1mEQbSq0PCNjyL6oMgHKFQ</t>
  </si>
  <si>
    <t>spotify:track:1lfO0bqThTLimzHsvk3LrN</t>
  </si>
  <si>
    <t>number one girl</t>
  </si>
  <si>
    <t>spotify:track:1lcBt7LoEikqYmhUoa2cez</t>
  </si>
  <si>
    <t>Victory Lap</t>
  </si>
  <si>
    <t>spotify:track:1lbNgoJ5iMrMluCyhI4OQP</t>
  </si>
  <si>
    <t>Ring Ring Ring</t>
  </si>
  <si>
    <t>spotify:track:1lTqq0aC6r2bXLviQ3oaVt</t>
  </si>
  <si>
    <t>Ransom</t>
  </si>
  <si>
    <t>spotify:track:1lOe9qE0vR9zwWQAOk6CoO</t>
  </si>
  <si>
    <t>Century</t>
  </si>
  <si>
    <t>spotify:track:1lJOLxDS8kS2rihrqezMcv</t>
  </si>
  <si>
    <t>spotify:track:1kUyOJb3fzUo8r0OCz5SQk</t>
  </si>
  <si>
    <t>spotify:track:1k2pQc5i348DCHwbn5KTdc</t>
  </si>
  <si>
    <t>NOT CUTE ANYMORE</t>
  </si>
  <si>
    <t>ILLIT</t>
  </si>
  <si>
    <t>spotify:track:1k0JAiH11gHL9dc5dfQjQr</t>
  </si>
  <si>
    <t>ORDER OF PROTECTION</t>
  </si>
  <si>
    <t>spotify:track:1jux3g1YXNub0NkYbLTLIp</t>
  </si>
  <si>
    <t>Elizabeth Taylor</t>
  </si>
  <si>
    <t>spotify:track:1jgTiNob5cVyXeJ3WgX5bL</t>
  </si>
  <si>
    <t>THINGS YOU DO</t>
  </si>
  <si>
    <t>spotify:track:1j8TmNa6vaFAEAws43kP0Q</t>
  </si>
  <si>
    <t>Gnarly</t>
  </si>
  <si>
    <t>spotify:track:1j15Ar0qGDzIR0v3CQv3JL</t>
  </si>
  <si>
    <t>Burning Bridges</t>
  </si>
  <si>
    <t>spotify:track:1ijYk2EYwj0rGqYwtjiAUJ</t>
  </si>
  <si>
    <t>Dirty Work</t>
  </si>
  <si>
    <t>spotify:track:1ic3Thr0mG0IsBE98pPcQ2</t>
  </si>
  <si>
    <t>Wanna Be Startin' Somethin'</t>
  </si>
  <si>
    <t>spotify:track:1hu2s7qkm5bo03eODpRQO3</t>
  </si>
  <si>
    <t>Lais Records</t>
  </si>
  <si>
    <t>Keşke</t>
  </si>
  <si>
    <t>spotify:track:1horGWxHKfwctCKdHwrO0n</t>
  </si>
  <si>
    <t>Mighty Record</t>
  </si>
  <si>
    <t>Garam &amp; Madu (Sakit Dadaku)</t>
  </si>
  <si>
    <t>spotify:track:1hlHeIZ36Idpr57xPI8OCD</t>
  </si>
  <si>
    <t>RCA Bluebird</t>
  </si>
  <si>
    <t>Santa Baby (with Henri René &amp; His Orchestra)</t>
  </si>
  <si>
    <t>spotify:track:1foCxQtxBweJtZmdxhEHVO</t>
  </si>
  <si>
    <t>spotify:track:1fDFHXcykq4iw8Gg7s5hG9</t>
  </si>
  <si>
    <t>POR SUS BESOS</t>
  </si>
  <si>
    <t>spotify:track:1eunv1DeEi29UfAcVEoLTt</t>
  </si>
  <si>
    <t>Headphones On</t>
  </si>
  <si>
    <t>spotify:track:1efXUbx5gsLd2sqjszBtx1</t>
  </si>
  <si>
    <t>twilight zone</t>
  </si>
  <si>
    <t>spotify:track:1edcyazKIdKrIuz9cWpXU6</t>
  </si>
  <si>
    <t>DENIAL IS A RIVER</t>
  </si>
  <si>
    <t>spotify:track:1eTaznNW4Xxtx9za2SMTXB</t>
  </si>
  <si>
    <t>Streamline/Interscope</t>
  </si>
  <si>
    <t>Just Dance</t>
  </si>
  <si>
    <t>spotify:track:1dzQoRqT5ucxXVaAhTcT0J</t>
  </si>
  <si>
    <t>Sexo, Violencia y Llantas</t>
  </si>
  <si>
    <t>spotify:track:1dp0MRcrgCxEESP1LrF2yA</t>
  </si>
  <si>
    <t>Lover</t>
  </si>
  <si>
    <t>spotify:track:1dGr1c8CrMLDpV6mPbImSI</t>
  </si>
  <si>
    <t>TIT FOR TAT</t>
  </si>
  <si>
    <t>spotify:track:1dByUyyoRKL99fJJ6VCQzb</t>
  </si>
  <si>
    <t>DROGA</t>
  </si>
  <si>
    <t>spotify:track:1cmfXbOvNJt7iDrnJy5BRE</t>
  </si>
  <si>
    <t>spotify:track:1cOboCuWYI2osTOfolMRS6</t>
  </si>
  <si>
    <t>Arz Kiya Hai | Coke Studio Bharat</t>
  </si>
  <si>
    <t>Anuv Jain</t>
  </si>
  <si>
    <t>spotify:track:1bMkimTb47umgNP6xCi4A1</t>
  </si>
  <si>
    <t>CANCELLED!</t>
  </si>
  <si>
    <t>spotify:track:1appZ3c336FkPvCuywfmrs</t>
  </si>
  <si>
    <t>spotify:track:1aUTJpaxVd8LpUfbb19wZH</t>
  </si>
  <si>
    <t>ANSIEDAD</t>
  </si>
  <si>
    <t>spotify:track:1a7onn7lPqqRWul5ogyMyX</t>
  </si>
  <si>
    <t>Into the Sun</t>
  </si>
  <si>
    <t>spotify:track:1ZNolq7VI7efGlh2hb2VVr</t>
  </si>
  <si>
    <t>Sony Music Latin/Duars Entertainment</t>
  </si>
  <si>
    <t>Khé?</t>
  </si>
  <si>
    <t>spotify:track:1YYfyJ2yCvGFCxwjsIqEK9</t>
  </si>
  <si>
    <t>SMALL TOWN FAME</t>
  </si>
  <si>
    <t>spotify:track:1YHQQFtKqFSFrqL4cNvstU</t>
  </si>
  <si>
    <t>FOREVER TU GANTEL</t>
  </si>
  <si>
    <t>spotify:track:1YAWMfsmduIrpqrjP45pFn</t>
  </si>
  <si>
    <t>Bad Reviews</t>
  </si>
  <si>
    <t>spotify:track:1Y66A5zH3iPOWCDIuSDQR5</t>
  </si>
  <si>
    <t>Paranoid - 2009 Remaster</t>
  </si>
  <si>
    <t>spotify:track:1Y373MqadDRtclJNdnUXVc</t>
  </si>
  <si>
    <t>Please</t>
  </si>
  <si>
    <t>spotify:track:1XpVhaI4HzWrhRWIpdfyJB</t>
  </si>
  <si>
    <t>Payphone</t>
  </si>
  <si>
    <t>spotify:track:1XGmzt0PVuFgQYYnV2It7A</t>
  </si>
  <si>
    <t>NIGHTS LIKE THIS</t>
  </si>
  <si>
    <t>spotify:track:1XBYiRV30ykHw5f4wm6qEn</t>
  </si>
  <si>
    <t>Isekai / Broke / AAO</t>
  </si>
  <si>
    <t>I Run</t>
  </si>
  <si>
    <t>spotify:track:1WwQ714xuznu44tEnkem2g</t>
  </si>
  <si>
    <t>Illegal</t>
  </si>
  <si>
    <t>PinkPantheress</t>
  </si>
  <si>
    <t>spotify:track:1WmBVbFmLt0w6zPP37TeCG</t>
  </si>
  <si>
    <t>spotify:track:1WkYhJMWhofw1XgVWfdMWE</t>
  </si>
  <si>
    <t>Happy Holiday / The Holiday Season</t>
  </si>
  <si>
    <t>Andy Williams</t>
  </si>
  <si>
    <t>spotify:track:1Wf14bTyb6UeKojy8ykPYm</t>
  </si>
  <si>
    <t>Linger - Remastered 2026</t>
  </si>
  <si>
    <t>spotify:track:1WYrTfvKjQYaYfVziGG1ET</t>
  </si>
  <si>
    <t>CAPITOL CATALOG MKT (C92)</t>
  </si>
  <si>
    <t>Joy To The World</t>
  </si>
  <si>
    <t>spotify:track:1VuAamHM7P3VQQEXYGG3Uu</t>
  </si>
  <si>
    <t>SaWaDiKa</t>
  </si>
  <si>
    <t>LISA</t>
  </si>
  <si>
    <t>spotify:track:1VWiDyYTrqQhhmnWANWkFa</t>
  </si>
  <si>
    <t>You'll Be in My Heart</t>
  </si>
  <si>
    <t>NIKI</t>
  </si>
  <si>
    <t>spotify:track:1UPB5rYJ0bzn6mNSoAHrZC</t>
  </si>
  <si>
    <t>Bed Chem</t>
  </si>
  <si>
    <t>spotify:track:1UHS8Rf6h5Ar3CDWRd3wjF</t>
  </si>
  <si>
    <t>Hit the Wall</t>
  </si>
  <si>
    <t>spotify:track:1U90UBmMrQTx9GNweUA4LZ</t>
  </si>
  <si>
    <t>Sweet Dreams (Are Made of This) - 2005 Remaster</t>
  </si>
  <si>
    <t>spotify:track:1TfqLAPs4K3s2rJMoCokcS</t>
  </si>
  <si>
    <t>Generation Now/Atlantic</t>
  </si>
  <si>
    <t>Just Us (feat. Doja Cat)</t>
  </si>
  <si>
    <t>spotify:track:1SVhTS4l0sLFsP2Abme05l</t>
  </si>
  <si>
    <t>Paul McCartney Catalog</t>
  </si>
  <si>
    <t>Wonderful Christmastime - Edited Version / Remastered 2011</t>
  </si>
  <si>
    <t>Paul McCartney</t>
  </si>
  <si>
    <t>spotify:track:1SV1fxF65n9NhRHp3KlBuu</t>
  </si>
  <si>
    <t>git</t>
  </si>
  <si>
    <t>spotify:track:1RwVkonL4anIGeNZo0OPp1</t>
  </si>
  <si>
    <t>repsaj</t>
  </si>
  <si>
    <t>MONTAGEM BAILÃO</t>
  </si>
  <si>
    <t>spotify:track:1RnPdd7EKKhKN3E4o4DRsh</t>
  </si>
  <si>
    <t>Best Part (feat. H.E.R.)</t>
  </si>
  <si>
    <t>Kill Bill</t>
  </si>
  <si>
    <t>spotify:track:1Qrg8KqiBpW07V7PNxwwwL</t>
  </si>
  <si>
    <t>spotify:track:1QrbZhFYlViXd60g130vw1</t>
  </si>
  <si>
    <t>Poker Face</t>
  </si>
  <si>
    <t>spotify:track:1QV6tiMFM6fSOKOGLMHYYg</t>
  </si>
  <si>
    <t>spotify:track:1QFh8OH1e78dGd3VyJZCAC</t>
  </si>
  <si>
    <t>PERFuMITO NUEVO</t>
  </si>
  <si>
    <t>spotify:track:1Q9Efnm5csdCMFynISxL2x</t>
  </si>
  <si>
    <t>spotify:track:1Q7EgiMOuwDcB0PJC6AzON</t>
  </si>
  <si>
    <t>Fish People</t>
  </si>
  <si>
    <t>Running Up That Hill (A Deal With God)</t>
  </si>
  <si>
    <t>Kate Bush</t>
  </si>
  <si>
    <t>spotify:track:1PtQJZVZIdWIYdARpZRDFO</t>
  </si>
  <si>
    <t>Never Getting Laid</t>
  </si>
  <si>
    <t>spotify:track:1PdUyYYw9sGU0yhLrpeHKt</t>
  </si>
  <si>
    <t>COQUETA</t>
  </si>
  <si>
    <t>spotify:track:1PREzVLuDT6PSE9sej4wnV</t>
  </si>
  <si>
    <t>spotify:track:1OdvKyTexzm8ZEmdCxhGsX</t>
  </si>
  <si>
    <t>PIToRRO DE COCO</t>
  </si>
  <si>
    <t>TWENTIES</t>
  </si>
  <si>
    <t>GIVĒON</t>
  </si>
  <si>
    <t>spotify:track:1NaSrCqTnZdlusQ82SJhGN</t>
  </si>
  <si>
    <t>Dracula</t>
  </si>
  <si>
    <t>spotify:track:1NXbNEAcPvY5G1xvfN57aA</t>
  </si>
  <si>
    <t>Santa's Coming for Us</t>
  </si>
  <si>
    <t>spotify:track:1N1ZpYUJc9fwrqk53FGgWv</t>
  </si>
  <si>
    <t>Cactus Jack / Atlantic</t>
  </si>
  <si>
    <t>LV Bag (feat. j-hope of BTS &amp; Pharrell Williams)</t>
  </si>
  <si>
    <t>spotify:track:1MhXchY126AX5Iuv4Odbe8</t>
  </si>
  <si>
    <t>Streetmob Records</t>
  </si>
  <si>
    <t>OJITOS MENTIROSOS</t>
  </si>
  <si>
    <t>Chino Pacas</t>
  </si>
  <si>
    <t>spotify:track:1MPs1qa830QkHuyAOnaRqe</t>
  </si>
  <si>
    <t>Fade Into You</t>
  </si>
  <si>
    <t>Mazzy Star</t>
  </si>
  <si>
    <t>spotify:track:1LzNfuep1bnAUR9skqdHCK</t>
  </si>
  <si>
    <t>Mundo Nuevo</t>
  </si>
  <si>
    <t>spotify:track:1LFM6gtGwcTe8CXX6y1IK2</t>
  </si>
  <si>
    <t>Lockeland Springs/Atlantic</t>
  </si>
  <si>
    <t>Indigo (feat. Avery Anna)</t>
  </si>
  <si>
    <t>spotify:track:1KZG1H1OCugGqIRmk1wF9m</t>
  </si>
  <si>
    <t>Arista/LaFace Records</t>
  </si>
  <si>
    <t>No Scrubs</t>
  </si>
  <si>
    <t>TLC</t>
  </si>
  <si>
    <t>spotify:track:1KGi9sZVMeszgZOWivFpxs</t>
  </si>
  <si>
    <t>Don't Stop The Music</t>
  </si>
  <si>
    <t>spotify:track:1Jo0Zg7XlrA6z0mFTZVdkn</t>
  </si>
  <si>
    <t>German Rap</t>
  </si>
  <si>
    <t>Urban</t>
  </si>
  <si>
    <t>Shabab(e)s im VIP</t>
  </si>
  <si>
    <t>spotify:track:1JjHQ4lfAjbDq7wmOmH9wM</t>
  </si>
  <si>
    <t>SEQUÊNCIA FEITICEIRA</t>
  </si>
  <si>
    <t>spotify:track:1JUmsSEfVwhdJCVBG83XGU</t>
  </si>
  <si>
    <t>Every Breath You Take</t>
  </si>
  <si>
    <t>The Police</t>
  </si>
  <si>
    <t>spotify:track:1JSTJqkT5qHq8MDJnJbRE1</t>
  </si>
  <si>
    <t>Jealous Type</t>
  </si>
  <si>
    <t>It's the Most Wonderful Time of the Year</t>
  </si>
  <si>
    <t>spotify:track:1IcR6RlgvDczfvoWJSSY2A</t>
  </si>
  <si>
    <t>Tití Me Preguntó</t>
  </si>
  <si>
    <t>spotify:track:1IHWl5LamUGEuP4ozKQSXZ</t>
  </si>
  <si>
    <t>Stop Playing With Me</t>
  </si>
  <si>
    <t>spotify:track:1IF3hx6HU46Pitm0dOdVJO</t>
  </si>
  <si>
    <t>Your Idol</t>
  </si>
  <si>
    <t>spotify:track:1I37Zz2g3hk9eWxaNkj031</t>
  </si>
  <si>
    <t>LO QUE LE PASÓ A HAWAii</t>
  </si>
  <si>
    <t>spotify:track:1Hg0e997pObvZ91w1FCPFk</t>
  </si>
  <si>
    <t>GR6 Music</t>
  </si>
  <si>
    <t>Vidrado Em Você</t>
  </si>
  <si>
    <t>spotify:track:1HJU78CRk4vxvjE5Cs1BCt</t>
  </si>
  <si>
    <t>no tiene sentido</t>
  </si>
  <si>
    <t>spotify:track:1HEwEN64NjgTaHmo7LfkX8</t>
  </si>
  <si>
    <t>CEREMONY</t>
  </si>
  <si>
    <t>spotify:track:1GfRjLG3DivFZEr85b6k7G</t>
  </si>
  <si>
    <t>Dhun (From "Saiyaara")</t>
  </si>
  <si>
    <t>spotify:track:1GFQthxDi4Tqe3wJ5j0G5S</t>
  </si>
  <si>
    <t>spotify:track:1G391cbiT3v3Cywg8T7DM1</t>
  </si>
  <si>
    <t>Four Music/SoulForce Records</t>
  </si>
  <si>
    <t>Gut Genug (mit Blumengarten &amp; Shirin David)</t>
  </si>
  <si>
    <t>spotify:track:1FsURdV1P2M3VCKdbTsZak</t>
  </si>
  <si>
    <t>Summertime Sadness</t>
  </si>
  <si>
    <t>spotify:track:1FEiijYPJtyswChfcpv3p0</t>
  </si>
  <si>
    <t>SOMETHING ABOUT YOU</t>
  </si>
  <si>
    <t>spotify:track:1F6nHHDJyTHLgDDFj1ZZDt</t>
  </si>
  <si>
    <t>Timeless (feat Playboi Carti)</t>
  </si>
  <si>
    <t>The Emptiness Machine</t>
  </si>
  <si>
    <t>spotify:track:1EDPVGbyPKJPeGqATwXZvN</t>
  </si>
  <si>
    <t>Orang Pertunjukan</t>
  </si>
  <si>
    <t>Ada titik-titik di ujung doa</t>
  </si>
  <si>
    <t>Sal Priadi</t>
  </si>
  <si>
    <t>spotify:track:1E7zLPDdqo0OvzVmGj5aoV</t>
  </si>
  <si>
    <t>Sunset Blvd</t>
  </si>
  <si>
    <t>spotify:track:1E70pcxXiSQLtxdowVXkbM</t>
  </si>
  <si>
    <t>Stateside + Zara Larsson</t>
  </si>
  <si>
    <t>spotify:track:1DwscornXpj8fmOmYVlqZt</t>
  </si>
  <si>
    <t>Ojos Tristes (with The Marías)</t>
  </si>
  <si>
    <t>spotify:track:1DpC4L3JjsGRW7y6eTHaMj</t>
  </si>
  <si>
    <t>Tommy Boy Music, LLC</t>
  </si>
  <si>
    <t>Gangsta's Paradise</t>
  </si>
  <si>
    <t>spotify:track:1DIXPcTDzTj8ZMHt3PDt8p</t>
  </si>
  <si>
    <t>Saiyaara (From "Saiyaara")</t>
  </si>
  <si>
    <t>spotify:track:1D35BJlymlh6OLD75WupSF</t>
  </si>
  <si>
    <t>P.Y.T. (Pretty Young Thing)</t>
  </si>
  <si>
    <t>spotify:track:1CgmY8fVN7kstVDZmsdM5k</t>
  </si>
  <si>
    <t>PUSH 2 START</t>
  </si>
  <si>
    <t>spotify:track:1Cbl3Yq8rHo7hhDQmLQagU</t>
  </si>
  <si>
    <t>Golden</t>
  </si>
  <si>
    <t>spotify:track:1CPZ5BxNNd0n0nF4Orb9JS</t>
  </si>
  <si>
    <t>Si No Quieres No</t>
  </si>
  <si>
    <t>spotify:track:1C84d9abZVKWHT2YYpoean</t>
  </si>
  <si>
    <t>si te pillara</t>
  </si>
  <si>
    <t>spotify:track:1C7NXX8UJ6pgNx8EkmyZDd</t>
  </si>
  <si>
    <t>Cruel Summer</t>
  </si>
  <si>
    <t>spotify:track:1BxfuPKGuaTgP7aM0Bbdwr</t>
  </si>
  <si>
    <t>Epitaph</t>
  </si>
  <si>
    <t>Joseph</t>
  </si>
  <si>
    <t>spotify:track:1BdI8NEvZx61tnkbuAxC5x</t>
  </si>
  <si>
    <t>Keinemusik</t>
  </si>
  <si>
    <t>Move</t>
  </si>
  <si>
    <t>spotify:track:1BJJbSX6muJVF2AK7uH1x4</t>
  </si>
  <si>
    <t>spotify:track:1BDLD4c07q0bmq2VCRsXoE</t>
  </si>
  <si>
    <t>Milagros</t>
  </si>
  <si>
    <t>spotify:track:1B1maIpcMpPDZ8GT0WHT0V</t>
  </si>
  <si>
    <t>spotify:track:1AXsHbdIYx2OyKmdOcIL5T</t>
  </si>
  <si>
    <t>Rubyworks / Universal-Island Records Ltd</t>
  </si>
  <si>
    <t>Too Sweet</t>
  </si>
  <si>
    <t>spotify:track:19XpFsce28aByvCC4g89tJ</t>
  </si>
  <si>
    <t>Less than a Lover</t>
  </si>
  <si>
    <t>spotify:track:19UnXjpLshSLobPspdyxlD</t>
  </si>
  <si>
    <t>Disease</t>
  </si>
  <si>
    <t>TAKEDOWN (JEONGYEON, JIHYO, CHAEYOUNG) - from the Netflix film KPop Demon Hunters</t>
  </si>
  <si>
    <t>spotify:track:19GxfaRs5KdurzPKLVX3Cq</t>
  </si>
  <si>
    <t>DJ Play A Christmas Song</t>
  </si>
  <si>
    <t>Cher</t>
  </si>
  <si>
    <t>spotify:track:18uSfZqFBxQFi8CsXOIbhy</t>
  </si>
  <si>
    <t>A Little More</t>
  </si>
  <si>
    <t>spotify:track:18FN1Kz7KMF0ujN6ID4ans</t>
  </si>
  <si>
    <t>THIS IS FOR</t>
  </si>
  <si>
    <t>spotify:track:18AMT576rBlQFMzUTS7WBa</t>
  </si>
  <si>
    <t>Siren sounds (bonus)</t>
  </si>
  <si>
    <t>spotify:track:181yGUB8xEh4LfK8KhC4Wa</t>
  </si>
  <si>
    <t>Lose Control</t>
  </si>
  <si>
    <t>spotify:track:17phhZDn6oGtzMe56NuWvj</t>
  </si>
  <si>
    <t>Call Back</t>
  </si>
  <si>
    <t>spotify:track:16yVaWo0Gmvs2wlnmJbcH7</t>
  </si>
  <si>
    <t>less</t>
  </si>
  <si>
    <t>spotify:track:16xRAbH0vI3iKvDEhWQ4ZO</t>
  </si>
  <si>
    <t>Past Won't Leave My Bed</t>
  </si>
  <si>
    <t>spotify:track:16Z0an8D4BJNm3VbWWpTnv</t>
  </si>
  <si>
    <t>Talking to the Moon</t>
  </si>
  <si>
    <t>spotify:track:161DnLWsx1i3u1JT05lzqU</t>
  </si>
  <si>
    <t>spotify:track:15zJeVUmKFnbrxm9dxcxYD</t>
  </si>
  <si>
    <t>Merry Christmas, Happy Holidays</t>
  </si>
  <si>
    <t>spotify:track:15coTBAzEN1bOeipoNDZAR</t>
  </si>
  <si>
    <t>Love The Way You Lie</t>
  </si>
  <si>
    <t>spotify:track:15JINEqzVMv3SvJTAXAKED</t>
  </si>
  <si>
    <t>Dhurandhar The Revenge - Aari Aari</t>
  </si>
  <si>
    <t>spotify:track:157BtwkY54FQ3Xl8DsTso1</t>
  </si>
  <si>
    <t>spotify:track:14QaXYIK3K3QPtezqxRRPN</t>
  </si>
  <si>
    <t>supernatural</t>
  </si>
  <si>
    <t>spotify:track:142PiXzA84lmEw2RstFHFa</t>
  </si>
  <si>
    <t>Be Her</t>
  </si>
  <si>
    <t>spotify:track:13HD3tYTiz8oSRxWzXEq7g</t>
  </si>
  <si>
    <t>After School</t>
  </si>
  <si>
    <t>kota ini tak sama tanpamu</t>
  </si>
  <si>
    <t>Nadhif Basalamah</t>
  </si>
  <si>
    <t>spotify:track:13CwOTXUgBugeBByE9oIWb</t>
  </si>
  <si>
    <t>daño</t>
  </si>
  <si>
    <t>spotify:track:136BeIIoBGrrU9fI1jbcDR</t>
  </si>
  <si>
    <t>spotify:track:12bYYQaLqHliSXvRIYlq8G</t>
  </si>
  <si>
    <t>Patient Zero</t>
  </si>
  <si>
    <t>spotify:track:11hcBLPtbMp4aQI6zGQLub</t>
  </si>
  <si>
    <t>Step Into Christmas - Remastered 1995</t>
  </si>
  <si>
    <t>Elton John</t>
  </si>
  <si>
    <t>spotify:track:11P4sSu6BH2lAbWk1sL6cK</t>
  </si>
  <si>
    <t>Good Reason</t>
  </si>
  <si>
    <t>spotify:track:11GUkH18CKNFLKCHORkceJ</t>
  </si>
  <si>
    <t>Bloody Mary</t>
  </si>
  <si>
    <t>spotify:track:11BKm0j4eYoCPPpCONAVwA</t>
  </si>
  <si>
    <t>earthquake</t>
  </si>
  <si>
    <t>JISOO</t>
  </si>
  <si>
    <t>spotify:track:10zywlg5b0gQOC3q1A7ADx</t>
  </si>
  <si>
    <t>Sauvignon Blanc</t>
  </si>
  <si>
    <t>spotify:track:10uxlzuPGekUTay2ZpZ4pR</t>
  </si>
  <si>
    <t>No Surprises</t>
  </si>
  <si>
    <t>spotify:track:10nyNJ6zNy2YVYLrcwLccB</t>
  </si>
  <si>
    <t>spotify:track:10MpBpx64MNixmUMNj7f6b</t>
  </si>
  <si>
    <t>CHAMPAIN &amp; VACAY</t>
  </si>
  <si>
    <t>spotify:track:1097cG16gzkhlPgkUt6KA0</t>
  </si>
  <si>
    <t>Dangerous</t>
  </si>
  <si>
    <t>spotify:track:105Fwh9wijwT41rrfgSnrE</t>
  </si>
  <si>
    <t>spotify:track:0yc6Gst2xkRu0eMLeRMGCX</t>
  </si>
  <si>
    <t>Decca Music Group Ltd.</t>
  </si>
  <si>
    <t>Monster Mash</t>
  </si>
  <si>
    <t>spotify:track:0xxZY5C9xxij3D1HkzbnfC</t>
  </si>
  <si>
    <t>Grannada Music</t>
  </si>
  <si>
    <t>Postinho de Gasolina</t>
  </si>
  <si>
    <t>spotify:track:0xXYRMvxCUBKWVptybXSjB</t>
  </si>
  <si>
    <t>spotify:track:0xGQTpN4ESETtl1Sp6rzd2</t>
  </si>
  <si>
    <t>disco:wax</t>
  </si>
  <si>
    <t>Turn The Lights Off</t>
  </si>
  <si>
    <t>spotify:track:0wHayguZd1CeQDLYohXNMS</t>
  </si>
  <si>
    <t>Shapeshifter</t>
  </si>
  <si>
    <t>spotify:track:0vtgMfyOVM2Y97DcVVJw3m</t>
  </si>
  <si>
    <t>Style</t>
  </si>
  <si>
    <t>spotify:track:0ug5NqcwcFR2xrfTkc7k8e</t>
  </si>
  <si>
    <t>lovely (with Khalid)</t>
  </si>
  <si>
    <t>spotify:track:0u2P5u6lvoDfwTYjAADbn4</t>
  </si>
  <si>
    <t>Perfect</t>
  </si>
  <si>
    <t>spotify:track:0tgVpDi06FyKpA1z0VMD4v</t>
  </si>
  <si>
    <t>The Waiting Game</t>
  </si>
  <si>
    <t>spotify:track:0tV6LXuVzJR4yifqwQuNwN</t>
  </si>
  <si>
    <t>Open Hearts</t>
  </si>
  <si>
    <t>spotify:track:0stJVUUSrbEwyFHOp2dRu0</t>
  </si>
  <si>
    <t>spotify:track:0rx7xu0RmZLpJjKNVZjSVv</t>
  </si>
  <si>
    <t>Belong Together</t>
  </si>
  <si>
    <t>spotify:track:0rtDE9zfXbamTlRUSwY7zy</t>
  </si>
  <si>
    <t>spotify:track:0rhoLQVFCojDGFyl0nsdVZ</t>
  </si>
  <si>
    <t>BACKD00R (feat. Kendrick Lamar &amp; Jhené Aiko)</t>
  </si>
  <si>
    <t>spotify:track:0rNgWFQJtfttOYIHfDOHCg</t>
  </si>
  <si>
    <t>Deck The Hall</t>
  </si>
  <si>
    <t>spotify:track:0rHToGels2lt8Y0mCYoF90</t>
  </si>
  <si>
    <t>spotify:track:0qmhTHMVxnXRmT5N92wTD9</t>
  </si>
  <si>
    <t>bergema sampai selamanya</t>
  </si>
  <si>
    <t>spotify:track:0ql6fgz8qk0pAEKrGeSppJ</t>
  </si>
  <si>
    <t>spotify:track:0qeIFEGRQqHoaJtLCl0U73</t>
  </si>
  <si>
    <t>Kid Ina Korner / Interscope</t>
  </si>
  <si>
    <t>Believer</t>
  </si>
  <si>
    <t>Imagine Dragons</t>
  </si>
  <si>
    <t>spotify:track:0pqnGHJpmpxLKifKRmU6WP</t>
  </si>
  <si>
    <t>Capitol Records (CAP)</t>
  </si>
  <si>
    <t>Legendary Lovers</t>
  </si>
  <si>
    <t>spotify:track:0pOZYYEJawmTAPtkzYKSa2</t>
  </si>
  <si>
    <t>spotify:track:0ofHAoxe9vBkTCp2UQIavz</t>
  </si>
  <si>
    <t>RCA/Legacy</t>
  </si>
  <si>
    <t>Sex on Fire</t>
  </si>
  <si>
    <t>Kings of Leon</t>
  </si>
  <si>
    <t>spotify:track:0ntQJM78wzOLVeCUAW7Y45</t>
  </si>
  <si>
    <t>spotify:track:0nrRP2bk19rLc0orkWPQk2</t>
  </si>
  <si>
    <t>squabble up</t>
  </si>
  <si>
    <t>spotify:track:0nj9Bq5sHDiTxSHunhgkFb</t>
  </si>
  <si>
    <t>Verano Rosa</t>
  </si>
  <si>
    <t>spotify:track:0nafF9MxcXJBQWv3BTKtdF</t>
  </si>
  <si>
    <t>Merge Records</t>
  </si>
  <si>
    <t>I Thought I Saw Your Face Today</t>
  </si>
  <si>
    <t>She &amp; Him</t>
  </si>
  <si>
    <t>spotify:track:0myRViRgmQ3J8izICXEAVO</t>
  </si>
  <si>
    <t>Mercury Records/Republic Records</t>
  </si>
  <si>
    <t>Stick Season</t>
  </si>
  <si>
    <t>spotify:track:0mflMxspEfB0VbI1kyLiAv</t>
  </si>
  <si>
    <t>CHAMPAGNE</t>
  </si>
  <si>
    <t>spotify:track:0mfemgLsr0ucLSOBOc4xJ0</t>
  </si>
  <si>
    <t>kiss me</t>
  </si>
  <si>
    <t>spotify:track:0lok0VDJn0zRvHLBCITSSw</t>
  </si>
  <si>
    <t>Somewhere Only We Know</t>
  </si>
  <si>
    <t>Keane</t>
  </si>
  <si>
    <t>spotify:track:0ll8uFnc0nANY35E0Lfxvg</t>
  </si>
  <si>
    <t>Santa Tell Me</t>
  </si>
  <si>
    <t>spotify:track:0lizgQ7Qw35od7CYaoMBZb</t>
  </si>
  <si>
    <t>DJ Snake Def Jam</t>
  </si>
  <si>
    <t>Let Me Love You</t>
  </si>
  <si>
    <t>spotify:track:0lYBSQXN6rCTvUZvg9S0lU</t>
  </si>
  <si>
    <t>I'll Be Home</t>
  </si>
  <si>
    <t>Meghan Trainor</t>
  </si>
  <si>
    <t>spotify:track:0lTurWECr2XL607eJAj1A3</t>
  </si>
  <si>
    <t>Parlophone (France)</t>
  </si>
  <si>
    <t>Titanium (feat. Sia)</t>
  </si>
  <si>
    <t>spotify:track:0lHAMNU8RGiIObScrsRgmP</t>
  </si>
  <si>
    <t>Qué Pasaría...</t>
  </si>
  <si>
    <t>spotify:track:0l0vcZMU7AOeQmUIREoI2U</t>
  </si>
  <si>
    <t>Dai Dai</t>
  </si>
  <si>
    <t>spotify:track:0kosUz0jePvjiz4ctmR6wL</t>
  </si>
  <si>
    <t>When Did You Get Hot?</t>
  </si>
  <si>
    <t>spotify:track:0je57Uq5eTk1wrPzn9sWbl</t>
  </si>
  <si>
    <t>What's Up?</t>
  </si>
  <si>
    <t>4 Non Blondes</t>
  </si>
  <si>
    <t>spotify:track:0jWgAnTrNZmOGmqgvHhZEm</t>
  </si>
  <si>
    <t>spotify:track:0iKo4pNNjHHdKUcFARlfCa</t>
  </si>
  <si>
    <t>Ready, Steady, Go!</t>
  </si>
  <si>
    <t>spotify:track:0i4qKfuKJ3juUsEwnJAxk3</t>
  </si>
  <si>
    <t>Merry Christmas</t>
  </si>
  <si>
    <t>spotify:track:0hz5PNF2wejwUKCMpesQWt</t>
  </si>
  <si>
    <t>9th St. / Hallwood</t>
  </si>
  <si>
    <t>Nope your too late i already died</t>
  </si>
  <si>
    <t>spotify:track:0hta2Lb2zKJ7kEnAEZEE3G</t>
  </si>
  <si>
    <t>gervonta</t>
  </si>
  <si>
    <t>spotify:track:0hfXHqWhOpbR9YQmQojDMN</t>
  </si>
  <si>
    <t>Mio Cristo Piange Diamanti</t>
  </si>
  <si>
    <t>spotify:track:0hVZnH3f3xmudcfCFLdw1V</t>
  </si>
  <si>
    <t>Smells Like Teen Spirit</t>
  </si>
  <si>
    <t>spotify:track:0gucTLf7trAf37Ua1uAyAu</t>
  </si>
  <si>
    <t>Universal Music Latino / Rimas</t>
  </si>
  <si>
    <t>LA CANCIÓN</t>
  </si>
  <si>
    <t>spotify:track:0fea68AdmYNygeTGI4RC18</t>
  </si>
  <si>
    <t>DEPORTIVO</t>
  </si>
  <si>
    <t>spotify:track:0fKK51bU6lcCCwdNnv64t3</t>
  </si>
  <si>
    <t>like JENNIE</t>
  </si>
  <si>
    <t>spotify:track:0fK7ie6XwGxQTIkpFoWkd1</t>
  </si>
  <si>
    <t>Oliver Tree</t>
  </si>
  <si>
    <t>spotify:track:0eu4C55hL6x29mmeAjytzC</t>
  </si>
  <si>
    <t>Rico o Muerto by Baja Sound LLC</t>
  </si>
  <si>
    <t>Orula</t>
  </si>
  <si>
    <t>Victor Mendivil</t>
  </si>
  <si>
    <t>spotify:track:0ejwu6GH5TeXx82YvO6XSN</t>
  </si>
  <si>
    <t>Bon Jovi Dist Deal (Catalog)</t>
  </si>
  <si>
    <t>Livin' On A Prayer</t>
  </si>
  <si>
    <t>Bon Jovi</t>
  </si>
  <si>
    <t>spotify:track:0ee1DiZF94NSqqpG0XHUzH</t>
  </si>
  <si>
    <t>No Pole</t>
  </si>
  <si>
    <t>spotify:track:0eaVIYo2zeOaGJeqZ5TwYz</t>
  </si>
  <si>
    <t>spotify:track:0eUP3XYOCAj7lGoz4LOhyQ</t>
  </si>
  <si>
    <t>Aditya Rikhari</t>
  </si>
  <si>
    <t>spotify:track:0eLtIxPRNJfsmehITZ1qaJ</t>
  </si>
  <si>
    <t>Earrings</t>
  </si>
  <si>
    <t>spotify:track:0eAuGrXyGFYwur9ARUe7LJ</t>
  </si>
  <si>
    <t>cigarette smoke</t>
  </si>
  <si>
    <t>spotify:track:0e4u0sFRGxHL4U2iFBrUvZ</t>
  </si>
  <si>
    <t>Here With Me</t>
  </si>
  <si>
    <t>spotify:track:0dS2u2UFd88TIzDDaZDLvS</t>
  </si>
  <si>
    <t>Feel Good Inc.</t>
  </si>
  <si>
    <t>spotify:track:0d28khcov6AiegSCpG5TuT</t>
  </si>
  <si>
    <t>The Nights</t>
  </si>
  <si>
    <t>spotify:track:0ct6r3EGTcMLPtrXHDvVjc</t>
  </si>
  <si>
    <t>WM Canada</t>
  </si>
  <si>
    <t>For A Reason</t>
  </si>
  <si>
    <t>spotify:track:0cYohCh24y1aMjJmcS9RBl</t>
  </si>
  <si>
    <t>Sweater Weather</t>
  </si>
  <si>
    <t>spotify:track:0cQVqPuHQP4KEwc7ZUQmj6</t>
  </si>
  <si>
    <t>warning signs (interlude)</t>
  </si>
  <si>
    <t>spotify:track:0cJRr7kw5FkV5e8ejEB2j6</t>
  </si>
  <si>
    <t>Baptized In Fear</t>
  </si>
  <si>
    <t>spotify:track:0bxRSMz5WY1VuMmOhanE4b</t>
  </si>
  <si>
    <t>spotify:track:0bxPRWprUVpQK0UFcddkrA</t>
  </si>
  <si>
    <t>I Can't Wait To Get There</t>
  </si>
  <si>
    <t>spotify:track:0bcZ7xN9IcjSNxLerzR2yl</t>
  </si>
  <si>
    <t>All I Want for Christmas Is You</t>
  </si>
  <si>
    <t>spotify:track:0bYg9bo50gSsH3LtXe2SQn</t>
  </si>
  <si>
    <t>they don’t know ’bout us</t>
  </si>
  <si>
    <t>spotify:track:0b61A7v9agI08BG21jJPQ9</t>
  </si>
  <si>
    <t>Busy Woman</t>
  </si>
  <si>
    <t>spotify:track:0b0Dz0Gi86SVdBxYeiQcCP</t>
  </si>
  <si>
    <t>spotify:track:0auX6W6oLjO9cHmx4UTaNj</t>
  </si>
  <si>
    <t>That Should Be Me</t>
  </si>
  <si>
    <t>spotify:track:0aPZbnkMoWJaJ5CNVLCj8S</t>
  </si>
  <si>
    <t>tv off (feat. lefty gunplay)</t>
  </si>
  <si>
    <t>spotify:track:0aB0v4027ukVziUGwVGYpG</t>
  </si>
  <si>
    <t>My Only Wish (This Year)</t>
  </si>
  <si>
    <t>spotify:track:0YWUHZPJVg4iujddsJDwhM</t>
  </si>
  <si>
    <t>Chris Grey</t>
  </si>
  <si>
    <t>LET THE WORLD BURN</t>
  </si>
  <si>
    <t>spotify:track:0YVh3SyU4dS7jOWIFQ1tTf</t>
  </si>
  <si>
    <t>spotify:track:0XOynYFi9hQfIXKnTct9A7</t>
  </si>
  <si>
    <t>Your Love</t>
  </si>
  <si>
    <t>The Outfield</t>
  </si>
  <si>
    <t>spotify:track:0WoFs3EdGOx58yX5BtXvOa</t>
  </si>
  <si>
    <t>Good Luck, Babe!</t>
  </si>
  <si>
    <t>spotify:track:0WbMK4wrZ1wFSty9F7FCgu</t>
  </si>
  <si>
    <t>ALAMBRE PúA</t>
  </si>
  <si>
    <t>spotify:track:0WDvsKwqhn9alx29Z80DmG</t>
  </si>
  <si>
    <t>RUDE!</t>
  </si>
  <si>
    <t>Hearts2Hearts</t>
  </si>
  <si>
    <t>spotify:track:0WA27lZzPKFJKAbiDRmQDc</t>
  </si>
  <si>
    <t>Blinding Lights</t>
  </si>
  <si>
    <t>spotify:track:0VjIjW4GlUZAMYd2vXMi3b</t>
  </si>
  <si>
    <t>spotify:track:0Vcss0GZ1rbNI7QQPfXeg4</t>
  </si>
  <si>
    <t>Dance No More</t>
  </si>
  <si>
    <t>spotify:track:0VV0AMmgLBUhzuFedr3F3e</t>
  </si>
  <si>
    <t>Merry Christmas, Please Don't Call</t>
  </si>
  <si>
    <t>Bleachers</t>
  </si>
  <si>
    <t>spotify:track:0UOG0zUn7t8m8QcxfzR7AH</t>
  </si>
  <si>
    <t>Kiss It Better</t>
  </si>
  <si>
    <t>spotify:track:0UHB9METy4VCXNgkcGqHqS</t>
  </si>
  <si>
    <t>Perfect Celebrity</t>
  </si>
  <si>
    <t>spotify:track:0Tqn5Th0wk55eLdga96vZM</t>
  </si>
  <si>
    <t>Drag Path</t>
  </si>
  <si>
    <t>spotify:track:0TlcczkVTGpinpkGJpT81L</t>
  </si>
  <si>
    <t>Knife</t>
  </si>
  <si>
    <t>spotify:track:0TKCUjfV3YGuY99MxCKM5w</t>
  </si>
  <si>
    <t>LA GRACIOSA</t>
  </si>
  <si>
    <t>spotify:track:0TJYJrUDKQ1btt4g0Xwklw</t>
  </si>
  <si>
    <t>spotify:track:0TFTAtCYhp2tQ9KcJIZb55</t>
  </si>
  <si>
    <t>Hampstead</t>
  </si>
  <si>
    <t>spotify:track:0T3gCq5ZQvGq9jqZmaAff1</t>
  </si>
  <si>
    <t>spotify:track:0T3Hw3kPj9T2E4UoaSXmfn</t>
  </si>
  <si>
    <t>X-cell Records</t>
  </si>
  <si>
    <t>Wonderful Dream (Holidays Are Coming) - Radio Version</t>
  </si>
  <si>
    <t>Melanie Thornton</t>
  </si>
  <si>
    <t>spotify:track:0SvD6EdetxVtXei2JhkV4B</t>
  </si>
  <si>
    <t>Mr.305 Records / Rimas Entertainment LLC.</t>
  </si>
  <si>
    <t>Q U E V A S H A C E R H O Y ?</t>
  </si>
  <si>
    <t>spotify:track:0Sr7ssScx54yxdM2ols7nW</t>
  </si>
  <si>
    <t>Yo Perreo Sola</t>
  </si>
  <si>
    <t>spotify:track:0SqqAgdovOE24BzxIClpjw</t>
  </si>
  <si>
    <t>Nothing Left</t>
  </si>
  <si>
    <t>spotify:track:0Sq6JK9kyC4MQa3KrJj5CB</t>
  </si>
  <si>
    <t>Bad Romance</t>
  </si>
  <si>
    <t>spotify:track:0SiywuOBRcynK0uKGWdCnn</t>
  </si>
  <si>
    <t>Todo Lo Fue</t>
  </si>
  <si>
    <t>spotify:track:0Sa8aRfGckW0qUGLrBwoBG</t>
  </si>
  <si>
    <t>Parte &amp; Choke</t>
  </si>
  <si>
    <t>Mama, I'm Coming Home</t>
  </si>
  <si>
    <t>spotify:track:0S3gpZzlT9Hb7CCSV2owX7</t>
  </si>
  <si>
    <t>Sony Music India / Brown</t>
  </si>
  <si>
    <t>Bairan</t>
  </si>
  <si>
    <t>Banjaare</t>
  </si>
  <si>
    <t>spotify:track:0RsH8g8DxdYZgdGcod5I36</t>
  </si>
  <si>
    <t>Sunflower - Spider-Man: Into the Spider-Verse</t>
  </si>
  <si>
    <t>spotify:track:0RiRZpuVRbi7oqRdSMwhQY</t>
  </si>
  <si>
    <t>stay</t>
  </si>
  <si>
    <t>spotify:track:0QltPqkR4dnhbINyBOU5SY</t>
  </si>
  <si>
    <t>Judas</t>
  </si>
  <si>
    <t>spotify:track:0QkWikH5Z3U0f79T9iuF6c</t>
  </si>
  <si>
    <t>Coming Up Roses</t>
  </si>
  <si>
    <t>spotify:track:0QPdjsMOUhwouq1NS3HwfQ</t>
  </si>
  <si>
    <t>WONDERGIRL LLC</t>
  </si>
  <si>
    <t>SHAKE IT TO THE MAX (FLY) - REMIX</t>
  </si>
  <si>
    <t>spotify:track:0QCIpQV3twfqo9kh0t8Zza</t>
  </si>
  <si>
    <t>Something Serious</t>
  </si>
  <si>
    <t>spotify:track:0PV4VQCmE6Ujssr1bnswdF</t>
  </si>
  <si>
    <t>Humsafar (From "Saiyaara")</t>
  </si>
  <si>
    <t>spotify:track:0OLTYqD8FpjkLsxJmdWmgi</t>
  </si>
  <si>
    <t>Hoe Phase</t>
  </si>
  <si>
    <t>spotify:track:0O6lm9N6qJclxNFHl51nkr</t>
  </si>
  <si>
    <t>SexyBack (feat. Timbaland)</t>
  </si>
  <si>
    <t>spotify:track:0O45fw2L5vsWpdsOdXwNAR</t>
  </si>
  <si>
    <t>BorderTown Records</t>
  </si>
  <si>
    <t>EL AMOR DE SU VIDA</t>
  </si>
  <si>
    <t>spotify:track:0O3U5iwTbiXCREMkvotJuN</t>
  </si>
  <si>
    <t>Street Mob Records/PFL/Geffen Records</t>
  </si>
  <si>
    <t>Morena Canela</t>
  </si>
  <si>
    <t>spotify:track:0NsGFMIo2aNbAkJu48ndaf</t>
  </si>
  <si>
    <t>DIE TRYING</t>
  </si>
  <si>
    <t>spotify:track:0NUqi0ps17YpLUC3kgsZq0</t>
  </si>
  <si>
    <t>Latin Brega by HITLAB Records</t>
  </si>
  <si>
    <t>Resenha do Arrocha</t>
  </si>
  <si>
    <t>spotify:track:0NQyryTVbjGMtWMA1eSqIn</t>
  </si>
  <si>
    <t>Perlas Negras</t>
  </si>
  <si>
    <t>spotify:track:0N6h5RnzCNJG3JfROXQIMQ</t>
  </si>
  <si>
    <t>Rein Me In (with Olivia Dean)</t>
  </si>
  <si>
    <t>spotify:track:0MUXBhPUDF8or0kfQ0EHwV</t>
  </si>
  <si>
    <t>Takedown</t>
  </si>
  <si>
    <t>spotify:track:0MHStU0muAIEMbwdnebYu2</t>
  </si>
  <si>
    <t>DreamWorks Nashville</t>
  </si>
  <si>
    <t>Courtesy Of The Red, White And Blue (The Angry American)</t>
  </si>
  <si>
    <t>Toby Keith</t>
  </si>
  <si>
    <t>spotify:track:0M7mWKqwTIaVjYyxfZmtTa</t>
  </si>
  <si>
    <t>WALKING AWAY</t>
  </si>
  <si>
    <t>spotify:track:0LutvoC2HqCfnaRSjrhtzo</t>
  </si>
  <si>
    <t>spotify:track:0LTwdL5yZ6YOTEGUQPFuSN</t>
  </si>
  <si>
    <t>TU TU TU</t>
  </si>
  <si>
    <t>spotify:track:0L5gbpFGU06vqSHacOxgka</t>
  </si>
  <si>
    <t>FYA</t>
  </si>
  <si>
    <t>spotify:track:0KmrKOdScRDVYwWS8hkkdv</t>
  </si>
  <si>
    <t>That's What I Like</t>
  </si>
  <si>
    <t>spotify:track:0KKkJNfGyhkQ5aFogxQAPU</t>
  </si>
  <si>
    <t>City Walls</t>
  </si>
  <si>
    <t>spotify:track:0Ji9UonfwC90rbZ4IaQhOb</t>
  </si>
  <si>
    <t>Sure Thing</t>
  </si>
  <si>
    <t>Miguel</t>
  </si>
  <si>
    <t>spotify:track:0JXXNGljqupsJaZsgSbMZV</t>
  </si>
  <si>
    <t>Guess featuring billie eilish</t>
  </si>
  <si>
    <t>spotify:track:0IsIY8pfu1yaGkPUD7pkDx</t>
  </si>
  <si>
    <t>Sienna</t>
  </si>
  <si>
    <t>spotify:track:0InIeZW4P6VO7dUGRM4AKH</t>
  </si>
  <si>
    <t>North West Sound Recordings</t>
  </si>
  <si>
    <t>Jane!</t>
  </si>
  <si>
    <t>The Long Faces</t>
  </si>
  <si>
    <t>spotify:track:0IjdXwCEhZR7JIwq6Za8j5</t>
  </si>
  <si>
    <t>Baby It's Cold Outside (with Michael Bublé)</t>
  </si>
  <si>
    <t>spotify:track:0Ie5uiv54KgCr7P4sYDTHl</t>
  </si>
  <si>
    <t>LETAL</t>
  </si>
  <si>
    <t>spotify:track:0IMJsnmPXXgPyQDbhomx1B</t>
  </si>
  <si>
    <t>I'll Be Home for Christmas</t>
  </si>
  <si>
    <t>spotify:track:0GyXfYRuvG9nt71zF99SER</t>
  </si>
  <si>
    <t>Polar Music International AB</t>
  </si>
  <si>
    <t>Dancing Queen</t>
  </si>
  <si>
    <t>ABBA</t>
  </si>
  <si>
    <t>spotify:track:0GjEhVFGZW8afUYGChu3Rr</t>
  </si>
  <si>
    <t>Azizam</t>
  </si>
  <si>
    <t>spotify:track:0GRc3eGTg8HBdWLRGYgqIc</t>
  </si>
  <si>
    <t>Body</t>
  </si>
  <si>
    <t>spotify:track:0FlcmZ13DGRmscCroro9GO</t>
  </si>
  <si>
    <t>spotify:track:0FTmksd2dxiE5e3rWyJXs6</t>
  </si>
  <si>
    <t>spotify:track:0FIDCNYYjNvPVimz5icugS</t>
  </si>
  <si>
    <t>A Sky Full of Stars</t>
  </si>
  <si>
    <t>spotify:track:0FDzzruyVECATHXKHFs9eJ</t>
  </si>
  <si>
    <t>Fortworth (feat. PARTYNEXTDOOR)</t>
  </si>
  <si>
    <t>spotify:track:0F1rlXkOcI1Iqfz9Y3BdO4</t>
  </si>
  <si>
    <t>Zombieboy</t>
  </si>
  <si>
    <t>spotify:track:0ElVpg9XIswx3XWs6kUj6a</t>
  </si>
  <si>
    <t>Sony Music Entertainment India Pvt. Ltd.</t>
  </si>
  <si>
    <t>Barsaat</t>
  </si>
  <si>
    <t>spotify:track:0DpUQ3mpAGy3bYsEKVy6t5</t>
  </si>
  <si>
    <t>VITAMINA</t>
  </si>
  <si>
    <t>spotify:track:0DMJz677XfXiiruhIELu2e</t>
  </si>
  <si>
    <t>bloodonmyhands (feat. Flo Milli)</t>
  </si>
  <si>
    <t>spotify:track:0DA8aZZvG73AijDYT00ki1</t>
  </si>
  <si>
    <t>The Bicycle Music Company</t>
  </si>
  <si>
    <t>Bring Me To Life</t>
  </si>
  <si>
    <t>Evanescence</t>
  </si>
  <si>
    <t>spotify:track:0COqiPhxzoWICwFCS4eZcp</t>
  </si>
  <si>
    <t>Mainstreet Records</t>
  </si>
  <si>
    <t>Oh Garota Eu Quero Você Só Pra Mim.</t>
  </si>
  <si>
    <t>spotify:track:0BUkQGUXgcvf3gdCWYbtnJ</t>
  </si>
  <si>
    <t>Clocks</t>
  </si>
  <si>
    <t>spotify:track:0BCPKOYdS2jbQ8iyB56Zns</t>
  </si>
  <si>
    <t>When I Was Your Man</t>
  </si>
  <si>
    <t>spotify:track:0B7wvvmu9EISAwZnOpjhNI</t>
  </si>
  <si>
    <t>2 hands</t>
  </si>
  <si>
    <t>spotify:track:0B7tnohfi83RQquo2JRHrL</t>
  </si>
  <si>
    <t>Dirty Diana - 2012 Remaster</t>
  </si>
  <si>
    <t>spotify:track:0AcgKF7kbSoCkh3n7vlHwK</t>
  </si>
  <si>
    <t>spotify:track:0AV4GhGeGCVJphsMTxDWdE</t>
  </si>
  <si>
    <t>Sorry</t>
  </si>
  <si>
    <t>spotify:track:09CtPGIpYB4BrO8qb1RGsF</t>
  </si>
  <si>
    <t>Nakama</t>
  </si>
  <si>
    <t>DIA DELÍCIA</t>
  </si>
  <si>
    <t>spotify:track:094IjHeVUviN4aBnSXYsuj</t>
  </si>
  <si>
    <t>Talwiinder</t>
  </si>
  <si>
    <t>Haseen</t>
  </si>
  <si>
    <t>spotify:track:08GYLNhKthS3arMdXsveRI</t>
  </si>
  <si>
    <t>Chiquita</t>
  </si>
  <si>
    <t>spotify:track:07bruo5RoHasGqnun1Z31S</t>
  </si>
  <si>
    <t>spotify:track:064fLCSLFvjocxzHXAyA0W</t>
  </si>
  <si>
    <t>spotify:track:05od2qm2MTSKCHxy1GBp5W</t>
  </si>
  <si>
    <t>Mele Kalikimaka (Merry Christmas)</t>
  </si>
  <si>
    <t>spotify:track:04vLj9QUXoKdRlsp3gkURo</t>
  </si>
  <si>
    <t>What I Want (feat. Tate McRae)</t>
  </si>
  <si>
    <t>spotify:track:04emojnbYkrRmv5qtJcgVP</t>
  </si>
  <si>
    <t>MATADORA</t>
  </si>
  <si>
    <t>spotify:track:04d5HlcQX6zH5MMqffXOon</t>
  </si>
  <si>
    <t>spotify:track:04aigH9HRGebQZu1JAN6X1</t>
  </si>
  <si>
    <t>Saturn</t>
  </si>
  <si>
    <t>spotify:track:040I32EKLxQrkuxQu1pqvT</t>
  </si>
  <si>
    <t>Father Figure</t>
  </si>
  <si>
    <t>spotify:track:03bTIHJElXZ0O0jqOQvAbY</t>
  </si>
  <si>
    <t>ATM</t>
  </si>
  <si>
    <t>spotify:track:03auLpFLdCv4HozP4pQseu</t>
  </si>
  <si>
    <t>spotify:track:03JZr55j9bIj1d2RQJ7Yq9</t>
  </si>
  <si>
    <t>Soda Pop</t>
  </si>
  <si>
    <t>spotify:track:02sy7FAs8dkDNYsHp4Ul3f</t>
  </si>
  <si>
    <t>Mercury Records/Morgan Wallen</t>
  </si>
  <si>
    <t>spotify:track:02Ya2Q08bBKFqUJvjmyRXK</t>
  </si>
  <si>
    <t>Paparazzi</t>
  </si>
  <si>
    <t>spotify:track:02XnQdf7sipaKBBHixz3Zp</t>
  </si>
  <si>
    <t>spotify:track:02HyFYmpzt02VJ8k0CqxKj</t>
  </si>
  <si>
    <t>Lose My Mind (feat. Doja Cat) [From F1® The Movie]</t>
  </si>
  <si>
    <t>spotify:track:02BcXEH1zJYbXSabPtNlKf</t>
  </si>
  <si>
    <t>spotify:track:028i7HBfp8uE5epmx5ieMA</t>
  </si>
  <si>
    <t>3D (feat. Jack Harlow)</t>
  </si>
  <si>
    <t>spotify:track:01qFKNWq73UfEslI0GvumE</t>
  </si>
  <si>
    <t>GO BABY</t>
  </si>
  <si>
    <t>spotify:track:01p5urrGw5fuFCcfT7PBgc</t>
  </si>
  <si>
    <t>K POP</t>
  </si>
  <si>
    <t>spotify:track:00iLTetTLAeImmBlh6jOJh</t>
  </si>
  <si>
    <t>Mr. Brightside</t>
  </si>
  <si>
    <t>The Killers</t>
  </si>
  <si>
    <t>spotify:track:003vvx7Niy0yvhvHt4a68B</t>
  </si>
  <si>
    <t>cover_url</t>
  </si>
  <si>
    <t>release_date</t>
  </si>
  <si>
    <t>genre</t>
  </si>
  <si>
    <t>tempo</t>
  </si>
  <si>
    <t>valence</t>
  </si>
  <si>
    <t>liveness</t>
  </si>
  <si>
    <t>instrumentalness</t>
  </si>
  <si>
    <t>acousticness</t>
  </si>
  <si>
    <t>speechiness</t>
  </si>
  <si>
    <t>loudness</t>
  </si>
  <si>
    <t>energy</t>
  </si>
  <si>
    <t>danceability</t>
  </si>
  <si>
    <t>explicit</t>
  </si>
  <si>
    <t>duration</t>
  </si>
  <si>
    <t>weeks_on_chart</t>
  </si>
  <si>
    <t>peak_rank</t>
  </si>
  <si>
    <t>source</t>
  </si>
  <si>
    <t>track_name</t>
  </si>
  <si>
    <t>artist_names</t>
  </si>
  <si>
    <t>uri</t>
  </si>
  <si>
    <t>id</t>
  </si>
  <si>
    <t>Genre</t>
  </si>
  <si>
    <t>Artist</t>
  </si>
  <si>
    <t>What characteristics differentiate songs that reach the Top 10 of the Spotify Global chart from those that do not reach the Top 50?</t>
  </si>
  <si>
    <t>Brief Analysis</t>
  </si>
  <si>
    <t>This analysis compares Top 10 hits against songs that peaked between positions 51 and 200. It examines audio features (danceability, energy, valence, tempo, loudness, acousticness), song metadata (duration, explicit), and genre. The goal is to identify patterns that can guide song creation, production, and marketing decisions in the music industry.</t>
  </si>
  <si>
    <t>https://developer.spotify.com/</t>
  </si>
  <si>
    <t>https://charts.spotify.com/</t>
  </si>
  <si>
    <t>I chose this dataset because Spotify is the world's largest music streaming platform, and its Global Weekly Top 200 chart reflects real listener behavior across the globe. The dataset is rich: each song includes 20+ attributes such as audio features (danceability, energy, valence, tempo, loudness), metadata (duration, explicit content, genre), and chart performance (peak rank, weeks on chart). This breadth allows for a deeper, multi-dimensional analysis of what makes a song successful, rather than a single-variable view.</t>
  </si>
  <si>
    <t>The dataset directly answers the business question because it contains both the outcome (peak rank: Top 10 vs. no-Top 50) and the potential explanatory variables (audio features, duration, explicit content, genre). By comparing these characteristics across chart performance groups, we can identify patterns that differentiate hits from non-hits and translate them into actionable insights for labels, producers, and artists.</t>
  </si>
  <si>
    <t>Project 2</t>
  </si>
  <si>
    <t>SONG INFO</t>
  </si>
  <si>
    <t>https://image-cdn-ak.spotifycdn.com/image/ab67616d00001e02ccdddd46119a4ff53eaf1f5d</t>
  </si>
  <si>
    <t>https://image-cdn-ak.spotifycdn.com/image/ab67616d00001e026b219c8d8462bfe254a20469</t>
  </si>
  <si>
    <t>https://image-cdn-ak.spotifycdn.com/image/ab67616d00001e02d65c4773bc5061fd27facc5b</t>
  </si>
  <si>
    <t>https://image-cdn-ak.spotifycdn.com/image/ab67616d00001e0299583bb32b47e87d55c6064b</t>
  </si>
  <si>
    <t>https://image-cdn-ak.spotifycdn.com/image/ab67616d00001e0274959140f550b11049c18a38</t>
  </si>
  <si>
    <t>https://image-cdn-ak.spotifycdn.com/image/ab67616d00001e02d4c0243b55cdf7394323e710</t>
  </si>
  <si>
    <t>https://image-cdn-ak.spotifycdn.com/image/ab67616d00001e02b176fc721e1faba78b1ef35b</t>
  </si>
  <si>
    <t>https://image-cdn-fa.spotifycdn.com/image/ab67616d00001e02e691217483df8798445c82e2</t>
  </si>
  <si>
    <t>https://image-cdn-ak.spotifycdn.com/image/ab67616d00001e02e69f7f1c43cebd102126e8f3</t>
  </si>
  <si>
    <t>https://image-cdn-ak.spotifycdn.com/image/ab67616d00001e024dcb6c5df15cf74596ab25a4</t>
  </si>
  <si>
    <t>https://image-cdn-fa.spotifycdn.com/image/ab67616d00001e023b219fb53c69f313f90fd4ce</t>
  </si>
  <si>
    <t>https://image-cdn-ak.spotifycdn.com/image/ab67616d00001e0225c28f3c9fbdbab1a88dd619</t>
  </si>
  <si>
    <t>https://image-cdn-ak.spotifycdn.com/image/ab67616d00001e02d7812467811a7da6e6a44902</t>
  </si>
  <si>
    <t>https://image-cdn-fa.spotifycdn.com/image/ab67616d00001e0216fdde9f6b5606419ca9b7ca</t>
  </si>
  <si>
    <t>https://image-cdn-ak.spotifycdn.com/image/ab67616d00001e02693bbaa1c515f1cde764e25b</t>
  </si>
  <si>
    <t>https://image-cdn-ak.spotifycdn.com/image/ab67616d00001e0221deb742375f88edfb2e7368</t>
  </si>
  <si>
    <t>https://image-cdn-ak.spotifycdn.com/image/ab67616d00001e0235ea219ce47813b5e2dc3745</t>
  </si>
  <si>
    <t>https://image-cdn-ak.spotifycdn.com/image/ab67616d00001e028004cd6b343732b0e1e666f5</t>
  </si>
  <si>
    <t>https://image-cdn-ak.spotifycdn.com/image/ab67616d00001e024229702de91cb3d3a4383302</t>
  </si>
  <si>
    <t>https://image-cdn-ak.spotifycdn.com/image/ab67616d00001e025597017783049cb4c3e49e57</t>
  </si>
  <si>
    <t>https://image-cdn-ak.spotifycdn.com/image/ab67616d00001e025c0540f97b3f95e387a9b58e</t>
  </si>
  <si>
    <t>https://image-cdn-ak.spotifycdn.com/image/ab67616d00001e0205be603d0ab07ff5b195554e</t>
  </si>
  <si>
    <t>https://image-cdn-ak.spotifycdn.com/image/ab67616d00001e029246fa656b3b831c60c42fd3</t>
  </si>
  <si>
    <t>https://image-cdn-ak.spotifycdn.com/image/ab67616d00001e02f46b9d202509a8f7384b90de</t>
  </si>
  <si>
    <t>https://image-cdn-ak.spotifycdn.com/image/ab67616d00001e029053118f64c1871ed8cd4da4</t>
  </si>
  <si>
    <t>https://image-cdn-ak.spotifycdn.com/image/ab67616d00001e02eb2087dcd1eb61f833bdedff</t>
  </si>
  <si>
    <t>https://image-cdn-ak.spotifycdn.com/image/ab67616d00001e0230420759f1a2cd4923c5c65b</t>
  </si>
  <si>
    <t>https://image-cdn-ak.spotifycdn.com/image/ab67616d00001e0249055dce3554e72e82082980</t>
  </si>
  <si>
    <t>https://image-cdn-ak.spotifycdn.com/image/ab67616d00001e02de09e02aa7febf30b7c02d82</t>
  </si>
  <si>
    <t>https://image-cdn-ak.spotifycdn.com/image/ab67616d00001e02d8bfb4567b1b5e5bc4da915b</t>
  </si>
  <si>
    <t>https://image-cdn-ak.spotifycdn.com/image/ab67616d00001e0225f49ab23f0ec6332efef432</t>
  </si>
  <si>
    <t>https://image-cdn-ak.spotifycdn.com/image/ab67616d00001e024b11635cbdec6917dd2c58b1</t>
  </si>
  <si>
    <t>https://image-cdn-ak.spotifycdn.com/image/ab67616d00001e02a0b110307ee3dc10a74e3562</t>
  </si>
  <si>
    <t>https://image-cdn-ak.spotifycdn.com/image/ab67616d00001e02b0860cf0a98e09663c82290c</t>
  </si>
  <si>
    <t>https://image-cdn-ak.spotifycdn.com/image/ab67616d00001e02b92879e45761d711016476df</t>
  </si>
  <si>
    <t>https://image-cdn-ak.spotifycdn.com/image/ab67616d00001e02e5a95573f1b91234630fd2cf</t>
  </si>
  <si>
    <t>https://image-cdn-fa.spotifycdn.com/image/ab67616d00001e02de79f330bc297af3fae736da</t>
  </si>
  <si>
    <t>https://image-cdn-ak.spotifycdn.com/image/ab67616d00001e027fd4049ad3b037358cf809ef</t>
  </si>
  <si>
    <t>https://image-cdn-fa.spotifycdn.com/image/ab67616d00001e0225c28f3c9fbdbab1a88dd619</t>
  </si>
  <si>
    <t>https://image-cdn-fa.spotifycdn.com/image/ab67616d00001e02d29a003b6e8d4c1c47bd4da4</t>
  </si>
  <si>
    <t>https://image-cdn-ak.spotifycdn.com/image/ab67616d00001e0270f7a1b35d5165c85b95a0e0</t>
  </si>
  <si>
    <t>https://image-cdn-ak.spotifycdn.com/image/ab67616d00001e02b601df2f604eabf6f1302337</t>
  </si>
  <si>
    <t>https://image-cdn-ak.spotifycdn.com/image/ab67616d00001e02f1b7ee109bd8626cad94f478</t>
  </si>
  <si>
    <t>https://image-cdn-ak.spotifycdn.com/image/ab67616d00001e02b942e9ff43d692b700328ecc</t>
  </si>
  <si>
    <t>https://image-cdn-ak.spotifycdn.com/image/ab67616d00001e026685599bd4bafe725e532e2f</t>
  </si>
  <si>
    <t>https://image-cdn-ak.spotifycdn.com/image/ab67616d00001e028aa339341a0b0c813909c831</t>
  </si>
  <si>
    <t>https://image-cdn-ak.spotifycdn.com/image/ab67616d00001e028ac99f88ebc09b1f1637dc00</t>
  </si>
  <si>
    <t>https://image-cdn-ak.spotifycdn.com/image/ab67616d00001e02d5a8395b0d80b8c48a5d851c</t>
  </si>
  <si>
    <t>https://image-cdn-ak.spotifycdn.com/image/ab67616d00001e029c5a3160cc1a6ef5efdaf80a</t>
  </si>
  <si>
    <t>https://image-cdn-ak.spotifycdn.com/image/ab67616d00001e02232711f7d66a1e19e89e28c5</t>
  </si>
  <si>
    <t>https://image-cdn-ak.spotifycdn.com/image/ab67616d00001e02dfa17fad7f190c901603270e</t>
  </si>
  <si>
    <t>https://image-cdn-ak.spotifycdn.com/image/ab67616d00001e02c24261c63305b3209fde0fa9</t>
  </si>
  <si>
    <t>https://image-cdn-ak.spotifycdn.com/image/ab67616d00001e02c6d0e8bfb41e9d9cee3a1248</t>
  </si>
  <si>
    <t>https://image-cdn-ak.spotifycdn.com/image/ab67616d00001e02bb5c54a68f9ce31f83b98de4</t>
  </si>
  <si>
    <t>https://image-cdn-ak.spotifycdn.com/image/ab67616d00001e0270722c52a53ef4a56f0c2eb0</t>
  </si>
  <si>
    <t>https://image-cdn-fa.spotifycdn.com/image/ab67616d00001e02b60ef80c5a8a3b25dd6bea6e</t>
  </si>
  <si>
    <t>https://image-cdn-ak.spotifycdn.com/image/ab67616d00001e02b95ec67486445b1c81e55b32</t>
  </si>
  <si>
    <t>https://image-cdn-fa.spotifycdn.com/image/ab67616d00001e02b5a28a256eae6dc0424fef59</t>
  </si>
  <si>
    <t>https://image-cdn-fa.spotifycdn.com/image/ab67616d00001e02ef6655b813e1b2cd726e99d3</t>
  </si>
  <si>
    <t>https://image-cdn-ak.spotifycdn.com/image/ab67616d00001e0282ce4c7bbf861185252e82ae</t>
  </si>
  <si>
    <t>https://image-cdn-ak.spotifycdn.com/image/ab67616d00001e02c6ba98fd3f3b396a6c6f7091</t>
  </si>
  <si>
    <t>https://image-cdn-fa.spotifycdn.com/image/ab67616d00001e02539bb112d7c970545dd971e3</t>
  </si>
  <si>
    <t>https://image-cdn-ak.spotifycdn.com/image/ab67616d00001e02dfc5ea836092ec71ca7a5dcb</t>
  </si>
  <si>
    <t>https://image-cdn-ak.spotifycdn.com/image/ab67616d00001e023eb8dc748f7efb1470f74395</t>
  </si>
  <si>
    <t>https://image-cdn-ak.spotifycdn.com/image/ab67616d00001e020069ee4e37f913fb1653b389</t>
  </si>
  <si>
    <t>https://image-cdn-ak.spotifycdn.com/image/ab67616d00001e024ba15b951a5cff36133ca5bd</t>
  </si>
  <si>
    <t>https://image-cdn-ak.spotifycdn.com/image/ab67616d00001e028baf677ee2d8dda6cc9fcbd7</t>
  </si>
  <si>
    <t>https://image-cdn-ak.spotifycdn.com/image/ab67616d00001e029478c87599550dd73bfa7e02</t>
  </si>
  <si>
    <t>https://image-cdn-ak.spotifycdn.com/image/ab67616d00001e02cdce9a38222807fa703b4396</t>
  </si>
  <si>
    <t>https://image-cdn-fa.spotifycdn.com/image/ab67616d00001e02509342e69eb341df70e5c2e3</t>
  </si>
  <si>
    <t>https://image-cdn-ak.spotifycdn.com/image/ab67616d00001e0234fc9cf3365e3e9d5f86ffe3</t>
  </si>
  <si>
    <t>https://image-cdn-ak.spotifycdn.com/image/ab67616d00001e025c9890c0456a3719eeecd8aa</t>
  </si>
  <si>
    <t>https://image-cdn-ak.spotifycdn.com/image/ab67616d00001e02548f7ec52da7313de0c5e4a0</t>
  </si>
  <si>
    <t>https://image-cdn-fa.spotifycdn.com/image/ab67616d00001e02996764071dbd5240eefb2422</t>
  </si>
  <si>
    <t>https://image-cdn-ak.spotifycdn.com/image/ab67616d00001e02467ce871a68075576bf5121f</t>
  </si>
  <si>
    <t>https://image-cdn-fa.spotifycdn.com/image/ab67616d00001e02b0860cf0a98e09663c82290c</t>
  </si>
  <si>
    <t>https://image-cdn-ak.spotifycdn.com/image/ab67616d00001e026c9d796f3d1a060de02a3077</t>
  </si>
  <si>
    <t>https://image-cdn-fa.spotifycdn.com/image/ab67616d00001e027b84b5d956376cb8e55425f5</t>
  </si>
  <si>
    <t>https://image-cdn-ak.spotifycdn.com/image/ab67616d00001e0292beb54472282ca313f34055</t>
  </si>
  <si>
    <t>https://image-cdn-ak.spotifycdn.com/image/ab67616d00001e02b5b991fd65053a3acb8c2db2</t>
  </si>
  <si>
    <t>https://image-cdn-ak.spotifycdn.com/image/ab67616d00001e026be9bac15995f089579074de</t>
  </si>
  <si>
    <t>https://image-cdn-ak.spotifycdn.com/image/ab67616d00001e027fbed05d7226834da74c652b</t>
  </si>
  <si>
    <t>https://image-cdn-ak.spotifycdn.com/image/ab67616d00001e02e4d17d7e6cf481caaac75484</t>
  </si>
  <si>
    <t>https://image-cdn-ak.spotifycdn.com/image/ab67616d00001e028863bc11d2aa12b54f5aeb36</t>
  </si>
  <si>
    <t>https://image-cdn-fa.spotifycdn.com/image/ab67616d00001e0294d81f369ca76342b6b89a52</t>
  </si>
  <si>
    <t>https://image-cdn-ak.spotifycdn.com/image/ab67616d00001e0265ff495c44b83bd19cb9f993</t>
  </si>
  <si>
    <t>https://image-cdn-ak.spotifycdn.com/image/ab67616d00001e0291b4bc7c88d91a42e0f3a8b7</t>
  </si>
  <si>
    <t>https://image-cdn-fa.spotifycdn.com/image/ab67616d00001e02ffaeb2f6c1acc0ed7180929a</t>
  </si>
  <si>
    <t>https://image-cdn-fa.spotifycdn.com/image/ab67616d00001e0297c0928704e5a2bd8d4c5b90</t>
  </si>
  <si>
    <t>https://image-cdn-ak.spotifycdn.com/image/ab67616d00001e02ec387576b8f64454e7efb01f</t>
  </si>
  <si>
    <t>https://image-cdn-ak.spotifycdn.com/image/ab67616d00001e0216ed688a08ecd351560f4566</t>
  </si>
  <si>
    <t>https://image-cdn-ak.spotifycdn.com/image/ab67616d00001e02e2a0a166493a2bde5480a420</t>
  </si>
  <si>
    <t>https://image-cdn-ak.spotifycdn.com/image/ab67616d00001e02629dc9e2e3bc20bbd7d92e4a</t>
  </si>
  <si>
    <t>https://image-cdn-ak.spotifycdn.com/image/ab67616d00001e028224aa4d858fb592080a03d8</t>
  </si>
  <si>
    <t>https://image-cdn-ak.spotifycdn.com/image/ab67616d00001e02047d6b756e8f5e3f8b50f025</t>
  </si>
  <si>
    <t>https://image-cdn-ak.spotifycdn.com/image/ab67616d00001e02c0862332847213b151ffab31</t>
  </si>
  <si>
    <t>https://image-cdn-ak.spotifycdn.com/image/ab67616d00001e02de79f330bc297af3fae736da</t>
  </si>
  <si>
    <t>https://image-cdn-ak.spotifycdn.com/image/ab67616d00001e02ce5bc87f637b46ad01831fc4</t>
  </si>
  <si>
    <t>https://image-cdn-ak.spotifycdn.com/image/ab67616d00001e02460b137f921b16041901104a</t>
  </si>
  <si>
    <t>https://image-cdn-ak.spotifycdn.com/image/ab67616d00001e02c91ed3bc3c8d484f532fab2f</t>
  </si>
  <si>
    <t>https://image-cdn-ak.spotifycdn.com/image/ab67616d00001e0289e8f71cb6f3b6cc60944858</t>
  </si>
  <si>
    <t>https://image-cdn-ak.spotifycdn.com/image/ab67616d00001e020ae4f4d42e4a09f3a29f64ad</t>
  </si>
  <si>
    <t>https://image-cdn-fa.spotifycdn.com/image/ab67616d00001e02622aefd794f6fe4d8e714358</t>
  </si>
  <si>
    <t>https://image-cdn-fa.spotifycdn.com/image/ab67616d00001e02c4ddcc23f630f4c2728a5255</t>
  </si>
  <si>
    <t>https://image-cdn-ak.spotifycdn.com/image/ab67616d00001e025cf234eeb7a2edf44bf64a46</t>
  </si>
  <si>
    <t>https://image-cdn-fa.spotifycdn.com/image/ab67616d00001e022c1f34ecc1929fb59908aad1</t>
  </si>
  <si>
    <t>https://image-cdn-fa.spotifycdn.com/image/ab67616d00001e020a47bbe7141fdfe0eb2cdba7</t>
  </si>
  <si>
    <t>https://image-cdn-ak.spotifycdn.com/image/ab67616d00001e02b9ae89f9af550218834c07d7</t>
  </si>
  <si>
    <t>https://image-cdn-ak.spotifycdn.com/image/ab67616d00001e02307323fa550564b0201b1d76</t>
  </si>
  <si>
    <t>https://image-cdn-ak.spotifycdn.com/image/ab67616d00001e0249e6168f69625252689c2526</t>
  </si>
  <si>
    <t>https://image-cdn-ak.spotifycdn.com/image/ab67616d00001e02eb91cbac493d205d58640ddf</t>
  </si>
  <si>
    <t>https://image-cdn-fa.spotifycdn.com/image/ab67616d00001e02bf118f32a37c18511647b54a</t>
  </si>
  <si>
    <t>https://image-cdn-ak.spotifycdn.com/image/ab67616d00001e02dcf27dec5e479b2e39c4c993</t>
  </si>
  <si>
    <t>https://image-cdn-ak.spotifycdn.com/image/ab67616d00001e029fc4d086e44711d271d75d45</t>
  </si>
  <si>
    <t>https://image-cdn-ak.spotifycdn.com/image/ab67616d00001e024891d9b25d8919448388f3bb</t>
  </si>
  <si>
    <t>https://image-cdn-ak.spotifycdn.com/image/ab67616d00001e02444f118a9126af9e1483dcc0</t>
  </si>
  <si>
    <t>https://image-cdn-ak.spotifycdn.com/image/ab67616d00001e0293ee2e2f2dfb7de9befcc164</t>
  </si>
  <si>
    <t>https://image-cdn-ak.spotifycdn.com/image/ab67616d00001e020892be1577c5cdb7eee47fa7</t>
  </si>
  <si>
    <t>https://image-cdn-ak.spotifycdn.com/image/ab67616d00001e020713102d7bb855a4796f7cdc</t>
  </si>
  <si>
    <t>https://image-cdn-ak.spotifycdn.com/image/ab67616d00001e02e88b1e1a3534ea4fced8dc24</t>
  </si>
  <si>
    <t>https://image-cdn-ak.spotifycdn.com/image/ab67616d00001e02bbd45c8d36e0e045ef640411</t>
  </si>
  <si>
    <t>https://image-cdn-ak.spotifycdn.com/image/ab67616d00001e02381371cb8ce680d0dc324600</t>
  </si>
  <si>
    <t>https://image-cdn-ak.spotifycdn.com/image/ab67616d00001e02b1863bf95557ea7f357c4947</t>
  </si>
  <si>
    <t>https://image-cdn-fa.spotifycdn.com/image/ab67616d00001e0203cadf1b3fe324c1dc710ed4</t>
  </si>
  <si>
    <t>https://image-cdn-ak.spotifycdn.com/image/ab67616d00001e02a6224f2f93c0ab4b2e01b44b</t>
  </si>
  <si>
    <t>https://image-cdn-ak.spotifycdn.com/image/ab67616d00001e0287e2f8346625bb6fd20d52be</t>
  </si>
  <si>
    <t>https://image-cdn-ak.spotifycdn.com/image/ab67616d00001e020753a386572b590eb0728227</t>
  </si>
  <si>
    <t>https://image-cdn-ak.spotifycdn.com/image/ab67616d00001e02212d776c31027c511f0ee3bc</t>
  </si>
  <si>
    <t>https://image-cdn-ak.spotifycdn.com/image/ab67616d00001e02a1db745e63940bc06985dea5</t>
  </si>
  <si>
    <t>https://image-cdn-fa.spotifycdn.com/image/ab67616d00001e02045d0a38105fbe7bde43c490</t>
  </si>
  <si>
    <t>https://image-cdn-fa.spotifycdn.com/image/ab67616d00001e028baf677ee2d8dda6cc9fcbd7</t>
  </si>
  <si>
    <t>https://image-cdn-ak.spotifycdn.com/image/ab67616d00001e027a3451571221d540b4aa2d3d</t>
  </si>
  <si>
    <t>https://image-cdn-ak.spotifycdn.com/image/ab67616d00001e026ee35072df1af802cca09918</t>
  </si>
  <si>
    <t>https://image-cdn-ak.spotifycdn.com/image/ab67616d00001e02a47c6d8a934b4833c0916cc9</t>
  </si>
  <si>
    <t>https://image-cdn-ak.spotifycdn.com/image/ab67616d00001e026c0294796e2ee5cf87a47b5f</t>
  </si>
  <si>
    <t>https://image-cdn-ak.spotifycdn.com/image/ab67616d00001e02e14f11f796cef9f9a82691a7</t>
  </si>
  <si>
    <t>https://image-cdn-ak.spotifycdn.com/image/ab67616d00001e022519d01c0cca06f134eeadd8</t>
  </si>
  <si>
    <t>https://image-cdn-ak.spotifycdn.com/image/ab67616d00001e02e52a59a28efa4773dd2bfe1b</t>
  </si>
  <si>
    <t>https://image-cdn-ak.spotifycdn.com/image/ab67616d00001e021e9a057052d59004caf47e22</t>
  </si>
  <si>
    <t>https://image-cdn-fa.spotifycdn.com/image/ab67616d00001e025675e83f707f1d7271e5cf8a</t>
  </si>
  <si>
    <t>https://image-cdn-fa.spotifycdn.com/image/ab67616d00001e02336aa1a070dd43a43b8769a9</t>
  </si>
  <si>
    <t>https://image-cdn-ak.spotifycdn.com/image/ab67616d00001e02f3e3f888fbfcc916ecce50a9</t>
  </si>
  <si>
    <t>https://image-cdn-fa.spotifycdn.com/image/ab67616d00001e0277550dd0c126ef359f3c3a4f</t>
  </si>
  <si>
    <t>https://image-cdn-ak.spotifycdn.com/image/ab67616d00001e0230dc6027fd140c7ba68e900c</t>
  </si>
  <si>
    <t>https://image-cdn-ak.spotifycdn.com/image/ab67616d00001e02410dfc8e880c1b3fefe6b83c</t>
  </si>
  <si>
    <t>https://image-cdn-fa.spotifycdn.com/image/ab67616d00001e02da33127f62acdb0aca585e92</t>
  </si>
  <si>
    <t>https://image-cdn-fa.spotifycdn.com/image/ab67616d00001e02460b137f921b16041901104a</t>
  </si>
  <si>
    <t>https://image-cdn-fa.spotifycdn.com/image/ab67616d00001e0274959140f550b11049c18a38</t>
  </si>
  <si>
    <t>https://image-cdn-fa.spotifycdn.com/image/ab67616d00001e02ba5db46f4b838ef6027e6f96</t>
  </si>
  <si>
    <t>https://image-cdn-ak.spotifycdn.com/image/ab67616d00001e028a3f0a3ca7929dea23cd274c</t>
  </si>
  <si>
    <t>https://image-cdn-ak.spotifycdn.com/image/ab67616d00001e0252b2a3824413eefe9e33817a</t>
  </si>
  <si>
    <t>https://image-cdn-ak.spotifycdn.com/image/ab67616d00001e0223d41bf736920a032e222a78</t>
  </si>
  <si>
    <t>https://image-cdn-fa.spotifycdn.com/image/ab67616d00001e022046ff71c29ccec4268dcac6</t>
  </si>
  <si>
    <t>https://image-cdn-ak.spotifycdn.com/image/ab67616d00001e020f7761c6df5822925daf3738</t>
  </si>
  <si>
    <t>https://image-cdn-ak.spotifycdn.com/image/ab67616d00001e025a5ab94b38aec77383bde6ff</t>
  </si>
  <si>
    <t>https://image-cdn-ak.spotifycdn.com/image/ab67616d00001e02edf6710f9c0cd81e37fcaf3d</t>
  </si>
  <si>
    <t>https://image-cdn-ak.spotifycdn.com/image/ab67616d00001e0212b69bf576f5e80291f75161</t>
  </si>
  <si>
    <t>https://image-cdn-ak.spotifycdn.com/image/ab67616d00001e02882265cd9bdded9ea9a153b9</t>
  </si>
  <si>
    <t>https://image-cdn-ak.spotifycdn.com/image/ab67616d00001e02124869b6f7df071e3c77d646</t>
  </si>
  <si>
    <t>https://image-cdn-ak.spotifycdn.com/image/ab67616d00001e022bcae9fa5d95c564ddcaea00</t>
  </si>
  <si>
    <t>https://image-cdn-ak.spotifycdn.com/image/ab67616d00001e02c8b444df094279e70d0ed856</t>
  </si>
  <si>
    <t>https://image-cdn-ak.spotifycdn.com/image/ab67616d00001e02ea76f03ff30a6cb758809982</t>
  </si>
  <si>
    <t>https://image-cdn-ak.spotifycdn.com/image/ab67616d00001e02a47c0e156ea3cebe37fdcab8</t>
  </si>
  <si>
    <t>https://image-cdn-ak.spotifycdn.com/image/ab67616d00001e0299bc33b47a0a67fd50783055</t>
  </si>
  <si>
    <t>https://image-cdn-fa.spotifycdn.com/image/ab67616d00001e0268f5959744717483eed212b2</t>
  </si>
  <si>
    <t>https://image-cdn-ak.spotifycdn.com/image/ab67616d00001e02cf3de6b538d8b1ed73a4d5d1</t>
  </si>
  <si>
    <t>https://image-cdn-fa.spotifycdn.com/image/ab67616d00001e02e7623a0a60f330ee2b24d498</t>
  </si>
  <si>
    <t>https://image-cdn-ak.spotifycdn.com/image/ab67616d00001e02a9e6a250ea86a8f387873ef9</t>
  </si>
  <si>
    <t>https://image-cdn-ak.spotifycdn.com/image/ab67616d00001e028606848da949bbaddf447d87</t>
  </si>
  <si>
    <t>https://image-cdn-ak.spotifycdn.com/image/ab67616d00001e028b58d20f1b77295730db15b4</t>
  </si>
  <si>
    <t>https://image-cdn-ak.spotifycdn.com/image/ab67616d00001e024c3eeb98521e02693a46d6db</t>
  </si>
  <si>
    <t>https://image-cdn-ak.spotifycdn.com/image/ab67616d00001e02c08d5fa5c0f1a834acef5100</t>
  </si>
  <si>
    <t>https://image-cdn-fa.spotifycdn.com/image/ab67616d00001e02f31d7d1d7bb1e68c793c7449</t>
  </si>
  <si>
    <t>https://image-cdn-ak.spotifycdn.com/image/ab67616d00001e023966ad1a94af993a41332d77</t>
  </si>
  <si>
    <t>https://image-cdn-ak.spotifycdn.com/image/ab67616d00001e027039c1c841fc3dfa2ad8a0d8</t>
  </si>
  <si>
    <t>https://image-cdn-ak.spotifycdn.com/image/ab67616d00001e02a51d2c2b79d59becd0e48dcd</t>
  </si>
  <si>
    <t>https://image-cdn-ak.spotifycdn.com/image/ab67616d00001e026949b83f85d782b21ce70583</t>
  </si>
  <si>
    <t>https://image-cdn-ak.spotifycdn.com/image/ab67616d00001e02ebea8d4457c4db5b2088f287</t>
  </si>
  <si>
    <t>https://image-cdn-ak.spotifycdn.com/image/ab67616d00001e0281c06ae612adc448a9636365</t>
  </si>
  <si>
    <t>https://image-cdn-ak.spotifycdn.com/image/ab67616d00001e02393ae2f0bd79be4d87335d0a</t>
  </si>
  <si>
    <t>https://image-cdn-ak.spotifycdn.com/image/ab67616d00001e029d0de44b410a75bfe8ae7552</t>
  </si>
  <si>
    <t>https://image-cdn-ak.spotifycdn.com/image/ab67616d00001e02f0ea030731a11fa6def90353</t>
  </si>
  <si>
    <t>https://image-cdn-fa.spotifycdn.com/image/ab67616d00001e02acd4aef0360ae4307fa672ad</t>
  </si>
  <si>
    <t>https://image-cdn-ak.spotifycdn.com/image/ab67616d00001e021568796289f10031724bc780</t>
  </si>
  <si>
    <t>https://image-cdn-fa.spotifycdn.com/image/ab67616d00001e02b07bd43d1bec442c7fcc4d1e</t>
  </si>
  <si>
    <t>https://image-cdn-fa.spotifycdn.com/image/ab67616d00001e02be35d523672e13da3debc413</t>
  </si>
  <si>
    <t>https://image-cdn-ak.spotifycdn.com/image/ab67616d00001e0258a5514e00fdaa0bf56bd848</t>
  </si>
  <si>
    <t>https://image-cdn-fa.spotifycdn.com/image/ab67616d00001e02a959d221820e650bee1ca487</t>
  </si>
  <si>
    <t>https://image-cdn-fa.spotifycdn.com/image/ab67616d00001e02e0d59a881da7285757c1187f</t>
  </si>
  <si>
    <t>https://image-cdn-ak.spotifycdn.com/image/ab67616d00001e02e787cffec20aa2a396a61647</t>
  </si>
  <si>
    <t>https://image-cdn-ak.spotifycdn.com/image/ab67616d00001e022feb67a486bcf117e7fb15b0</t>
  </si>
  <si>
    <t>https://image-cdn-ak.spotifycdn.com/image/ab67616d00001e025c7365ca8cfaf7d80136c656</t>
  </si>
  <si>
    <t>https://image-cdn-ak.spotifycdn.com/image/ab67616d00001e02f6ed33df3c9e2fdb77f08170</t>
  </si>
  <si>
    <t>https://image-cdn-fa.spotifycdn.com/image/ab67616d00001e0232a7d87248d1b75463483df5</t>
  </si>
  <si>
    <t>https://image-cdn-ak.spotifycdn.com/image/ab67616d00001e02a7e251b543c77a6ed356dfbe</t>
  </si>
  <si>
    <t>https://image-cdn-ak.spotifycdn.com/image/ab67616d00001e027438996f6fe67c59d75d4e43</t>
  </si>
  <si>
    <t>https://image-cdn-fa.spotifycdn.com/image/ab67616d00001e0202479f0a8f30875dce4a35be</t>
  </si>
  <si>
    <t>https://image-cdn-ak.spotifycdn.com/image/ab67616d00001e02684ecc5bc1b724d0106ad694</t>
  </si>
  <si>
    <t>https://image-cdn-ak.spotifycdn.com/image/ab67616d00001e0202479f0a8f30875dce4a35be</t>
  </si>
  <si>
    <t>https://image-cdn-ak.spotifycdn.com/image/ab67616d00001e02686acaaa87bfc6ebb42b3bd2</t>
  </si>
  <si>
    <t>https://image-cdn-ak.spotifycdn.com/image/ab67616d00001e028be9eeb8f19696ef2fd3b6b4</t>
  </si>
  <si>
    <t>https://image-cdn-ak.spotifycdn.com/image/ab67616d00001e02b5a28a256eae6dc0424fef59</t>
  </si>
  <si>
    <t>https://image-cdn-ak.spotifycdn.com/image/ab67616d00001e02959280fee07d485cb5b56fe7</t>
  </si>
  <si>
    <t>https://image-cdn-ak.spotifycdn.com/image/ab67616d00001e027c8ca044c71fda2957065c06</t>
  </si>
  <si>
    <t>https://image-cdn-ak.spotifycdn.com/image/ab67616d00001e0294d08ab63e57b0cae74e8595</t>
  </si>
  <si>
    <t>https://image-cdn-ak.spotifycdn.com/image/ab67616d00001e02781faf59a3cb980fe3b493f8</t>
  </si>
  <si>
    <t>https://image-cdn-ak.spotifycdn.com/image/ab67616d00001e02e1bb8a1ad0a48eb7f53a448e</t>
  </si>
  <si>
    <t>https://image-cdn-ak.spotifycdn.com/image/ab67616d00001e0229973cb046d5ba20621bea36</t>
  </si>
  <si>
    <t>https://image-cdn-fa.spotifycdn.com/image/ab67616d00001e02bbd45c8d36e0e045ef640411</t>
  </si>
  <si>
    <t>https://image-cdn-fa.spotifycdn.com/image/ab67616d00001e024b7fbb849ed845ddedcce346</t>
  </si>
  <si>
    <t>https://image-cdn-ak.spotifycdn.com/image/ab67616d00001e0249d694203245f241a1bcaa72</t>
  </si>
  <si>
    <t>https://image-cdn-ak.spotifycdn.com/image/ab67616d00001e02585897779cf3591ba0f07650</t>
  </si>
  <si>
    <t>https://image-cdn-ak.spotifycdn.com/image/ab67616d00001e02c8e97cafeb2acb85b21a777e</t>
  </si>
  <si>
    <t>https://image-cdn-ak.spotifycdn.com/image/ab67616d00001e02cb98f69e53e890fd816e81f2</t>
  </si>
  <si>
    <t>https://image-cdn-ak.spotifycdn.com/image/ab67616d00001e029edf8855e6b1b876281d65f1</t>
  </si>
  <si>
    <t>https://image-cdn-ak.spotifycdn.com/image/ab67616d00001e02b9ff0a5f40d3406aed5e5e3b</t>
  </si>
  <si>
    <t>https://image-cdn-fa.spotifycdn.com/image/ab67616d00001e0261ffafd5e31a37336531cf95</t>
  </si>
  <si>
    <t>https://image-cdn-fa.spotifycdn.com/image/ab67616d00001e02294c76aa576e98529e4a3bb2</t>
  </si>
  <si>
    <t>https://image-cdn-fa.spotifycdn.com/image/ab67616d00001e0289a392107ebd79818022b3ea</t>
  </si>
  <si>
    <t>https://image-cdn-ak.spotifycdn.com/image/ab67616d00001e025b39691fe091d0d9070bc6ab</t>
  </si>
  <si>
    <t>https://image-cdn-ak.spotifycdn.com/image/ab67616d00001e028e53d91ae9735b67c78c8c3f</t>
  </si>
  <si>
    <t>https://image-cdn-ak.spotifycdn.com/image/ab67616d00001e02a75e532b61dac3ddafd022ef</t>
  </si>
  <si>
    <t>https://image-cdn-ak.spotifycdn.com/image/ab67616d00001e02208500450dcd0fd294d7bd3b</t>
  </si>
  <si>
    <t>https://image-cdn-ak.spotifycdn.com/image/ab67616d00001e02f48cf519fe66c496c2e5bf4c</t>
  </si>
  <si>
    <t>https://image-cdn-fa.spotifycdn.com/image/ab67616d00001e0204874856f3c501181d060128</t>
  </si>
  <si>
    <t>https://image-cdn-fa.spotifycdn.com/image/ab67616d00001e02ad08f4b38efbff0c0da0f252</t>
  </si>
  <si>
    <t>https://image-cdn-ak.spotifycdn.com/image/ab67616d00001e027aa8783ad8def37cc548a9cf</t>
  </si>
  <si>
    <t>https://image-cdn-fa.spotifycdn.com/image/ab67616d00001e02145f62824c79efecf474081f</t>
  </si>
  <si>
    <t>https://image-cdn-ak.spotifycdn.com/image/ab67616d00001e02e691217483df8798445c82e2</t>
  </si>
  <si>
    <t>https://image-cdn-ak.spotifycdn.com/image/ab67616d00001e02c5276ed6cb0287df8d9be07f</t>
  </si>
  <si>
    <t>https://image-cdn-ak.spotifycdn.com/image/ab67616d00001e029c89916016a225674490025b</t>
  </si>
  <si>
    <t>https://image-cdn-fa.spotifycdn.com/image/ab67616d00001e02e25c4335171904f5a6c2e2ce</t>
  </si>
  <si>
    <t>https://image-cdn-ak.spotifycdn.com/image/ab67616d00001e023cef016d13d82873d45af84a</t>
  </si>
  <si>
    <t>https://image-cdn-ak.spotifycdn.com/image/ab67616d00001e0278bf2de64a126dc53381c908</t>
  </si>
  <si>
    <t>https://image-cdn-ak.spotifycdn.com/image/ab67616d00001e02b3994c94dfb241923664bb4d</t>
  </si>
  <si>
    <t>https://image-cdn-ak.spotifycdn.com/image/ab67616d00001e021f4ba58b0e4dcef24a8df0cf</t>
  </si>
  <si>
    <t>https://image-cdn-ak.spotifycdn.com/image/ab67616d00001e02fd8d7a8d96871e791cb1f626</t>
  </si>
  <si>
    <t>https://image-cdn-ak.spotifycdn.com/image/ab67616d00001e027cd329ea4a204a8a47caf3d5</t>
  </si>
  <si>
    <t>https://image-cdn-ak.spotifycdn.com/image/ab67616d00001e0273ae1df692b540f56d14617e</t>
  </si>
  <si>
    <t>https://image-cdn-ak.spotifycdn.com/image/ab67616d00001e02753dbf92830094154a21b193</t>
  </si>
  <si>
    <t>https://image-cdn-ak.spotifycdn.com/image/ab67616d00001e02842ff43668299304d6f021b2</t>
  </si>
  <si>
    <t>https://image-cdn-ak.spotifycdn.com/image/ab67616d00001e022a6a5bd7ec690d91a384245d</t>
  </si>
  <si>
    <t>https://image-cdn-ak.spotifycdn.com/image/ab67616d00001e02d95b891b1ddb4a6d412efdfd</t>
  </si>
  <si>
    <t>https://image-cdn-ak.spotifycdn.com/image/ab67616d00001e022a182fb516812ea67edde2b8</t>
  </si>
  <si>
    <t>https://image-cdn-fa.spotifycdn.com/image/ab67616d00001e02fc8633e22a7dba6aab817bff</t>
  </si>
  <si>
    <t>https://image-cdn-ak.spotifycdn.com/image/ab67616d00001e02d5fccf9ce08b6a1e7d12a222</t>
  </si>
  <si>
    <t>https://image-cdn-ak.spotifycdn.com/image/ab67616d00001e0290af5246adcaa93acb721c17</t>
  </si>
  <si>
    <t>https://image-cdn-ak.spotifycdn.com/image/ab67616d00001e02a2e90fbdec84b25e46573469</t>
  </si>
  <si>
    <t>https://image-cdn-ak.spotifycdn.com/image/ab67616d00001e023f5dc0fa4526c8378f1b06a3</t>
  </si>
  <si>
    <t>https://image-cdn-ak.spotifycdn.com/image/ab67616d00001e0225fa2d19b2363a9520a34409</t>
  </si>
  <si>
    <t>https://image-cdn-fa.spotifycdn.com/image/ab67616d00001e021841b15585341c98f761d252</t>
  </si>
  <si>
    <t>https://image-cdn-ak.spotifycdn.com/image/ab67616d00001e024cbf1f88953e2f87db81f9bd</t>
  </si>
  <si>
    <t>https://image-cdn-ak.spotifycdn.com/image/ab67616d00001e02c40dccc1952bb5ed96986869</t>
  </si>
  <si>
    <t>https://image-cdn-fa.spotifycdn.com/image/ab67616d00001e0293ee2e2f2dfb7de9befcc164</t>
  </si>
  <si>
    <t>https://image-cdn-ak.spotifycdn.com/image/ab67616d00001e02b245099fe26319344ddf6054</t>
  </si>
  <si>
    <t>https://image-cdn-ak.spotifycdn.com/image/ab67616d00001e0296094d0c80f0f321da705f88</t>
  </si>
  <si>
    <t>https://image-cdn-ak.spotifycdn.com/image/ab67616d00001e02af57b16a39b355cb80008e73</t>
  </si>
  <si>
    <t>https://image-cdn-ak.spotifycdn.com/image/ab67616d00001e020072b075cd6ba3f7d6944c62</t>
  </si>
  <si>
    <t>https://image-cdn-ak.spotifycdn.com/image/ab67616d00001e021f44db452a68e229650a302c</t>
  </si>
  <si>
    <t>https://image-cdn-ak.spotifycdn.com/image/ab67616d00001e02cfbcba7cc35a40e08e5aff67</t>
  </si>
  <si>
    <t>https://image-cdn-ak.spotifycdn.com/image/ab67616d00001e02cb0c0208f8bf8c753f6c3d30</t>
  </si>
  <si>
    <t>https://image-cdn-ak.spotifycdn.com/image/ab67616d00001e023a9bd13e9e63c1440a4e5380</t>
  </si>
  <si>
    <t>https://image-cdn-ak.spotifycdn.com/image/ab67616d00001e0232a7d87248d1b75463483df5</t>
  </si>
  <si>
    <t>https://image-cdn-ak.spotifycdn.com/image/ab67616d00001e0287e8756164e89e8732a3045e</t>
  </si>
  <si>
    <t>https://image-cdn-fa.spotifycdn.com/image/ab67616d00001e02fe9d3ab9adb1d3b59835b81c</t>
  </si>
  <si>
    <t>https://image-cdn-ak.spotifycdn.com/image/ab67616d00001e022ca769bb73374b00d09a1c82</t>
  </si>
  <si>
    <t>https://image-cdn-ak.spotifycdn.com/image/ab67616d00001e02be35d523672e13da3debc413</t>
  </si>
  <si>
    <t>https://image-cdn-ak.spotifycdn.com/image/ab67616d00001e023d09075f6c7fabe9a7234cb3</t>
  </si>
  <si>
    <t>https://image-cdn-ak.spotifycdn.com/image/ab67616d00001e0296fa88fb1789be437d5cb4b6</t>
  </si>
  <si>
    <t>https://image-cdn-ak.spotifycdn.com/image/ab67616d00001e026a27219d9d1b921ef86a13fb</t>
  </si>
  <si>
    <t>https://image-cdn-ak.spotifycdn.com/image/ab67616d00001e02bd69bbde4aeee723d6d08058</t>
  </si>
  <si>
    <t>https://image-cdn-fa.spotifycdn.com/image/ab67616d00001e02bf705b821b031cefe91d7b90</t>
  </si>
  <si>
    <t>https://image-cdn-ak.spotifycdn.com/image/ab67616d00001e027be65ce6672ed7e5aac6e966</t>
  </si>
  <si>
    <t>https://image-cdn-fa.spotifycdn.com/image/ab67616d00001e0286c8cd0e15776fa1e18715ec</t>
  </si>
  <si>
    <t>https://image-cdn-fa.spotifycdn.com/image/ab67616d00001e02a958d093e94944dd0e7258b2</t>
  </si>
  <si>
    <t>https://image-cdn-ak.spotifycdn.com/image/ab67616d00001e029109e03c3af357db6c39c085</t>
  </si>
  <si>
    <t>https://image-cdn-ak.spotifycdn.com/image/ab67616d00001e0224a1ac503b55e6eef9a7bb8c</t>
  </si>
  <si>
    <t>https://image-cdn-ak.spotifycdn.com/image/ab67616d00001e02e21cc1db05580b6f2d2a3b6e</t>
  </si>
  <si>
    <t>https://image-cdn-ak.spotifycdn.com/image/ab67616d00001e027341f6edbaeea29a38cbee2b</t>
  </si>
  <si>
    <t>https://image-cdn-ak.spotifycdn.com/image/ab67616d00001e0233f51b5590a571fef62c26bc</t>
  </si>
  <si>
    <t>https://image-cdn-ak.spotifycdn.com/image/ab67616d00001e023de7e97b3e5aa3eaccfc19ec</t>
  </si>
  <si>
    <t>https://image-cdn-ak.spotifycdn.com/image/ab67616d00001e02ac8c116bb192da362d2b5152</t>
  </si>
  <si>
    <t>https://image-cdn-ak.spotifycdn.com/image/ab67616d00001e02b5097b81179824803664aaaf</t>
  </si>
  <si>
    <t>https://image-cdn-ak.spotifycdn.com/image/ab67616d00001e028ac5768205ad97df3f4f4c0e</t>
  </si>
  <si>
    <t>https://image-cdn-ak.spotifycdn.com/image/ab67616d00001e027657f9028ea8bb2c18dca99f</t>
  </si>
  <si>
    <t>https://image-cdn-fa.spotifycdn.com/image/ab67616d00001e02e3d69e17dde129037a1f09e2</t>
  </si>
  <si>
    <t>https://image-cdn-ak.spotifycdn.com/image/ab67616d00001e02401bf6103d4b7f5230a21582</t>
  </si>
  <si>
    <t>https://image-cdn-ak.spotifycdn.com/image/ab67616d00001e025d0f8a4c3623e02a79928288</t>
  </si>
  <si>
    <t>https://image-cdn-ak.spotifycdn.com/image/ab67616d00001e02a9d1f9b5d3275b0625e13e79</t>
  </si>
  <si>
    <t>https://image-cdn-ak.spotifycdn.com/image/ab67616d00001e02ec955e8f93996f0973d95e53</t>
  </si>
  <si>
    <t>https://image-cdn-ak.spotifycdn.com/image/ab67616d00001e02439c7d14cc7e91953b8ab9fd</t>
  </si>
  <si>
    <t>https://image-cdn-fa.spotifycdn.com/image/ab67616d00001e022fc1f0e56f80b5e7cc388b3c</t>
  </si>
  <si>
    <t>https://image-cdn-ak.spotifycdn.com/image/ab67616d00001e025064e08433868d1edca6e60e</t>
  </si>
  <si>
    <t>https://image-cdn-ak.spotifycdn.com/image/ab67616d00001e028a2ce3f148f57584269c3782</t>
  </si>
  <si>
    <t>https://image-cdn-fa.spotifycdn.com/image/ab67616d00001e0201b9750a33d771645d7f043a</t>
  </si>
  <si>
    <t>https://image-cdn-ak.spotifycdn.com/image/ab67616d00001e028d18d73bbfc8985d52865edf</t>
  </si>
  <si>
    <t>https://image-cdn-ak.spotifycdn.com/image/ab67616d00001e024b475e7b048541cd6fcc3bdc</t>
  </si>
  <si>
    <t>https://image-cdn-ak.spotifycdn.com/image/ab67616d00001e02bd1a52b3d5903ee01c216da0</t>
  </si>
  <si>
    <t>https://image-cdn-ak.spotifycdn.com/image/ab67616d00001e02fe9d3ab9adb1d3b59835b81c</t>
  </si>
  <si>
    <t>https://image-cdn-ak.spotifycdn.com/image/ab67616d00001e02f8d4d00ffe09373efb13ce29</t>
  </si>
  <si>
    <t>https://image-cdn-fa.spotifycdn.com/image/ab67616d00001e02318241eacbdaee4d0f9c4316</t>
  </si>
  <si>
    <t>https://image-cdn-ak.spotifycdn.com/image/ab67616d00001e0297aa7586b7633e103aceb8ba</t>
  </si>
  <si>
    <t>https://image-cdn-ak.spotifycdn.com/image/ab67616d00001e029416ed64daf84936d89e671c</t>
  </si>
  <si>
    <t>https://image-cdn-ak.spotifycdn.com/image/ab67616d00001e023e2cf96ce4558b8f2376b79a</t>
  </si>
  <si>
    <t>https://image-cdn-ak.spotifycdn.com/image/ab67616d00001e021d955011a3ed477dc77865ad</t>
  </si>
  <si>
    <t>https://image-cdn-ak.spotifycdn.com/image/ab67616d00001e02d3ee4bf67c2ac2154006ad72</t>
  </si>
  <si>
    <t>https://image-cdn-fa.spotifycdn.com/image/ab67616d00001e02dfa17fad7f190c901603270e</t>
  </si>
  <si>
    <t>https://image-cdn-ak.spotifycdn.com/image/ab67616d00001e02b622d42c30697e1e1414343c</t>
  </si>
  <si>
    <t>https://image-cdn-fa.spotifycdn.com/image/ab67616d00001e0249c26270052e1671add569c1</t>
  </si>
  <si>
    <t>https://image-cdn-ak.spotifycdn.com/image/ab67616d00001e02cc9560d1341bc720f236da44</t>
  </si>
  <si>
    <t>https://image-cdn-ak.spotifycdn.com/image/ab67616d00001e024ea9ba86cd9506a004bab042</t>
  </si>
  <si>
    <t>https://image-cdn-fa.spotifycdn.com/image/ab67616d00001e020f0047bf025ef4edab5bf6c6</t>
  </si>
  <si>
    <t>https://image-cdn-ak.spotifycdn.com/image/ab67616d00001e022a6b364528b128a4a17d100d</t>
  </si>
  <si>
    <t>https://image-cdn-ak.spotifycdn.com/image/ab67616d00001e02ebd6d20c0082524244ef83df</t>
  </si>
  <si>
    <t>https://image-cdn-ak.spotifycdn.com/image/ab67616d00001e023d8df7193d625455be369fc3</t>
  </si>
  <si>
    <t>https://image-cdn-ak.spotifycdn.com/image/ab67616d00001e02872e8421fdd7c0e50c76060f</t>
  </si>
  <si>
    <t>https://image-cdn-fa.spotifycdn.com/image/ab67616d00001e022e573f25565a8c2d1ae5e4d6</t>
  </si>
  <si>
    <t>https://image-cdn-ak.spotifycdn.com/image/ab67616d00001e02514ccbe48bc2077d6d8e69e2</t>
  </si>
  <si>
    <t>https://image-cdn-fa.spotifycdn.com/image/ab67616d00001e02b1863bf95557ea7f357c4947</t>
  </si>
  <si>
    <t>https://image-cdn-fa.spotifycdn.com/image/ab67616d00001e0261b80b3738446f5eedc3610d</t>
  </si>
  <si>
    <t>https://image-cdn-fa.spotifycdn.com/image/ab67616d00001e027536908067a37708c3f5ff35</t>
  </si>
  <si>
    <t>https://image-cdn-fa.spotifycdn.com/image/ab67616d00001e025d0f8a4c3623e02a79928288</t>
  </si>
  <si>
    <t>https://image-cdn-fa.spotifycdn.com/image/ab67616d00001e0261a389971d7842d02b0623ab</t>
  </si>
  <si>
    <t>https://image-cdn-ak.spotifycdn.com/image/ab67616d00001e0297c33a00a6864c78bf691266</t>
  </si>
  <si>
    <t>https://image-cdn-fa.spotifycdn.com/image/ab67616d00001e020697c8807331635b1ca25e84</t>
  </si>
  <si>
    <t>https://image-cdn-ak.spotifycdn.com/image/ab67616d00001e02952d1b269c3e6db7bf69974b</t>
  </si>
  <si>
    <t>https://image-cdn-ak.spotifycdn.com/image/ab67616d00001e0289228504f700641956e29f5d</t>
  </si>
  <si>
    <t>https://image-cdn-fa.spotifycdn.com/image/ab67616d00001e023d2e759809761471cb1191cc</t>
  </si>
  <si>
    <t>https://image-cdn-ak.spotifycdn.com/image/ab67616d00001e02f7db43292a6a99b21b51d5b4</t>
  </si>
  <si>
    <t>https://image-cdn-ak.spotifycdn.com/image/ab67616d00001e02ef23eeb6c00d5b244abc3ffe</t>
  </si>
  <si>
    <t>https://image-cdn-ak.spotifycdn.com/image/ab67616d00001e02adb0c0f9f3434f4f03954b67</t>
  </si>
  <si>
    <t>https://image-cdn-ak.spotifycdn.com/image/ab67616d00001e027e5e269471fe4a43a42e2f15</t>
  </si>
  <si>
    <t>https://image-cdn-fa.spotifycdn.com/image/ab67616d00001e02548f7ec52da7313de0c5e4a0</t>
  </si>
  <si>
    <t>https://image-cdn-ak.spotifycdn.com/image/ab67616d00001e02e0021775c459dd31cdc7115a</t>
  </si>
  <si>
    <t>https://image-cdn-ak.spotifycdn.com/image/ab67616d00001e0207bc7d2a745636c356b4d0aa</t>
  </si>
  <si>
    <t>https://image-cdn-ak.spotifycdn.com/image/ab67616d00001e0216fdde9f6b5606419ca9b7ca</t>
  </si>
  <si>
    <t>https://image-cdn-ak.spotifycdn.com/image/ab67616d00001e0231548865f7c729290b96c794</t>
  </si>
  <si>
    <t>https://image-cdn-ak.spotifycdn.com/image/ab67616d00001e027845f74d6db14b400fa61cd3</t>
  </si>
  <si>
    <t>https://image-cdn-ak.spotifycdn.com/image/ab67616d00001e029041b9965925059507fb44af</t>
  </si>
  <si>
    <t>https://image-cdn-ak.spotifycdn.com/image/ab67616d00001e0294fd2e614d0862bdd2592594</t>
  </si>
  <si>
    <t>https://image-cdn-ak.spotifycdn.com/image/ab67616d00001e02f2d2adaa21ad616df6241e7d</t>
  </si>
  <si>
    <t>https://image-cdn-fa.spotifycdn.com/image/ab67616d00001e0240e583b55bdddcf70516fa6c</t>
  </si>
  <si>
    <t>https://image-cdn-ak.spotifycdn.com/image/ab67616d00001e02ae74a300afb22a64e59eb437</t>
  </si>
  <si>
    <t>https://image-cdn-ak.spotifycdn.com/image/ab67616d00001e02f5da0af2725ce8121f7b4011</t>
  </si>
  <si>
    <t>https://image-cdn-ak.spotifycdn.com/image/ab67616d00001e02319b9c051f2be1926e3f7076</t>
  </si>
  <si>
    <t>https://image-cdn-ak.spotifycdn.com/image/ab67616d00001e02a4b6673a8dd10d67163dbfc1</t>
  </si>
  <si>
    <t>https://image-cdn-ak.spotifycdn.com/image/ab67616d00001e029fa5a27ec6bbe8ebf5543127</t>
  </si>
  <si>
    <t>https://image-cdn-ak.spotifycdn.com/image/ab67616d00001e02741fd4807f442af3f7359316</t>
  </si>
  <si>
    <t>https://image-cdn-ak.spotifycdn.com/image/ab67616d00001e02d28d2ebdedb220e479743797</t>
  </si>
  <si>
    <t>https://image-cdn-ak.spotifycdn.com/image/ab67616d00001e0237f584dbc35b376b0407884f</t>
  </si>
  <si>
    <t>https://image-cdn-fa.spotifycdn.com/image/ab67616d00001e0296094d0c80f0f321da705f88</t>
  </si>
  <si>
    <t>https://image-cdn-fa.spotifycdn.com/image/ab67616d00001e02a9d1f9b5d3275b0625e13e79</t>
  </si>
  <si>
    <t>https://image-cdn-ak.spotifycdn.com/image/ab67616d00001e0227e21085a39d701ccef70490</t>
  </si>
  <si>
    <t>https://image-cdn-ak.spotifycdn.com/image/ab67616d00001e02c6aea59379b5012bb5fae434</t>
  </si>
  <si>
    <t>https://image-cdn-fa.spotifycdn.com/image/ab67616d00001e029b6ac98a52f62d5cb473da40</t>
  </si>
  <si>
    <t>https://image-cdn-fa.spotifycdn.com/image/ab67616d00001e02fcd5d717063c6415ae3e3770</t>
  </si>
  <si>
    <t>https://image-cdn-ak.spotifycdn.com/image/ab67616d00001e026d88028a85c771f37374c8ea</t>
  </si>
  <si>
    <t>https://image-cdn-fa.spotifycdn.com/image/ab67616d00001e02a048415db06a5b6fa7ec4e1a</t>
  </si>
  <si>
    <t>https://image-cdn-ak.spotifycdn.com/image/ab67616d00001e023adeba767abb79b86ed0449b</t>
  </si>
  <si>
    <t>https://image-cdn-fa.spotifycdn.com/image/ab67616d00001e0251f311c2fb06ad2789e3ff91</t>
  </si>
  <si>
    <t>https://image-cdn-ak.spotifycdn.com/image/ab67616d00001e02c93a2d859ee3635aa415d61d</t>
  </si>
  <si>
    <t>https://image-cdn-ak.spotifycdn.com/image/ab67616d00001e026c4a726c271daf4a4b97e35b</t>
  </si>
  <si>
    <t>https://image-cdn-ak.spotifycdn.com/image/ab67616d00001e0257f2f787970d13c57dfc7f4b</t>
  </si>
  <si>
    <t>https://image-cdn-ak.spotifycdn.com/image/ab67616d00001e020ae6f06706ab3a955844e9a0</t>
  </si>
  <si>
    <t>https://image-cdn-ak.spotifycdn.com/image/ab67616d00001e02f1ead165a7504b97e66ea7c4</t>
  </si>
  <si>
    <t>https://image-cdn-ak.spotifycdn.com/image/ab67616d00001e024a66ee1a8cdd72378eb56765</t>
  </si>
  <si>
    <t>https://image-cdn-ak.spotifycdn.com/image/ab67616d00001e022605ea6f02168bf5a74c012e</t>
  </si>
  <si>
    <t>https://image-cdn-ak.spotifycdn.com/image/ab67616d00001e025076e4160d018e378f488c33</t>
  </si>
  <si>
    <t>https://image-cdn-ak.spotifycdn.com/image/ab67616d00001e02c6cf270abd1f206a7d1a03e8</t>
  </si>
  <si>
    <t>https://image-cdn-ak.spotifycdn.com/image/ab67616d00001e027b6c2112750367e20464b6b7</t>
  </si>
  <si>
    <t>https://image-cdn-ak.spotifycdn.com/image/ab67616d00001e02c435ae51e1d314f3ecea02a0</t>
  </si>
  <si>
    <t>https://image-cdn-ak.spotifycdn.com/image/ab67616d00001e02d9beb2ced8f79b262fc49bf6</t>
  </si>
  <si>
    <t>https://image-cdn-ak.spotifycdn.com/image/ab67616d00001e025b8ef3c9b30d307df5245bfa</t>
  </si>
  <si>
    <t>https://image-cdn-fa.spotifycdn.com/image/ab67616d00001e028d18d73bbfc8985d52865edf</t>
  </si>
  <si>
    <t>https://image-cdn-ak.spotifycdn.com/image/ab67616d00001e02b7129146f87f5f22b8154bee</t>
  </si>
  <si>
    <t>https://image-cdn-ak.spotifycdn.com/image/ab67616d00001e0295184f6a953569b683ca9a0d</t>
  </si>
  <si>
    <t>https://image-cdn-ak.spotifycdn.com/image/ab67616d00001e025ffe63ab6e8a3f6f5653d188</t>
  </si>
  <si>
    <t>https://image-cdn-fa.spotifycdn.com/image/ab67616d00001e020b96f8824100aab118792442</t>
  </si>
  <si>
    <t>https://image-cdn-ak.spotifycdn.com/image/ab67616d00001e02c854354a13f74f7328aacc3b</t>
  </si>
  <si>
    <t>https://image-cdn-ak.spotifycdn.com/image/ab67616d00001e02d962f3b4235f8c6429a829fb</t>
  </si>
  <si>
    <t>https://image-cdn-fa.spotifycdn.com/image/ab67616d00001e02d7812467811a7da6e6a44902</t>
  </si>
  <si>
    <t>https://image-cdn-fa.spotifycdn.com/image/ab67616d00001e025c0540f97b3f95e387a9b58e</t>
  </si>
  <si>
    <t>https://image-cdn-ak.spotifycdn.com/image/ab67616d00001e02e2d156fdc691f57900134342</t>
  </si>
  <si>
    <t>https://image-cdn-ak.spotifycdn.com/image/ab67616d00001e020bd44f5ff9ecc99f7770acc5</t>
  </si>
  <si>
    <t>https://image-cdn-ak.spotifycdn.com/image/ab67616d00001e0287607b2c8f5f52f1f057be0d</t>
  </si>
  <si>
    <t>https://image-cdn-fa.spotifycdn.com/image/ab67616d00001e025e12c35cb4c848a927ef4b69</t>
  </si>
  <si>
    <t>https://image-cdn-fa.spotifycdn.com/image/ab67616d00001e024f0b5d2c8e5f6b86fcd73ca9</t>
  </si>
  <si>
    <t>https://image-cdn-ak.spotifycdn.com/image/ab67616d00001e024640a26eb27649006be29a94</t>
  </si>
  <si>
    <t>https://image-cdn-ak.spotifycdn.com/image/ab67616d00001e022690127e1d6cd0aa35cc353b</t>
  </si>
  <si>
    <t>https://image-cdn-ak.spotifycdn.com/image/ab67616d00001e02442b53773d50e1b5369bb16c</t>
  </si>
  <si>
    <t>https://image-cdn-fa.spotifycdn.com/image/ab67616d00001e02dcf27dec5e479b2e39c4c993</t>
  </si>
  <si>
    <t>https://image-cdn-ak.spotifycdn.com/image/ab67616d00001e02df7c1e1c441dd172ea8f29f9</t>
  </si>
  <si>
    <t>https://image-cdn-ak.spotifycdn.com/image/ab67616d00001e02b09403f05bc0c306cf96990f</t>
  </si>
  <si>
    <t>https://image-cdn-ak.spotifycdn.com/image/ab67616d00001e029febc3d2b06f4844ee98cfc8</t>
  </si>
  <si>
    <t>https://image-cdn-ak.spotifycdn.com/image/ab67616d00001e02200e2b6526846c59789c92e6</t>
  </si>
  <si>
    <t>https://image-cdn-ak.spotifycdn.com/image/ab67616d00001e0224ace1518851b27e9983f739</t>
  </si>
  <si>
    <t>https://image-cdn-fa.spotifycdn.com/image/ab67616d00001e02eb2087dcd1eb61f833bdedff</t>
  </si>
  <si>
    <t>https://image-cdn-fa.spotifycdn.com/image/ab67616d00001e020901e50bfaff4351a29f462b</t>
  </si>
  <si>
    <t>https://image-cdn-ak.spotifycdn.com/image/ab67616d00001e02a6f439c8957170652f9410e2</t>
  </si>
  <si>
    <t>https://image-cdn-ak.spotifycdn.com/image/ab67616d00001e0295517befb15ad5d63af701ab</t>
  </si>
  <si>
    <t>https://image-cdn-ak.spotifycdn.com/image/ab67616d00001e02abee4fe3c7900628e21a07d5</t>
  </si>
  <si>
    <t>https://image-cdn-ak.spotifycdn.com/image/ab67616d00001e02fec1b815bb3c50a64a90fd10</t>
  </si>
  <si>
    <t>https://image-cdn-fa.spotifycdn.com/image/ab67616d00001e02cf3de6b538d8b1ed73a4d5d1</t>
  </si>
  <si>
    <t>https://image-cdn-ak.spotifycdn.com/image/ab67616d00001e026addb951ebfd51d72b42123f</t>
  </si>
  <si>
    <t>https://image-cdn-fa.spotifycdn.com/image/ab67616d00001e02bffc95a2df3dd4505f9ddd4f</t>
  </si>
  <si>
    <t>https://image-cdn-fa.spotifycdn.com/image/ab67616d00001e021a2ce8108f4679eda9d01b7e</t>
  </si>
  <si>
    <t>https://image-cdn-ak.spotifycdn.com/image/ab67616d00001e0247e9618ef7411438f9c9478b</t>
  </si>
  <si>
    <t>https://image-cdn-ak.spotifycdn.com/image/ab67616d00001e022e92f776279eaf45d14a33fd</t>
  </si>
  <si>
    <t>https://image-cdn-ak.spotifycdn.com/image/ab67616d00001e02879e9318cb9f4e05ee552ac9</t>
  </si>
  <si>
    <t>https://image-cdn-ak.spotifycdn.com/image/ab67616d00001e0213189b29e3f97c1e7442508e</t>
  </si>
  <si>
    <t>https://image-cdn-ak.spotifycdn.com/image/ab67616d00001e02b550071a3fa8e03f6a83f313</t>
  </si>
  <si>
    <t>https://image-cdn-ak.spotifycdn.com/image/ab67616d00001e025f1f51d14e8bea89484ecd1b</t>
  </si>
  <si>
    <t>https://image-cdn-ak.spotifycdn.com/image/ab67616d00001e02d7fb3e4c63020039d1cff6b2</t>
  </si>
  <si>
    <t>https://image-cdn-ak.spotifycdn.com/image/ab67616d00001e0206206895bb91710b0cad3a80</t>
  </si>
  <si>
    <t>https://image-cdn-ak.spotifycdn.com/image/ab67616d00001e029c031feeff1647deb7577309</t>
  </si>
  <si>
    <t>https://image-cdn-ak.spotifycdn.com/image/ab67616d00001e0276ca2bb969e79a911090df63</t>
  </si>
  <si>
    <t>https://image-cdn-ak.spotifycdn.com/image/ab67616d00001e0282ea2e9e1858aa012c57cd45</t>
  </si>
  <si>
    <t>https://image-cdn-ak.spotifycdn.com/image/ab67616d00001e0239807cff601735a3dec9e24c</t>
  </si>
  <si>
    <t>https://image-cdn-fa.spotifycdn.com/image/ab67616d00001e0290fa9bde9e533701feaf1dc6</t>
  </si>
  <si>
    <t>https://image-cdn-ak.spotifycdn.com/image/ab67616d00001e028ee092eb7a383ab57bd51dee</t>
  </si>
  <si>
    <t>https://image-cdn-ak.spotifycdn.com/image/ab67616d00001e02b6e63ecab0d5efdf6b8dbb15</t>
  </si>
  <si>
    <t>https://image-cdn-ak.spotifycdn.com/image/ab67616d00001e029e2f95ae77cf436017ada9cb</t>
  </si>
  <si>
    <t>https://image-cdn-fa.spotifycdn.com/image/ab67616d00001e02cec3fc072352b5f4f637d9fa</t>
  </si>
  <si>
    <t>https://image-cdn-ak.spotifycdn.com/image/ab67616d00001e022cafcdd985630d72594ecc49</t>
  </si>
  <si>
    <t>https://image-cdn-fa.spotifycdn.com/image/ab67616d00001e027aa8783ad8def37cc548a9cf</t>
  </si>
  <si>
    <t>https://image-cdn-fa.spotifycdn.com/image/ab67616d00001e02256e4fd17616bfe624911861</t>
  </si>
  <si>
    <t>https://image-cdn-fa.spotifycdn.com/image/ab67616d00001e0205d081cbdc2f67d37a364d63</t>
  </si>
  <si>
    <t>https://image-cdn-ak.spotifycdn.com/image/ab67616d00001e0282a775a7ac58fcd10ca9c514</t>
  </si>
  <si>
    <t>https://image-cdn-ak.spotifycdn.com/image/ab67616d00001e027fc4fb3453f841652d2e4814</t>
  </si>
  <si>
    <t>https://image-cdn-fa.spotifycdn.com/image/ab67616d00001e027f26c0802b29e8d3c4bbc163</t>
  </si>
  <si>
    <t>https://image-cdn-fa.spotifycdn.com/image/ab67616d00001e02d1e7c0e1bf0980298428a1ae</t>
  </si>
  <si>
    <t>https://image-cdn-ak.spotifycdn.com/image/ab67616d00001e029b6ac98a52f62d5cb473da40</t>
  </si>
  <si>
    <t>https://image-cdn-fa.spotifycdn.com/image/ab67616d00001e02ad0e25c1c366d63bcbae4073</t>
  </si>
  <si>
    <t>https://image-cdn-ak.spotifycdn.com/image/ab67616d00001e029aa819fdf84c78fc1976391d</t>
  </si>
  <si>
    <t>https://image-cdn-ak.spotifycdn.com/image/ab67616d00001e02a23d1b3449fb415346735a08</t>
  </si>
  <si>
    <t>https://image-cdn-ak.spotifycdn.com/image/ab67616d00001e0232d23acd5a1286a3e8473215</t>
  </si>
  <si>
    <t>https://image-cdn-ak.spotifycdn.com/image/ab67616d00001e0243058ea096fa35ac33c43587</t>
  </si>
  <si>
    <t>https://image-cdn-fa.spotifycdn.com/image/ab67616d00001e024fac68d7fc631af679325118</t>
  </si>
  <si>
    <t>https://image-cdn-ak.spotifycdn.com/image/ab67616d00001e029a336bfb6d40bbd90a507417</t>
  </si>
  <si>
    <t>https://image-cdn-ak.spotifycdn.com/image/ab67616d00001e02831949037a1db10b87b005fa</t>
  </si>
  <si>
    <t>https://image-cdn-ak.spotifycdn.com/image/ab67616d00001e02b09eea420767969b6729962b</t>
  </si>
  <si>
    <t>https://image-cdn-ak.spotifycdn.com/image/ab67616d00001e02a0c87f5cc0823bf711e5c7cb</t>
  </si>
  <si>
    <t>https://image-cdn-ak.spotifycdn.com/image/ab67616d00001e027de5fab535418ab314d8f2d7</t>
  </si>
  <si>
    <t>https://image-cdn-ak.spotifycdn.com/image/ab67616d00001e029860171ddfee17f77a570cf6</t>
  </si>
  <si>
    <t>https://image-cdn-fa.spotifycdn.com/image/ab67616d00001e024fb3dec62284bce58f432b05</t>
  </si>
  <si>
    <t>https://image-cdn-ak.spotifycdn.com/image/ab67616d00001e027ce51d1a9049162e7e2fcf60</t>
  </si>
  <si>
    <t>https://image-cdn-fa.spotifycdn.com/image/ab67616d00001e02f7832bb86831bdec9848acda</t>
  </si>
  <si>
    <t>https://image-cdn-ak.spotifycdn.com/image/ab67616d00001e020c3ba1d7cd1468c7e5a2ddda</t>
  </si>
  <si>
    <t>https://image-cdn-fa.spotifycdn.com/image/ab67616d00001e026c9d796f3d1a060de02a3077</t>
  </si>
  <si>
    <t>https://image-cdn-ak.spotifycdn.com/image/ab67616d00001e0212a333a62cf1a898ce04218a</t>
  </si>
  <si>
    <t>https://image-cdn-ak.spotifycdn.com/image/ab67616d00001e0284c9304d82e5bf785f9380cc</t>
  </si>
  <si>
    <t>https://image-cdn-ak.spotifycdn.com/image/ab67616d00001e026aa2a180c7b009ca8454ef89</t>
  </si>
  <si>
    <t>https://image-cdn-ak.spotifycdn.com/image/ab67616d00001e02c39789e2dbdad5af5736e07a</t>
  </si>
  <si>
    <t>https://image-cdn-ak.spotifycdn.com/image/ab67616d00001e02ef729e70c894394c1a4461fb</t>
  </si>
  <si>
    <t>https://image-cdn-fa.spotifycdn.com/image/ab67616d00001e02cac9b52107643faf13a7587b</t>
  </si>
  <si>
    <t>https://image-cdn-ak.spotifycdn.com/image/ab67616d00001e02476b0e8446a0724a7adcd02b</t>
  </si>
  <si>
    <t>https://image-cdn-fa.spotifycdn.com/image/ab67616d00001e027dd25ef23df4dc7ab5c4b2f8</t>
  </si>
  <si>
    <t>https://image-cdn-ak.spotifycdn.com/image/ab67616d00001e02c89ff3434d85f33354c929b8</t>
  </si>
  <si>
    <t>https://image-cdn-ak.spotifycdn.com/image/ab67616d00001e02e19c63f62581ab73a6589382</t>
  </si>
  <si>
    <t>https://image-cdn-ak.spotifycdn.com/image/ab67616d00001e02faee4a5e5b3c191c6cd9617f</t>
  </si>
  <si>
    <t>https://image-cdn-ak.spotifycdn.com/image/ab67616d00001e02a85fd7fdb23f07d004e1450a</t>
  </si>
  <si>
    <t>https://image-cdn-fa.spotifycdn.com/image/ab67616d00001e02280b72ca76b4734debfc190e</t>
  </si>
  <si>
    <t>https://image-cdn-ak.spotifycdn.com/image/ab67616d00001e022fb3d517253228abf2468f74</t>
  </si>
  <si>
    <t>https://image-cdn-ak.spotifycdn.com/image/ab67616d00001e02c9e25378bc8de02341f3db99</t>
  </si>
  <si>
    <t>https://image-cdn-ak.spotifycdn.com/image/ab67616d00001e02177ea3a7cc03eeb677eebdc4</t>
  </si>
  <si>
    <t>https://image-cdn-ak.spotifycdn.com/image/ab67616d00001e028a31195a371b2233456f6c07</t>
  </si>
  <si>
    <t>https://image-cdn-ak.spotifycdn.com/image/ab67616d00001e02b60ef80c5a8a3b25dd6bea6e</t>
  </si>
  <si>
    <t>https://image-cdn-ak.spotifycdn.com/image/ab67616d00001e029164809630ef23eab60abaf0</t>
  </si>
  <si>
    <t>https://image-cdn-ak.spotifycdn.com/image/ab67616d00001e02d7b2aa3834b82b1cbe899a48</t>
  </si>
  <si>
    <t>https://image-cdn-ak.spotifycdn.com/image/ab67616d00001e022df0d98a423025032d0db1f7</t>
  </si>
  <si>
    <t>https://image-cdn-ak.spotifycdn.com/image/ab67616d00001e0204874856f3c501181d060128</t>
  </si>
  <si>
    <t>https://image-cdn-ak.spotifycdn.com/image/ab67616d00001e02c1a13209dfe146aef3296e34</t>
  </si>
  <si>
    <t>https://image-cdn-ak.spotifycdn.com/image/ab67616d00001e024ea6653890e297d53e93e3e0</t>
  </si>
  <si>
    <t>https://image-cdn-ak.spotifycdn.com/image/ab67616d00001e02ed9de13afd41c3377cf330b9</t>
  </si>
  <si>
    <t>https://image-cdn-fa.spotifycdn.com/image/ab67616d00001e02df7c1e1c441dd172ea8f29f9</t>
  </si>
  <si>
    <t>https://image-cdn-ak.spotifycdn.com/image/ab67616d00001e02d879855b819250d3d00a1a38</t>
  </si>
  <si>
    <t>https://image-cdn-ak.spotifycdn.com/image/ab67616d00001e02d885644b72d5254dd621dc45</t>
  </si>
  <si>
    <t>https://image-cdn-ak.spotifycdn.com/image/ab67616d00001e02ddb936ba2d182b6973003709</t>
  </si>
  <si>
    <t>https://image-cdn-fa.spotifycdn.com/image/ab67616d00001e02c027ad28821777b00dcaa888</t>
  </si>
  <si>
    <t>https://image-cdn-ak.spotifycdn.com/image/ab67616d00001e0292640546d2877fe762c0f050</t>
  </si>
  <si>
    <t>https://image-cdn-ak.spotifycdn.com/image/ab67616d00001e0292930c2636726e65410f571a</t>
  </si>
  <si>
    <t>https://image-cdn-ak.spotifycdn.com/image/ab67616d00001e02c9cd12dd361f5d40ca435868</t>
  </si>
  <si>
    <t>https://image-cdn-ak.spotifycdn.com/image/ab67616d00001e02e39badecc39de4c5e51e42be</t>
  </si>
  <si>
    <t>https://image-cdn-fa.spotifycdn.com/image/ab67616d00001e02eb0516ec1c97c3cc97f4cb61</t>
  </si>
  <si>
    <t>https://image-cdn-ak.spotifycdn.com/image/ab67616d00001e02a80abfeabfda25d2a18e851d</t>
  </si>
  <si>
    <t>https://image-cdn-fa.spotifycdn.com/image/ab67616d00001e0235ea219ce47813b5e2dc3745</t>
  </si>
  <si>
    <t>https://image-cdn-ak.spotifycdn.com/image/ab67616d00001e02a6c219baa8210e319606f5ce</t>
  </si>
  <si>
    <t>https://image-cdn-fa.spotifycdn.com/image/ab67616d00001e024f1facd12893c3625eeec6bf</t>
  </si>
  <si>
    <t>https://image-cdn-ak.spotifycdn.com/image/ab67616d00001e024555f9d48babadbd649ba713</t>
  </si>
  <si>
    <t>https://image-cdn-ak.spotifycdn.com/image/ab67616d00001e02f02c451189a709b9a952aaec</t>
  </si>
  <si>
    <t>https://image-cdn-ak.spotifycdn.com/image/ab67616d00001e025a0c2870f4f309e382d1fad6</t>
  </si>
  <si>
    <t>https://image-cdn-ak.spotifycdn.com/image/ab67616d00001e026c088410e41c97c4503f86d9</t>
  </si>
  <si>
    <t>https://image-cdn-ak.spotifycdn.com/image/ab67616d00001e02117ebf5e67defe3f175eaccc</t>
  </si>
  <si>
    <t>https://image-cdn-ak.spotifycdn.com/image/ab67616d00001e021376b4b16f4bfcba02dc571b</t>
  </si>
  <si>
    <t>https://image-cdn-ak.spotifycdn.com/image/ab67616d00001e026d4362a2b2e39422000f8ed3</t>
  </si>
  <si>
    <t>https://image-cdn-fa.spotifycdn.com/image/ab67616d00001e0271d62ea7ea8a5be92d3c1f62</t>
  </si>
  <si>
    <t>https://image-cdn-fa.spotifycdn.com/image/ab67616d00001e02a2a6d54759001ebdfe9a37a1</t>
  </si>
  <si>
    <t>https://image-cdn-ak.spotifycdn.com/image/ab67616d00001e02a9da992c2ef398245027d654</t>
  </si>
  <si>
    <t>https://image-cdn-ak.spotifycdn.com/image/ab67616d00001e0276cf80e10aea7ef055e34ea3</t>
  </si>
  <si>
    <t>https://image-cdn-ak.spotifycdn.com/image/ab67616d00001e02c9d95f2cb6acc137bd84c433</t>
  </si>
  <si>
    <t>https://image-cdn-fa.spotifycdn.com/image/ab67616d00001e02bdcc3b587b5249932bc415c2</t>
  </si>
  <si>
    <t>https://image-cdn-ak.spotifycdn.com/image/ab67616d00001e02b337e1ca6629a53c66a3b0d4</t>
  </si>
  <si>
    <t>https://image-cdn-ak.spotifycdn.com/image/ab67616d00001e02f1d02a6cec967f8b6b78f76e</t>
  </si>
  <si>
    <t>https://image-cdn-ak.spotifycdn.com/image/ab67616d00001e02712701c5e263efc8726b1464</t>
  </si>
  <si>
    <t>https://image-cdn-fa.spotifycdn.com/image/ab67616d00001e02d78a4f4946cd9081bd6b57b5</t>
  </si>
  <si>
    <t>https://image-cdn-ak.spotifycdn.com/image/ab67616d00001e02e4e0499c904f9dbf4d847d2f</t>
  </si>
  <si>
    <t>https://image-cdn-ak.spotifycdn.com/image/ab67616d00001e024b7fbb849ed845ddedcce346</t>
  </si>
  <si>
    <t>https://image-cdn-ak.spotifycdn.com/image/ab67616d00001e02ffb27f9337dbb82468b2661a</t>
  </si>
  <si>
    <t>https://image-cdn-ak.spotifycdn.com/image/ab67616d00001e0227ddd747545c0d0cfe7595fa</t>
  </si>
  <si>
    <t>https://image-cdn-fa.spotifycdn.com/image/ab67616d00001e02de1af2785a83cc660155a0c4</t>
  </si>
  <si>
    <t>https://image-cdn-ak.spotifycdn.com/image/ab67616d00001e024fcac0fac2799a4dda037cc1</t>
  </si>
  <si>
    <t>https://image-cdn-ak.spotifycdn.com/image/ab67616d00001e02d20c38f295039520d688a888</t>
  </si>
  <si>
    <t>https://image-cdn-fa.spotifycdn.com/image/ab67616d00001e028942736cad23eba13c26ff5e</t>
  </si>
  <si>
    <t>https://image-cdn-ak.spotifycdn.com/image/ab67616d00001e02e87528ee7cbaae53855552a0</t>
  </si>
  <si>
    <t>https://image-cdn-ak.spotifycdn.com/image/ab67616d00001e02a1c6bc83f5404947ffb87891</t>
  </si>
  <si>
    <t>https://image-cdn-ak.spotifycdn.com/image/ab67616d00001e02e3c060bdd41fed06a866c494</t>
  </si>
  <si>
    <t>https://image-cdn-ak.spotifycdn.com/image/ab67616d00001e022ffc2c580b6595a3e675a730</t>
  </si>
  <si>
    <t>https://image-cdn-ak.spotifycdn.com/image/ab67616d00001e02cac9b52107643faf13a7587b</t>
  </si>
  <si>
    <t>https://image-cdn-fa.spotifycdn.com/image/ab67616d00001e02699b0363dda94e1f1e32eef5</t>
  </si>
  <si>
    <t>https://image-cdn-fa.spotifycdn.com/image/ab67616d00001e02cc7bfe087a97a09f54c92b28</t>
  </si>
  <si>
    <t>https://image-cdn-fa.spotifycdn.com/image/ab67616d00001e026949b83f85d782b21ce70583</t>
  </si>
  <si>
    <t>https://image-cdn-ak.spotifycdn.com/image/ab67616d00001e022846907b5152fb7dc38e450a</t>
  </si>
  <si>
    <t>https://image-cdn-fa.spotifycdn.com/image/ab67616d00001e028b5b6fa1326d996181e71dd7</t>
  </si>
  <si>
    <t>https://image-cdn-ak.spotifycdn.com/image/ab67616d00001e0220a28883cdd0fc7d5f85a9a9</t>
  </si>
  <si>
    <t>https://image-cdn-ak.spotifycdn.com/image/ab67616d00001e0217875a0610c23d8946454583</t>
  </si>
  <si>
    <t>https://image-cdn-ak.spotifycdn.com/image/ab67616d00001e0295f754318336a07e85ec59bc</t>
  </si>
  <si>
    <t>https://image-cdn-ak.spotifycdn.com/image/ab67616d00001e02350ab7a839c04bfd5225a9f5</t>
  </si>
  <si>
    <t>https://image-cdn-fa.spotifycdn.com/image/ab67616d00001e026b219c8d8462bfe254a20469</t>
  </si>
  <si>
    <t>https://image-cdn-ak.spotifycdn.com/image/ab67616d00001e02a21d22ecf823e1c90aa22d1f</t>
  </si>
  <si>
    <t>https://image-cdn-ak.spotifycdn.com/image/ab67616d00001e028048ac6179d25c2ccd6a98a3</t>
  </si>
  <si>
    <t>https://image-cdn-ak.spotifycdn.com/image/ab67616d00001e02d64caf3104c5a901905d9b7e</t>
  </si>
  <si>
    <t>https://image-cdn-fa.spotifycdn.com/image/ab67616d00001e02ff932c2dcd38600e7d097e09</t>
  </si>
  <si>
    <t>https://image-cdn-ak.spotifycdn.com/image/ab67616d00001e0225180571abce9472f61bd722</t>
  </si>
  <si>
    <t>https://image-cdn-ak.spotifycdn.com/image/ab67616d00001e0227b7133c976e8ae6c3add683</t>
  </si>
  <si>
    <t>https://image-cdn-ak.spotifycdn.com/image/ab67616d00001e021b3b814c3566db921e34acd4</t>
  </si>
  <si>
    <t>https://image-cdn-ak.spotifycdn.com/image/ab67616d00001e020faf2fc17446651865ce2282</t>
  </si>
  <si>
    <t>https://image-cdn-fa.spotifycdn.com/image/ab67616d00001e021dd221971daf25e034de40f8</t>
  </si>
  <si>
    <t>https://image-cdn-ak.spotifycdn.com/image/ab67616d00001e02c87992b7588879f66d192905</t>
  </si>
  <si>
    <t>https://image-cdn-ak.spotifycdn.com/image/ab67616d00001e02f33a9f529c12f79b116eb218</t>
  </si>
  <si>
    <t>https://image-cdn-fa.spotifycdn.com/image/ab67616d00001e02fecaa7826bb0cbe139a8cb83</t>
  </si>
  <si>
    <t>https://image-cdn-fa.spotifycdn.com/image/ab67616d00001e029e8d48f27391ce383862b8e8</t>
  </si>
  <si>
    <t>https://image-cdn-ak.spotifycdn.com/image/ab67616d00001e02fd275af89cec73d6287f9cbf</t>
  </si>
  <si>
    <t>https://image-cdn-fa.spotifycdn.com/image/ab67616d00001e02abc5193decc1a2984a93f31e</t>
  </si>
  <si>
    <t>https://image-cdn-ak.spotifycdn.com/image/ab67616d00001e0257db4e3ca6a227ed612ad0b8</t>
  </si>
  <si>
    <t>https://image-cdn-fa.spotifycdn.com/image/ab67616d00001e02fddfffec51b4580acae727c1</t>
  </si>
  <si>
    <t>https://image-cdn-ak.spotifycdn.com/image/ab67616d00001e02b62ac83032bd03907fa32e52</t>
  </si>
  <si>
    <t>https://image-cdn-ak.spotifycdn.com/image/ab67616d00001e025f677b5d3b81f08badd0775b</t>
  </si>
  <si>
    <t>https://image-cdn-ak.spotifycdn.com/image/ab67616d00001e02084a94988541c2402615d014</t>
  </si>
  <si>
    <t>https://image-cdn-ak.spotifycdn.com/image/ab67616d00001e0279f4a87c23143f0abb14c279</t>
  </si>
  <si>
    <t>https://image-cdn-ak.spotifycdn.com/image/ab67616d00001e02a6c1dcda006bbf12825b7f43</t>
  </si>
  <si>
    <t>https://image-cdn-ak.spotifycdn.com/image/ab67616d00001e0234f21d3047d85440dfa37f10</t>
  </si>
  <si>
    <t>https://image-cdn-ak.spotifycdn.com/image/ab67616d00001e02fafb4022c8ca1c4498e10b19</t>
  </si>
  <si>
    <t>https://image-cdn-ak.spotifycdn.com/image/ab67616d00001e02b4a878f008a0eda552446701</t>
  </si>
  <si>
    <t>https://image-cdn-fa.spotifycdn.com/image/ab67616d00001e02c5649add07ed3720be9d5526</t>
  </si>
  <si>
    <t>https://image-cdn-ak.spotifycdn.com/image/ab67616d00001e02349f6c0133abbfca063891c1</t>
  </si>
  <si>
    <t>https://image-cdn-ak.spotifycdn.com/image/ab67616d00001e020893a0c33fd4b8497b0ef2f6</t>
  </si>
  <si>
    <t>https://image-cdn-ak.spotifycdn.com/image/ab67616d00001e02796442914fd83d47da3242a9</t>
  </si>
  <si>
    <t>https://image-cdn-fa.spotifycdn.com/image/ab67616d00001e02190b5b394a6fc5574ceea4da</t>
  </si>
  <si>
    <t>https://image-cdn-fa.spotifycdn.com/image/ab67616d00001e0295184f6a953569b683ca9a0d</t>
  </si>
  <si>
    <t>https://image-cdn-fa.spotifycdn.com/image/ab67616d00001e0204481c826dd292e5e4983b3f</t>
  </si>
  <si>
    <t>https://image-cdn-ak.spotifycdn.com/image/ab67616d00001e026173e498401502583046f42c</t>
  </si>
  <si>
    <t>https://image-cdn-fa.spotifycdn.com/image/ab67616d00001e02200e2b6526846c59789c92e6</t>
  </si>
  <si>
    <t>https://image-cdn-ak.spotifycdn.com/image/ab67616d00001e02e252ac1e6e76327b5ff94543</t>
  </si>
  <si>
    <t>https://image-cdn-fa.spotifycdn.com/image/ab67616d00001e0274c732f8aa0e0ccbb3d17d96</t>
  </si>
  <si>
    <t>https://image-cdn-ak.spotifycdn.com/image/ab67616d00001e02aac44d7825750cbdbb8ee972</t>
  </si>
  <si>
    <t>https://image-cdn-ak.spotifycdn.com/image/ab67616d00001e02c6b577e4c4a6d326354a89f7</t>
  </si>
  <si>
    <t>https://image-cdn-ak.spotifycdn.com/image/ab67616d00001e02f885fb64a381318a1c9c14e4</t>
  </si>
  <si>
    <t>https://image-cdn-ak.spotifycdn.com/image/ab67616d00001e022b74bf21c7e4f56758610949</t>
  </si>
  <si>
    <t>https://image-cdn-ak.spotifycdn.com/image/ab67616d00001e029c2ab979bbe25f3d9e21f698</t>
  </si>
  <si>
    <t>https://image-cdn-ak.spotifycdn.com/image/ab67616d00001e02914c8b04e03468a1532b4617</t>
  </si>
  <si>
    <t>https://image-cdn-fa.spotifycdn.com/image/ab67616d00001e024bd42504ca3569f71af64fc8</t>
  </si>
  <si>
    <t>https://image-cdn-ak.spotifycdn.com/image/ab67616d00001e02efe2a536761d4f8e8401ae62</t>
  </si>
  <si>
    <t>https://image-cdn-ak.spotifycdn.com/image/ab67616d00001e022d564195ed3dd7b70d64862c</t>
  </si>
  <si>
    <t>https://image-cdn-ak.spotifycdn.com/image/ab67616d00001e028258239ab4f1523dff973711</t>
  </si>
  <si>
    <t>https://image-cdn-ak.spotifycdn.com/image/ab67616d00001e02a4b1be988bb6503434c43d56</t>
  </si>
  <si>
    <t>https://image-cdn-ak.spotifycdn.com/image/ab67616d00001e029f39192f9f8ca1c90847b3e5</t>
  </si>
  <si>
    <t>https://image-cdn-fa.spotifycdn.com/image/ab67616d00001e02a9e6a250ea86a8f387873ef9</t>
  </si>
  <si>
    <t>https://image-cdn-ak.spotifycdn.com/image/ab67616d00001e02ebb2cc866c0cf12abd8ea5a6</t>
  </si>
  <si>
    <t>https://image-cdn-fa.spotifycdn.com/image/ab67616d00001e026abd0fcf50a20ac09a028c92</t>
  </si>
  <si>
    <t>https://image-cdn-ak.spotifycdn.com/image/ab67616d00001e0282ce362511fb3d9dda6578ee</t>
  </si>
  <si>
    <t>https://image-cdn-ak.spotifycdn.com/image/ab67616d00001e02346d77e155d854735410ed18</t>
  </si>
  <si>
    <t>https://image-cdn-ak.spotifycdn.com/image/ab67616d00001e02b18589cf2f75356d654b3053</t>
  </si>
  <si>
    <t>https://image-cdn-ak.spotifycdn.com/image/ab67616d00001e0279e480cbab8c7b86d277841a</t>
  </si>
  <si>
    <t>https://image-cdn-ak.spotifycdn.com/image/ab67616d00001e0210f008e8b5fda6a55bcb8cd7</t>
  </si>
  <si>
    <t>https://image-cdn-ak.spotifycdn.com/image/ab67616d00001e026e087966068b1a77c8c366a1</t>
  </si>
  <si>
    <t>https://image-cdn-ak.spotifycdn.com/image/ab67616d00001e02dcf2455f6dfa93804cebf93e</t>
  </si>
  <si>
    <t>https://image-cdn-fa.spotifycdn.com/image/ab67616d00001e02882265cd9bdded9ea9a153b9</t>
  </si>
  <si>
    <t>https://image-cdn-fa.spotifycdn.com/image/ab67616d00001e025cf234eeb7a2edf44bf64a46</t>
  </si>
  <si>
    <t>https://image-cdn-ak.spotifycdn.com/image/ab67616d00001e02f995fcdb4d6f1c273a3bc56b</t>
  </si>
  <si>
    <t>https://image-cdn-ak.spotifycdn.com/image/ab67616d00001e0285c5968be0d0d9c545241124</t>
  </si>
  <si>
    <t>https://image-cdn-ak.spotifycdn.com/image/ab67616d00001e02e343d0844383b6fb91db9598</t>
  </si>
  <si>
    <t>https://image-cdn-ak.spotifycdn.com/image/ab67616d00001e029ed5fcf212f05d55b1e61eae</t>
  </si>
  <si>
    <t>https://image-cdn-ak.spotifycdn.com/image/ab67616d00001e022ea1f035463d11e1fc3b193d</t>
  </si>
  <si>
    <t>https://image-cdn-ak.spotifycdn.com/image/ab67616d00001e02005ee342f4eef2cc6e8436ab</t>
  </si>
  <si>
    <t>https://image-cdn-ak.spotifycdn.com/image/ab67616d00001e02a6dae629d3f23aa5a725f601</t>
  </si>
  <si>
    <t>https://image-cdn-ak.spotifycdn.com/image/ab67616d00001e02595c866ba8d19bd9dd531bdc</t>
  </si>
  <si>
    <t>https://image-cdn-ak.spotifycdn.com/image/ab67616d00001e02f66501800b3a51af3bc69f8d</t>
  </si>
  <si>
    <t>https://image-cdn-ak.spotifycdn.com/image/ab67616d00001e02bc18bdade69ec5ef0bb25b17</t>
  </si>
  <si>
    <t>https://image-cdn-ak.spotifycdn.com/image/ab67616d00001e021cae05aed449b051fceb7a2d</t>
  </si>
  <si>
    <t>https://image-cdn-ak.spotifycdn.com/image/ab67616d00001e021dc7483a9fcfce54822a2f19</t>
  </si>
  <si>
    <t>https://image-cdn-ak.spotifycdn.com/image/ab67616d00001e02e4086e5f9d79cf18ed601015</t>
  </si>
  <si>
    <t>https://image-cdn-ak.spotifycdn.com/image/ab67616d00001e02beae6e69d6505fd379ef3081</t>
  </si>
  <si>
    <t>https://image-cdn-ak.spotifycdn.com/image/ab67616d00001e02f189a3108b6b63df5b34b22c</t>
  </si>
  <si>
    <t>https://image-cdn-ak.spotifycdn.com/image/ab67616d00001e02781def2b7594a2cd1bf123b7</t>
  </si>
  <si>
    <t>https://image-cdn-ak.spotifycdn.com/image/ab67616d00001e02a9ab24f62c01f4bd4a08571e</t>
  </si>
  <si>
    <t>https://image-cdn-ak.spotifycdn.com/image/ab67616d00001e02ae0147d756dbb8f2f90d1d28</t>
  </si>
  <si>
    <t>https://image-cdn-ak.spotifycdn.com/image/ab67616d00001e02c67cc9596a3252490933e2f9</t>
  </si>
  <si>
    <t>https://image-cdn-ak.spotifycdn.com/image/ab67616d00001e021bc666f3fa4156c40c6f90d2</t>
  </si>
  <si>
    <t>https://image-cdn-ak.spotifycdn.com/image/ab67616d00001e020e62daaea2c7b94053e1c142</t>
  </si>
  <si>
    <t>https://image-cdn-ak.spotifycdn.com/image/ab67616d00001e026ecc09ef7f3d0be67660ad62</t>
  </si>
  <si>
    <t>https://image-cdn-ak.spotifycdn.com/image/ab67616d00001e02c800b90e2092a5328f699117</t>
  </si>
  <si>
    <t>https://image-cdn-ak.spotifycdn.com/image/ab67616d00001e02da7d1408f8e776063963572f</t>
  </si>
  <si>
    <t>https://image-cdn-fa.spotifycdn.com/image/ab67616d00001e0299bc33b47a0a67fd50783055</t>
  </si>
  <si>
    <t>https://image-cdn-ak.spotifycdn.com/image/ab67616d00001e02d549b09f0264901929eaa6e8</t>
  </si>
  <si>
    <t>https://image-cdn-ak.spotifycdn.com/image/ab67616d00001e02a958d093e94944dd0e7258b2</t>
  </si>
  <si>
    <t>https://image-cdn-ak.spotifycdn.com/image/ab67616d00001e0229803857f9f242ab9fdcfe40</t>
  </si>
  <si>
    <t>https://image-cdn-fa.spotifycdn.com/image/ab67616d00001e02d65c4773bc5061fd27facc5b</t>
  </si>
  <si>
    <t>https://image-cdn-ak.spotifycdn.com/image/ab67616d00001e023b27e1cd8a6bc6804c2e5fd2</t>
  </si>
  <si>
    <t>https://image-cdn-fa.spotifycdn.com/image/ab67616d00001e02d879855b819250d3d00a1a38</t>
  </si>
  <si>
    <t>https://image-cdn-ak.spotifycdn.com/image/ab67616d00001e02268a4941736e3d24630266e9</t>
  </si>
  <si>
    <t>https://image-cdn-ak.spotifycdn.com/image/ab67616d00001e0297ff4f3444787c0dd8660eb3</t>
  </si>
  <si>
    <t>https://image-cdn-ak.spotifycdn.com/image/ab67616d00001e022af7247a8f6f33d5a381b6c8</t>
  </si>
  <si>
    <t>https://image-cdn-ak.spotifycdn.com/image/ab67616d00001e0232ab17f5515e51490841f648</t>
  </si>
  <si>
    <t>https://image-cdn-ak.spotifycdn.com/image/ab67616d00001e02ef88ad49166e31598ff7d4d0</t>
  </si>
  <si>
    <t>https://image-cdn-ak.spotifycdn.com/image/ab67616d00001e02c87a43601aa7a2f54c41a73c</t>
  </si>
  <si>
    <t>https://image-cdn-ak.spotifycdn.com/image/ab67616d00001e02a48007fbc868feaa0ce50011</t>
  </si>
  <si>
    <t>https://image-cdn-ak.spotifycdn.com/image/ab67616d00001e025f30d36db3dd22681531d1da</t>
  </si>
  <si>
    <t>https://image-cdn-ak.spotifycdn.com/image/ab67616d00001e0231cc95b28680b61772da876f</t>
  </si>
  <si>
    <t>https://image-cdn-ak.spotifycdn.com/image/ab67616d00001e028f948a5ae6aff8fd9f800d70</t>
  </si>
  <si>
    <t>https://image-cdn-fa.spotifycdn.com/image/ab67616d00001e023eb8dc748f7efb1470f74395</t>
  </si>
  <si>
    <t>https://image-cdn-fa.spotifycdn.com/image/ab67616d00001e02bc18bdade69ec5ef0bb25b17</t>
  </si>
  <si>
    <t>https://image-cdn-fa.spotifycdn.com/image/ab67616d00001e0287bcc972503c59ab023130b4</t>
  </si>
  <si>
    <t>https://image-cdn-ak.spotifycdn.com/image/ab67616d00001e02bf4cf0f48b94d0c8297b751a</t>
  </si>
  <si>
    <t>https://image-cdn-ak.spotifycdn.com/image/ab67616d00001e02254820046b555c7751e67f76</t>
  </si>
  <si>
    <t>https://image-cdn-fa.spotifycdn.com/image/ab67616d00001e029457e3a848ca8bc8270f6057</t>
  </si>
  <si>
    <t>https://image-cdn-ak.spotifycdn.com/image/ab67616d00001e02c62cf08cee6bff48127078ea</t>
  </si>
  <si>
    <t>https://image-cdn-ak.spotifycdn.com/image/ab67616d00001e028a9eb5a1f701d1d367a5ea10</t>
  </si>
  <si>
    <t>https://image-cdn-ak.spotifycdn.com/image/ab67616d00001e027c3bb9f74a98f60bdda6c9a7</t>
  </si>
  <si>
    <t>https://image-cdn-ak.spotifycdn.com/image/ab67616d00001e0247cbd521916fc422be1a5c9a</t>
  </si>
  <si>
    <t>https://image-cdn-fa.spotifycdn.com/image/ab67616d00001e0258513cbc1bba4cd4c5f472ce</t>
  </si>
  <si>
    <t>https://image-cdn-ak.spotifycdn.com/image/ab67616d00001e02539bb112d7c970545dd971e3</t>
  </si>
  <si>
    <t>https://image-cdn-ak.spotifycdn.com/image/ab67616d00001e02d6c26d2ae723f7ab553d64cc</t>
  </si>
  <si>
    <t>https://image-cdn-ak.spotifycdn.com/image/ab67616d00001e0295ce3d848f4e452489d4a12c</t>
  </si>
  <si>
    <t>https://image-cdn-fa.spotifycdn.com/image/ab67616d00001e024c43bd96a211ed67cfe86636</t>
  </si>
  <si>
    <t>https://image-cdn-ak.spotifycdn.com/image/ab67616d00001e0236385e0fad3c87e8e8f19071</t>
  </si>
  <si>
    <t>https://image-cdn-ak.spotifycdn.com/image/ab67616d00001e02ae682a9f57cbb545e5d20a17</t>
  </si>
  <si>
    <t>https://image-cdn-ak.spotifycdn.com/image/ab67616d00001e02f497846e25233023ca7cb8b1</t>
  </si>
  <si>
    <t>https://image-cdn-ak.spotifycdn.com/image/ab67616d00001e02f24c7321eabddffc3829676b</t>
  </si>
  <si>
    <t>https://image-cdn-fa.spotifycdn.com/image/ab67616d00001e0256849c42c652a7e4025fd6eb</t>
  </si>
  <si>
    <t>https://image-cdn-ak.spotifycdn.com/image/ab67616d00001e029977a75e107f54d30e904177</t>
  </si>
  <si>
    <t>https://image-cdn-fa.spotifycdn.com/image/ab67616d00001e02eb2d8a0e6f6f4626af5f66f7</t>
  </si>
  <si>
    <t>https://image-cdn-fa.spotifycdn.com/image/ab67616d00001e02773c5f60bcb309ef8802e4ef</t>
  </si>
  <si>
    <t>https://image-cdn-ak.spotifycdn.com/image/ab67616d00001e02c2c4ebb82fba77deba3d6f02</t>
  </si>
  <si>
    <t>https://image-cdn-fa.spotifycdn.com/image/ab67616d00001e02e4d17d7e6cf481caaac75484</t>
  </si>
  <si>
    <t>https://image-cdn-ak.spotifycdn.com/image/ab67616d00001e024dea4c1cdf30c359dbaec318</t>
  </si>
  <si>
    <t>https://image-cdn-ak.spotifycdn.com/image/ab67616d00001e0249cb2d53994caada391cf39e</t>
  </si>
  <si>
    <t>https://image-cdn-fa.spotifycdn.com/image/ab67616d00001e027be65ce6672ed7e5aac6e966</t>
  </si>
  <si>
    <t>https://image-cdn-ak.spotifycdn.com/image/ab67616d00001e0289b9e48b79603248d4fea627</t>
  </si>
  <si>
    <t>https://image-cdn-ak.spotifycdn.com/image/ab67616d00001e02172768978c7f929803ad7e8b</t>
  </si>
  <si>
    <t>https://image-cdn-ak.spotifycdn.com/image/ab67616d00001e0288e3cda6d29b2552d4d6bc43</t>
  </si>
  <si>
    <t>https://image-cdn-fa.spotifycdn.com/image/ab67616d00001e0230420759f1a2cd4923c5c65b</t>
  </si>
  <si>
    <t>https://image-cdn-ak.spotifycdn.com/image/ab67616d00001e02175920091dc6d0911e63ff5b</t>
  </si>
  <si>
    <t>https://image-cdn-ak.spotifycdn.com/image/ab67616d00001e0255aa88e51262666460342d46</t>
  </si>
  <si>
    <t>https://image-cdn-ak.spotifycdn.com/image/ab67616d00001e0202dd46d1f82ce19b5927b269</t>
  </si>
  <si>
    <t>https://image-cdn-fa.spotifycdn.com/image/ab67616d00001e02831949037a1db10b87b005fa</t>
  </si>
  <si>
    <t>https://image-cdn-ak.spotifycdn.com/image/ab67616d00001e026e2101520787791370f4a96b</t>
  </si>
  <si>
    <t>https://image-cdn-ak.spotifycdn.com/image/ab67616d00001e0215145482a542a9adb282250b</t>
  </si>
  <si>
    <t>https://image-cdn-ak.spotifycdn.com/image/ab67616d00001e022fbeaac6a873e249523e948d</t>
  </si>
  <si>
    <t>https://image-cdn-ak.spotifycdn.com/image/ab67616d00001e02279b3e89d5c179aeb939f588</t>
  </si>
  <si>
    <t>https://image-cdn-ak.spotifycdn.com/image/ab67616d00001e02cff4bd68d5d0dd9a0a748045</t>
  </si>
  <si>
    <t>https://image-cdn-fa.spotifycdn.com/image/ab67616d00001e026ac3c7938191585c53c8180d</t>
  </si>
  <si>
    <t>https://image-cdn-ak.spotifycdn.com/image/ab67616d00001e021bec21e57fff76db49e15a70</t>
  </si>
  <si>
    <t>https://image-cdn-ak.spotifycdn.com/image/ab67616d00001e02b4d59e6fa7e5e7cbc57ac33a</t>
  </si>
  <si>
    <t>https://image-cdn-ak.spotifycdn.com/image/ab67616d00001e02841c8f567b42b8b9a1aa54ec</t>
  </si>
  <si>
    <t>https://image-cdn-ak.spotifycdn.com/image/ab67616d00001e02a08c4f429bde0743d0597db7</t>
  </si>
  <si>
    <t>https://image-cdn-ak.spotifycdn.com/image/ab67616d00001e0298852bf3ce0698c24c8f1bd4</t>
  </si>
  <si>
    <t>https://image-cdn-ak.spotifycdn.com/image/ab67616d00001e022dd11be8f86b0dadccf92695</t>
  </si>
  <si>
    <t>https://image-cdn-fa.spotifycdn.com/image/ab67616d00001e0280788f104c780412212e97e3</t>
  </si>
  <si>
    <t>https://image-cdn-fa.spotifycdn.com/image/ab67616d00001e029d22b70fe52340efb60ab681</t>
  </si>
  <si>
    <t>https://image-cdn-ak.spotifycdn.com/image/ab67616d00001e029a9b1cc067e4460da04adce2</t>
  </si>
  <si>
    <t>https://image-cdn-ak.spotifycdn.com/image/ab67616d00001e0219ecb9b2a1d2138f3b3055cd</t>
  </si>
  <si>
    <t>https://image-cdn-ak.spotifycdn.com/image/ab67616d00001e020c8ac83035e9588e8ad34b90</t>
  </si>
  <si>
    <t>https://image-cdn-ak.spotifycdn.com/image/ab67616d00001e02a0caffda54afd0a65995bbab</t>
  </si>
  <si>
    <t>https://image-cdn-ak.spotifycdn.com/image/ab67616d00001e02caa23612279c2d059a0d3a82</t>
  </si>
  <si>
    <t>https://image-cdn-ak.spotifycdn.com/image/ab67616d00001e026d1d4e875e2424cdd07f3232</t>
  </si>
  <si>
    <t>https://image-cdn-ak.spotifycdn.com/image/ab67616d00001e0201c0cd5da820e6128655854f</t>
  </si>
  <si>
    <t>https://image-cdn-fa.spotifycdn.com/image/ab67616d00001e022fe1ee03a5bed6b4a2e73296</t>
  </si>
  <si>
    <t>https://image-cdn-ak.spotifycdn.com/image/ab67616d00001e0235f36cb686b0d5a12ab3a9f0</t>
  </si>
  <si>
    <t>https://image-cdn-ak.spotifycdn.com/image/ab67616d00001e02eb31ebdbca6acd99c23b4d31</t>
  </si>
  <si>
    <t>https://image-cdn-ak.spotifycdn.com/image/ab67616d00001e02a91c10fe9472d9bd89802e5a</t>
  </si>
  <si>
    <t>https://image-cdn-ak.spotifycdn.com/image/ab67616d00001e025b9bb37921b4edf1a843875c</t>
  </si>
  <si>
    <t>https://image-cdn-ak.spotifycdn.com/image/ab67616d00001e02c07d5d2fdc02ae252fcd07e5</t>
  </si>
  <si>
    <t>https://image-cdn-ak.spotifycdn.com/image/ab67616d00001e024ae1c4c5c45aabe565499163</t>
  </si>
  <si>
    <t>https://image-cdn-fa.spotifycdn.com/image/ab67616d00001e02b62ed5bcd74bd9ab8b1f4406</t>
  </si>
  <si>
    <t>https://image-cdn-ak.spotifycdn.com/image/ab67616d00001e022557d7b4bf9ca1c289f40e97</t>
  </si>
  <si>
    <t>https://image-cdn-ak.spotifycdn.com/image/ab67616d00001e0249130b16d4190db1d6822e59</t>
  </si>
  <si>
    <t>https://image-cdn-ak.spotifycdn.com/image/ab67616d00001e026224d1236b0e0a0e1586efbb</t>
  </si>
  <si>
    <t>https://image-cdn-fa.spotifycdn.com/image/ab67616d00001e0207117f6fadf709d2e0f690ec</t>
  </si>
  <si>
    <t>https://image-cdn-ak.spotifycdn.com/image/ab67616d00001e0288208159b1b3c69eefdeb2e0</t>
  </si>
  <si>
    <t>https://image-cdn-ak.spotifycdn.com/image/ab67616d00001e02deec12a28d1e336c5052e9aa</t>
  </si>
  <si>
    <t>https://image-cdn-fa.spotifycdn.com/image/ab67616d00001e02b033ed96ed4cd275d9b3a25b</t>
  </si>
  <si>
    <t>https://image-cdn-ak.spotifycdn.com/image/ab67616d00001e0216aaf05fe82237576a7d0e38</t>
  </si>
  <si>
    <t>https://image-cdn-ak.spotifycdn.com/image/ab67616d00001e02ce0f267985620c859273b0ec</t>
  </si>
  <si>
    <t>https://image-cdn-ak.spotifycdn.com/image/ab67616d00001e020697c8807331635b1ca25e84</t>
  </si>
  <si>
    <t>https://image-cdn-ak.spotifycdn.com/image/ab67616d00001e027838ccbef3fb712228e23fc5</t>
  </si>
  <si>
    <t>https://image-cdn-ak.spotifycdn.com/image/ab67616d00001e022c9214c857ff01deccc34592</t>
  </si>
  <si>
    <t>https://image-cdn-ak.spotifycdn.com/image/ab67616d00001e028db56c674b13b3a4c6a4dbb8</t>
  </si>
  <si>
    <t>https://image-cdn-fa.spotifycdn.com/image/ab67616d00001e02f05b66e91b543697964385a1</t>
  </si>
  <si>
    <t>https://image-cdn-fa.spotifycdn.com/image/ab67616d00001e02a9a95c2c1cdf65c0225be992</t>
  </si>
  <si>
    <t>https://image-cdn-ak.spotifycdn.com/image/ab67616d00001e0234a29f220057810cce98e1b4</t>
  </si>
  <si>
    <t>https://image-cdn-ak.spotifycdn.com/image/ab67616d00001e023f8b8a9c71b2bd2f3019940b</t>
  </si>
  <si>
    <t>https://image-cdn-ak.spotifycdn.com/image/ab67616d00001e028ff0dc6e03af2b4b83e9e274</t>
  </si>
  <si>
    <t>https://image-cdn-ak.spotifycdn.com/image/ab67616d00001e02aeca5ce27cb0041319cbb734</t>
  </si>
  <si>
    <t>https://image-cdn-ak.spotifycdn.com/image/ab67616d00001e0223290120a609a65e14cfe018</t>
  </si>
  <si>
    <t>https://image-cdn-ak.spotifycdn.com/image/ab67616d00001e022fc1f0e56f80b5e7cc388b3c</t>
  </si>
  <si>
    <t>https://image-cdn-ak.spotifycdn.com/image/ab67616d00001e0291750ed467a5ecc14beaa03f</t>
  </si>
  <si>
    <t>https://image-cdn-ak.spotifycdn.com/image/ab67616d00001e029cdfb82f538cb0b96c6808d0</t>
  </si>
  <si>
    <t>https://image-cdn-ak.spotifycdn.com/image/ab67616d00001e023b219fb53c69f313f90fd4ce</t>
  </si>
  <si>
    <t>https://image-cdn-ak.spotifycdn.com/image/ab67616d00001e0226f7f19c7f0381e56156c94a</t>
  </si>
  <si>
    <t>https://image-cdn-ak.spotifycdn.com/image/ab67616d00001e02292341cd3e621d7f9171331f</t>
  </si>
  <si>
    <t>https://image-cdn-ak.spotifycdn.com/image/ab67616d00001e029a9a5daadbd26f37fb62837a</t>
  </si>
  <si>
    <t>https://image-cdn-ak.spotifycdn.com/image/ab67616d00001e023696096119ef08824cf85ede</t>
  </si>
  <si>
    <t>https://image-cdn-ak.spotifycdn.com/image/ab67616d00001e0205898628baab6ef07a0a4d03</t>
  </si>
  <si>
    <t>https://image-cdn-fa.spotifycdn.com/image/ab67616d00001e02ec4f3a05f36b942d7756d7c0</t>
  </si>
  <si>
    <t>https://image-cdn-ak.spotifycdn.com/image/ab67616d00001e02d20231861e86a6f74ef2393e</t>
  </si>
  <si>
    <t>https://image-cdn-ak.spotifycdn.com/image/ab67616d00001e022f8790ed72296c2614607575</t>
  </si>
  <si>
    <t>https://image-cdn-ak.spotifycdn.com/image/ab67616d00001e02897f73256b9128a9d70eaf66</t>
  </si>
  <si>
    <t>https://image-cdn-ak.spotifycdn.com/image/ab67616d00001e02c132fb4ba462a3859c4f2ff3</t>
  </si>
  <si>
    <t>https://image-cdn-ak.spotifycdn.com/image/ab67616d00001e029d181176cafa856a3c8b5537</t>
  </si>
  <si>
    <t>https://image-cdn-ak.spotifycdn.com/image/ab67616d00001e02efa97e80fdb012456a40532c</t>
  </si>
  <si>
    <t>https://image-cdn-ak.spotifycdn.com/image/ab67616d00001e0214021e9ab9da5813bc6791cb</t>
  </si>
  <si>
    <t>https://image-cdn-ak.spotifycdn.com/image/ab67616d00001e02deac5adf07affb5fec422701</t>
  </si>
  <si>
    <t>https://image-cdn-ak.spotifycdn.com/image/ab67616d00001e024fb043195e8d07e72edc7226</t>
  </si>
  <si>
    <t>https://image-cdn-fa.spotifycdn.com/image/ab67616d00001e028822719df05ca7708cc9abe8</t>
  </si>
  <si>
    <t>https://image-cdn-ak.spotifycdn.com/image/ab67616d00001e02d26246b23c8bfa8ce543b3bb</t>
  </si>
  <si>
    <t>https://image-cdn-ak.spotifycdn.com/image/ab67616d00001e02107025b080982019270451f9</t>
  </si>
  <si>
    <t>https://image-cdn-ak.spotifycdn.com/image/ab67616d00001e024f0fd9dad63977146e685700</t>
  </si>
  <si>
    <t>https://image-cdn-ak.spotifycdn.com/image/ab67616d00001e02a539563b3d77bd3ba17d016e</t>
  </si>
  <si>
    <t>https://image-cdn-ak.spotifycdn.com/image/ab67616d00001e0205005dc483e9f8a73ccc6d3d</t>
  </si>
  <si>
    <t>https://image-cdn-ak.spotifycdn.com/image/ab67616d00001e02e9de80682fe4907050ada1ff</t>
  </si>
  <si>
    <t>https://image-cdn-fa.spotifycdn.com/image/ab67616d00001e023a81e76442b1aa620895a211</t>
  </si>
  <si>
    <t>https://image-cdn-fa.spotifycdn.com/image/ab67616d00001e026be9bac15995f089579074de</t>
  </si>
  <si>
    <t>https://image-cdn-ak.spotifycdn.com/image/ab67616d00001e02bfbde8580c3d38599bee65af</t>
  </si>
  <si>
    <t>https://image-cdn-ak.spotifycdn.com/image/ab67616d00001e028d1cf82837651f08ac1ca1ca</t>
  </si>
  <si>
    <t>https://image-cdn-ak.spotifycdn.com/image/ab67616d00001e0285e5dcc05cc216a10f141480</t>
  </si>
  <si>
    <t>https://image-cdn-fa.spotifycdn.com/image/ab67616d00001e026b1f7d7354646107b39b4b8d</t>
  </si>
  <si>
    <t>https://image-cdn-ak.spotifycdn.com/image/ab67616d00001e023f83c329a5df6edcf9ba4b9c</t>
  </si>
  <si>
    <t>https://image-cdn-ak.spotifycdn.com/image/ab67616d00001e025bd00b369e89c5cbc74d827b</t>
  </si>
  <si>
    <t>https://image-cdn-ak.spotifycdn.com/image/ab67616d00001e0258513cbc1bba4cd4c5f472ce</t>
  </si>
  <si>
    <t>https://image-cdn-ak.spotifycdn.com/image/ab67616d00001e0285a7fd707d00e5d255807add</t>
  </si>
  <si>
    <t>https://image-cdn-fa.spotifycdn.com/image/ab67616d00001e028d34e1fc21441df43571faaa</t>
  </si>
  <si>
    <t>https://image-cdn-fa.spotifycdn.com/image/ab67616d00001e02a35a1d4983e2b4fd0094f910</t>
  </si>
  <si>
    <t>https://image-cdn-ak.spotifycdn.com/image/ab67616d00001e02c5908e60eccb7af47cd2df0b</t>
  </si>
  <si>
    <t>https://image-cdn-ak.spotifycdn.com/image/ab67616d00001e020c053ee476f7ce576369241e</t>
  </si>
  <si>
    <t>https://image-cdn-ak.spotifycdn.com/image/ab67616d00001e023f56ecc22a0a63f3e9a80f5f</t>
  </si>
  <si>
    <t>https://image-cdn-ak.spotifycdn.com/image/ab67616d00001e02083fbaed50f66e8849b264cc</t>
  </si>
  <si>
    <t>https://image-cdn-ak.spotifycdn.com/image/ab67616d00001e0208c270b3ef1602ff84ed2c05</t>
  </si>
  <si>
    <t>https://image-cdn-ak.spotifycdn.com/image/ab67616d00001e02c7c031ce9d06b131f8563676</t>
  </si>
  <si>
    <t>https://image-cdn-ak.spotifycdn.com/image/ab67616d00001e02e2f039481babe23658fc719a</t>
  </si>
  <si>
    <t>https://image-cdn-ak.spotifycdn.com/image/ab67616d00001e020c20b697b7cc3bfe3eb954bc</t>
  </si>
  <si>
    <t>https://image-cdn-ak.spotifycdn.com/image/ab67616d00001e0271d62ea7ea8a5be92d3c1f62</t>
  </si>
  <si>
    <t>https://image-cdn-ak.spotifycdn.com/image/ab67616d00001e02a6cb8fab778e1efc406a5909</t>
  </si>
  <si>
    <t>https://image-cdn-ak.spotifycdn.com/image/ab67616d00001e0296623f4784c88259592fb8a1</t>
  </si>
  <si>
    <t>https://image-cdn-ak.spotifycdn.com/image/ab67616d00001e02c7c4b70ceab165ca1d716467</t>
  </si>
  <si>
    <t>https://image-cdn-ak.spotifycdn.com/image/ab67616d00001e028dc8c573565969d55f9f3477</t>
  </si>
  <si>
    <t>https://image-cdn-ak.spotifycdn.com/image/ab67616d00001e02f662eb349994166696d578af</t>
  </si>
  <si>
    <t>https://image-cdn-ak.spotifycdn.com/image/ab67616d00001e0290958927fbba47a62c3e63f8</t>
  </si>
  <si>
    <t>https://image-cdn-ak.spotifycdn.com/image/ab67616d00001e0256849c42c652a7e4025fd6eb</t>
  </si>
  <si>
    <t>https://image-cdn-fa.spotifycdn.com/image/ab67616d00001e0257fc4730e06c9ab20c1e073b</t>
  </si>
  <si>
    <t>https://image-cdn-fa.spotifycdn.com/image/ab67616d00001e02c40dccc1952bb5ed96986869</t>
  </si>
  <si>
    <t>https://image-cdn-ak.spotifycdn.com/image/ab67616d00001e02ac2975341ab46e756632bba9</t>
  </si>
  <si>
    <t>https://image-cdn-ak.spotifycdn.com/image/ab67616d00001e02fa1098648e3b35c7b6d2b36a</t>
  </si>
  <si>
    <t>https://image-cdn-fa.spotifycdn.com/image/ab67616d00001e021ea0c62b2339cbf493a999ad</t>
  </si>
  <si>
    <t>https://image-cdn-fa.spotifycdn.com/image/ab67616d00001e02b27ddff7799d494c71b6b308</t>
  </si>
  <si>
    <t>https://image-cdn-fa.spotifycdn.com/image/ab67616d00001e02fca733bb1088d59588f69e21</t>
  </si>
  <si>
    <t>https://image-cdn-ak.spotifycdn.com/image/ab67616d00001e02952d1767885a9f1ae6dcf0b0</t>
  </si>
  <si>
    <t>https://image-cdn-ak.spotifycdn.com/image/ab67616d00001e02f62aa1dd0b43f583418cd018</t>
  </si>
  <si>
    <t>https://image-cdn-ak.spotifycdn.com/image/ab67616d00001e024fb0b47e965f62951205cc5a</t>
  </si>
  <si>
    <t>https://image-cdn-ak.spotifycdn.com/image/ab67616d00001e022bad6e56e77d5bef0aa3f2dc</t>
  </si>
  <si>
    <t>https://image-cdn-ak.spotifycdn.com/image/ab67616d00001e02316b7fde50dfbf4be72735c2</t>
  </si>
  <si>
    <t>https://image-cdn-ak.spotifycdn.com/image/ab67616d00001e02b31e1391eee9f695a6ba929d</t>
  </si>
  <si>
    <t>https://image-cdn-ak.spotifycdn.com/image/ab67616d00001e029a0cbe7c93bc691f48f356ed</t>
  </si>
  <si>
    <t>https://image-cdn-ak.spotifycdn.com/image/ab67616d00001e0219253d686d90dda9f8da689f</t>
  </si>
  <si>
    <t>https://image-cdn-ak.spotifycdn.com/image/ab67616d00001e02d998c880f085f08c7ddeeafc</t>
  </si>
  <si>
    <t>https://image-cdn-ak.spotifycdn.com/image/ab67616d00001e02e6f407c7f3a0ec98845e4431</t>
  </si>
  <si>
    <t>https://image-cdn-ak.spotifycdn.com/image/ab67616d00001e02efc6988972cb04105f002cd4</t>
  </si>
  <si>
    <t>https://image-cdn-ak.spotifycdn.com/image/ab67616d00001e02deade9f354749841f09feca2</t>
  </si>
  <si>
    <t>https://image-cdn-ak.spotifycdn.com/image/ab67616d00001e028b52c6b9bc4e43d873869699</t>
  </si>
  <si>
    <t>https://image-cdn-fa.spotifycdn.com/image/ab67616d00001e027a5e4ed28aeceac63ae4b043</t>
  </si>
  <si>
    <t>https://image-cdn-ak.spotifycdn.com/image/ab67616d00001e029e1cfc756886ac782e363d79</t>
  </si>
  <si>
    <t>https://image-cdn-ak.spotifycdn.com/image/ab67616d00001e0237aca5f6e9127cb9a469ec0f</t>
  </si>
  <si>
    <t>https://image-cdn-ak.spotifycdn.com/image/ab67616d00001e0210df7b8e9b3ed2588888a8ae</t>
  </si>
  <si>
    <t>https://image-cdn-fa.spotifycdn.com/image/ab67616d00001e025645e61562deebdda78755b6</t>
  </si>
  <si>
    <t>https://image-cdn-ak.spotifycdn.com/image/ab67616d00001e02d39091f489e1433639d13a2a</t>
  </si>
  <si>
    <t>https://image-cdn-fa.spotifycdn.com/image/ab67616d00001e028b52c6b9bc4e43d873869699</t>
  </si>
  <si>
    <t>https://image-cdn-fa.spotifycdn.com/image/ab67616d00001e02f1d02a6cec967f8b6b78f76e</t>
  </si>
  <si>
    <t>https://image-cdn-fa.spotifycdn.com/image/ab67616d00001e02eda9478c39a21e1cdc6609ca</t>
  </si>
  <si>
    <t>https://image-cdn-ak.spotifycdn.com/image/ab67616d00001e020c13d3d5a503c84fcc60ae94</t>
  </si>
  <si>
    <t>https://image-cdn-ak.spotifycdn.com/image/ab67616d00001e022e59972c9854a2e6f0ceec34</t>
  </si>
  <si>
    <t>https://image-cdn-fa.spotifycdn.com/image/ab67616d00001e028a9eb5a1f701d1d367a5ea10</t>
  </si>
  <si>
    <t>https://image-cdn-fa.spotifycdn.com/image/ab67616d00001e026b0c57d574fae5bbb4f3c8de</t>
  </si>
  <si>
    <t>https://image-cdn-ak.spotifycdn.com/image/ab67616d00001e02ee6ff14d338a2af1edc2f5d2</t>
  </si>
  <si>
    <t>https://image-cdn-ak.spotifycdn.com/image/ab67616d00001e02491678beaffcefac517a699e</t>
  </si>
  <si>
    <t>https://image-cdn-ak.spotifycdn.com/image/ab67616d00001e029454d875c64ae0376b4b59bb</t>
  </si>
  <si>
    <t>https://image-cdn-ak.spotifycdn.com/image/ab67616d00001e0227303a68d325216fe413f62c</t>
  </si>
  <si>
    <t>https://image-cdn-fa.spotifycdn.com/image/ab67616d00001e0247e9618ef7411438f9c9478b</t>
  </si>
  <si>
    <t>https://image-cdn-ak.spotifycdn.com/image/ab67616d00001e028fba5806a323efd272677c4d</t>
  </si>
  <si>
    <t>https://image-cdn-ak.spotifycdn.com/image/ab67616d00001e021dd221971daf25e034de40f8</t>
  </si>
  <si>
    <t>https://image-cdn-ak.spotifycdn.com/image/ab67616d00001e027e76c17cfbc723800452a24f</t>
  </si>
  <si>
    <t>https://image-cdn-ak.spotifycdn.com/image/ab67616d00001e02b4edd175d050465904719d89</t>
  </si>
  <si>
    <t>https://image-cdn-ak.spotifycdn.com/image/ab67616d00001e0286b35d0bfa6bbceed7541a3d</t>
  </si>
  <si>
    <t>https://image-cdn-ak.spotifycdn.com/image/ab67616d00001e02e1bc1af856b42dd7fdba9f84</t>
  </si>
  <si>
    <t>https://image-cdn-fa.spotifycdn.com/image/ab67616d00001e02700f7bf79c9f063ad0362bdf</t>
  </si>
  <si>
    <t>https://image-cdn-ak.spotifycdn.com/image/ab67616d00001e0294a61362074a20e6dd69b59a</t>
  </si>
  <si>
    <t>https://image-cdn-fa.spotifycdn.com/image/ab67616d00001e02a2e90fbdec84b25e46573469</t>
  </si>
  <si>
    <t>https://image-cdn-ak.spotifycdn.com/image/ab67616d00001e0255886e2f0784a2b7b62b7fe7</t>
  </si>
  <si>
    <t>https://image-cdn-ak.spotifycdn.com/image/ab67616d00001e02d08209944468440145f01524</t>
  </si>
  <si>
    <t>https://image-cdn-ak.spotifycdn.com/image/ab67616d00001e028752a7355996e64709247c53</t>
  </si>
  <si>
    <t>https://image-cdn-ak.spotifycdn.com/image/ab67616d00001e023b83fd19945daf89d7cbfc00</t>
  </si>
  <si>
    <t>https://image-cdn-fa.spotifycdn.com/image/ab67616d00001e02e9c382b5b9b3221428da47c2</t>
  </si>
  <si>
    <t>https://image-cdn-ak.spotifycdn.com/image/ab67616d00001e02c0353d023daf5ebda0eb003b</t>
  </si>
  <si>
    <t>https://image-cdn-ak.spotifycdn.com/image/ab67616d00001e02d8243a13e6f41310a5fa7b96</t>
  </si>
  <si>
    <t>https://image-cdn-ak.spotifycdn.com/image/ab67616d00001e023d537424bb92aa2283f62595</t>
  </si>
  <si>
    <t>https://image-cdn-ak.spotifycdn.com/image/ab67616d00001e021cc17bae5ee17cce117e198a</t>
  </si>
  <si>
    <t>https://image-cdn-ak.spotifycdn.com/image/ab67616d00001e02602f97feddd13e75029f2b8f</t>
  </si>
  <si>
    <t>https://image-cdn-fa.spotifycdn.com/image/ab67616d00001e02da5d5aeeabacacc1263c0f4b</t>
  </si>
  <si>
    <t>https://image-cdn-ak.spotifycdn.com/image/ab67616d00001e02089511953028cbfeb095c593</t>
  </si>
  <si>
    <t>https://image-cdn-ak.spotifycdn.com/image/ab67616d00001e02758f7f6791ee819e6c2999b4</t>
  </si>
  <si>
    <t>https://image-cdn-ak.spotifycdn.com/image/ab67616d00001e02bd23af25b9cf738eb1abb755</t>
  </si>
  <si>
    <t>https://image-cdn-ak.spotifycdn.com/image/ab67616d00001e02c6c1db32c9b68f4659795763</t>
  </si>
  <si>
    <t>https://image-cdn-ak.spotifycdn.com/image/ab67616d00001e024cc52cd7a712842234e4fce2</t>
  </si>
  <si>
    <t>https://image-cdn-ak.spotifycdn.com/image/ab67616d00001e02f412f43fad4c3ffab163287c</t>
  </si>
  <si>
    <t>https://image-cdn-ak.spotifycdn.com/image/ab67616d00001e026a68798b2ac41fde44823eb5</t>
  </si>
  <si>
    <t>https://image-cdn-ak.spotifycdn.com/image/ab67616d00001e02b03d28fd5a76c2c30e7ac288</t>
  </si>
  <si>
    <t>https://image-cdn-ak.spotifycdn.com/image/ab67616d00001e020e409fad9527196e73e423ba</t>
  </si>
  <si>
    <t>https://image-cdn-ak.spotifycdn.com/image/ab67616d00001e02c4bae404f4bbdd3272717a2b</t>
  </si>
  <si>
    <t>https://image-cdn-ak.spotifycdn.com/image/ab67616d00001e02df7118c4f396e50961cc0e74</t>
  </si>
  <si>
    <t>https://image-cdn-ak.spotifycdn.com/image/ab67616d00001e02d9f261d933613dbfc199328a</t>
  </si>
  <si>
    <t>https://image-cdn-fa.spotifycdn.com/image/ab67616d00001e025f0171c63cceb32ccff8b9a9</t>
  </si>
  <si>
    <t>https://image-cdn-ak.spotifycdn.com/image/ab67616d00001e02b07c28bb3192bdfb585fb438</t>
  </si>
  <si>
    <t>https://image-cdn-ak.spotifycdn.com/image/ab67616d00001e02d6371b93dc556ff52b4cd945</t>
  </si>
  <si>
    <t>https://image-cdn-ak.spotifycdn.com/image/ab67616d00001e02ed317ec13d3de9e01fb99c9e</t>
  </si>
  <si>
    <t>https://image-cdn-fa.spotifycdn.com/image/ab67616d00001e023ad59c0dc625065abeef8bed</t>
  </si>
  <si>
    <t>https://image-cdn-fa.spotifycdn.com/image/ab67616d00001e024c3eeb98521e02693a46d6db</t>
  </si>
  <si>
    <t>https://image-cdn-ak.spotifycdn.com/image/ab67616d00001e02ec548c00d3ac2f10be73366d</t>
  </si>
  <si>
    <t>https://image-cdn-ak.spotifycdn.com/image/ab67616d00001e02ac9d5d5263e9f03802d6864c</t>
  </si>
  <si>
    <t>https://image-cdn-fa.spotifycdn.com/image/ab67616d00001e022115f08403e0dede83932409</t>
  </si>
  <si>
    <t>https://image-cdn-ak.spotifycdn.com/image/ab67616d00001e027bff89cf90806ae22a6b72df</t>
  </si>
  <si>
    <t>https://image-cdn-ak.spotifycdn.com/image/ab67616d00001e0243bb1b887f63c961473ff573</t>
  </si>
  <si>
    <t>https://image-cdn-ak.spotifycdn.com/image/ab67616d00001e027c68face1dc58127f3a7b1cc</t>
  </si>
  <si>
    <t>https://image-cdn-ak.spotifycdn.com/image/ab67616d00001e02eedca2962d36208f21037d62</t>
  </si>
  <si>
    <t>https://image-cdn-ak.spotifycdn.com/image/ab67616d00001e02cfc5eea6cfd77e89ed3ac5a4</t>
  </si>
  <si>
    <t>https://image-cdn-ak.spotifycdn.com/image/ab67616d00001e029068bf12aece9d168cc16848</t>
  </si>
  <si>
    <t>https://image-cdn-fa.spotifycdn.com/image/ab67616d00001e02de09e02aa7febf30b7c02d82</t>
  </si>
  <si>
    <t>https://image-cdn-ak.spotifycdn.com/image/ab67616d00001e0233342c57a9b2c4e04c97b3f5</t>
  </si>
  <si>
    <t>https://image-cdn-ak.spotifycdn.com/image/ab67616d00001e025048960108f204f627b294b4</t>
  </si>
  <si>
    <t>https://image-cdn-ak.spotifycdn.com/image/ab67616d00001e02e521b35f461062a93d1a8d1a</t>
  </si>
  <si>
    <t>https://image-cdn-ak.spotifycdn.com/image/ab67616d00001e02ff86507cb1a9c7645a330314</t>
  </si>
  <si>
    <t>https://image-cdn-ak.spotifycdn.com/image/ab67616d00001e02b9eeb2705c983089c2412a80</t>
  </si>
  <si>
    <t>https://image-cdn-ak.spotifycdn.com/image/ab67616d00001e0255615e9242bd96706c68a743</t>
  </si>
  <si>
    <t>https://image-cdn-ak.spotifycdn.com/image/ab67616d00001e02b1f0e17d6a48da664cbdcbe5</t>
  </si>
  <si>
    <t>https://image-cdn-fa.spotifycdn.com/image/ab67616d00001e024936b5b7caeb7524e50fd8cb</t>
  </si>
  <si>
    <t>https://image-cdn-ak.spotifycdn.com/image/ab67616d00001e02495ce6da9aeb159e94eaa453</t>
  </si>
  <si>
    <t>https://image-cdn-fa.spotifycdn.com/image/ab67616d00001e02848b466bd71bcaa46cb20030</t>
  </si>
  <si>
    <t>https://image-cdn-ak.spotifycdn.com/image/ab67616d00001e02148a06ae24e68c088d8d2954</t>
  </si>
  <si>
    <t>https://image-cdn-ak.spotifycdn.com/image/ab67616d00001e02b0dd6a5cd1dec96c4119c262</t>
  </si>
  <si>
    <t>https://image-cdn-fa.spotifycdn.com/image/ab67616d00001e0266fd0917f38d472c8576754e</t>
  </si>
  <si>
    <t>https://image-cdn-ak.spotifycdn.com/image/ab67616d00001e021c1f8ba6f584a86322f9c821</t>
  </si>
  <si>
    <t>https://image-cdn-ak.spotifycdn.com/image/ab67616d00001e02f9a2359739728d2af3284a8e</t>
  </si>
  <si>
    <t>https://image-cdn-ak.spotifycdn.com/image/ab67616d00001e0216ba2a3622bd0d0d985e3234</t>
  </si>
  <si>
    <t>https://image-cdn-ak.spotifycdn.com/image/ab67616d00001e02bd667369eaf4a5cd33358871</t>
  </si>
  <si>
    <t>https://image-cdn-ak.spotifycdn.com/image/ab67616d00001e02ea3ef7697cfd5705b8f47521</t>
  </si>
  <si>
    <t>https://image-cdn-ak.spotifycdn.com/image/ab67616d00001e028940ac99f49e44f59e6f7fb3</t>
  </si>
  <si>
    <t>https://image-cdn-ak.spotifycdn.com/image/ab67616d00001e0247580ce5990f7594ce767145</t>
  </si>
  <si>
    <t>https://image-cdn-fa.spotifycdn.com/image/ab67616d00001e02def4e543ccd1749e76df9237</t>
  </si>
  <si>
    <t>https://image-cdn-ak.spotifycdn.com/image/ab67616d00001e0215b4801ea97bec74170e35b0</t>
  </si>
  <si>
    <t>https://image-cdn-ak.spotifycdn.com/image/ab67616d00001e024718e2b124f79258be7bc452</t>
  </si>
  <si>
    <t>https://image-cdn-fa.spotifycdn.com/image/ab67616d00001e028fba5806a323efd272677c4d</t>
  </si>
  <si>
    <t>https://image-cdn-ak.spotifycdn.com/image/ab67616d00001e0214f1e73e3ff3a0f4a6801fad</t>
  </si>
  <si>
    <t>https://image-cdn-ak.spotifycdn.com/image/ab67616d00001e02f1aad814a40ec7419c234242</t>
  </si>
  <si>
    <t>https://image-cdn-ak.spotifycdn.com/image/ab67616d00001e0270cd79659edf4d5fec0840b8</t>
  </si>
  <si>
    <t>https://image-cdn-fa.spotifycdn.com/image/ab67616d00001e0238b6341d4c2a56836a650165</t>
  </si>
  <si>
    <t>https://image-cdn-ak.spotifycdn.com/image/ab67616d00001e0217e1907923e91181f38290ac</t>
  </si>
  <si>
    <t>https://image-cdn-ak.spotifycdn.com/image/ab67616d00001e027fcead687e99583072cc217b</t>
  </si>
  <si>
    <t>https://image-cdn-fa.spotifycdn.com/image/ab67616d00001e021f0d5a8ff630fd5944c3936d</t>
  </si>
  <si>
    <t>https://image-cdn-fa.spotifycdn.com/image/ab67616d00001e02a9e75099d7065c71cc7ede72</t>
  </si>
  <si>
    <t>https://image-cdn-ak.spotifycdn.com/image/ab67616d00001e021b51f809c31f0d98f67c0b7d</t>
  </si>
  <si>
    <t>https://image-cdn-ak.spotifycdn.com/image/ab67616d00001e027e3722344b0226b81ae8b50c</t>
  </si>
  <si>
    <t>https://image-cdn-ak.spotifycdn.com/image/ab67616d00001e026ca5c90113b30c3c43ffb8f4</t>
  </si>
  <si>
    <t>https://image-cdn-ak.spotifycdn.com/image/ab67616d00001e02c2f18ddba993ab67b989bcb8</t>
  </si>
  <si>
    <t>https://image-cdn-ak.spotifycdn.com/image/ab67616d00001e021dac3694b3289cd903cb3acf</t>
  </si>
  <si>
    <t>https://image-cdn-fa.spotifycdn.com/image/ab67616d00001e027c0a3b32051a3ca160de361a</t>
  </si>
  <si>
    <t>https://image-cdn-ak.spotifycdn.com/image/ab67616d00001e02a866e6634ca8152aaa3834c1</t>
  </si>
  <si>
    <t>https://image-cdn-fa.spotifycdn.com/image/ab67616d00001e02867f5a2310b84cf508f9764b</t>
  </si>
  <si>
    <t>https://image-cdn-ak.spotifycdn.com/image/ab67616d00001e028506a90b18ea14d43031cbac</t>
  </si>
  <si>
    <t>https://image-cdn-ak.spotifycdn.com/image/ab67616d00001e02fc2101e6889d6ce9025f85f2</t>
  </si>
  <si>
    <t>https://image-cdn-ak.spotifycdn.com/image/ab67616d00001e02ba5db46f4b838ef6027e6f96</t>
  </si>
  <si>
    <t>https://image-cdn-fa.spotifycdn.com/image/ab67616d00001e02fadf4f897c40ac7a63c6b458</t>
  </si>
  <si>
    <t>https://image-cdn-ak.spotifycdn.com/image/ab67616d00001e025c99217c0a33291dcd4e0242</t>
  </si>
  <si>
    <t>https://image-cdn-ak.spotifycdn.com/image/ab67616d00001e02369bcf083996da3c3b6d1f40</t>
  </si>
  <si>
    <t>https://image-cdn-fa.spotifycdn.com/image/ab67616d00001e0221ebf49b3292c3f0f575f0f5</t>
  </si>
  <si>
    <t>https://image-cdn-fa.spotifycdn.com/image/ab67616d00001e029a8d41dca4c7d0ef23d76dd7</t>
  </si>
  <si>
    <t>https://image-cdn-ak.spotifycdn.com/image/ab67616d00001e02e0fbf6a385b20094a1898863</t>
  </si>
  <si>
    <t>https://image-cdn-ak.spotifycdn.com/image/ab67616d00001e024cb2f1ba021f56ca81eedb11</t>
  </si>
  <si>
    <t>https://image-cdn-fa.spotifycdn.com/image/ab67616d00001e02fd56f3c7a294f5cfe51c7b17</t>
  </si>
  <si>
    <t>https://image-cdn-ak.spotifycdn.com/image/ab67616d00001e02509342e69eb341df70e5c2e3</t>
  </si>
  <si>
    <t>https://image-cdn-ak.spotifycdn.com/image/ab67616d00001e028cefe8e2f2cfd63ce073fa96</t>
  </si>
  <si>
    <t>https://image-cdn-ak.spotifycdn.com/image/ab67616d00001e02d6ea5517624ec7a6058650a1</t>
  </si>
  <si>
    <t>https://image-cdn-fa.spotifycdn.com/image/ab67616d00001e02af0aff7f601df9ed6d2d531d</t>
  </si>
  <si>
    <t>https://image-cdn-ak.spotifycdn.com/image/ab67616d00001e027b1b6f41c1645af9757d5616</t>
  </si>
  <si>
    <t>https://image-cdn-ak.spotifycdn.com/image/ab67616d00001e0285889b9e026c0c175d73c381</t>
  </si>
  <si>
    <t>https://image-cdn-ak.spotifycdn.com/image/ab67616d00001e024601ead4fc2b9b65627b8298</t>
  </si>
  <si>
    <t>Danceability:</t>
  </si>
  <si>
    <t>Energy:</t>
  </si>
  <si>
    <t>Valence:</t>
  </si>
  <si>
    <t>Loudness:</t>
  </si>
  <si>
    <t>Acousticness:</t>
  </si>
  <si>
    <t>Liveness:</t>
  </si>
  <si>
    <t>Speechiness:</t>
  </si>
  <si>
    <t>Column</t>
  </si>
  <si>
    <t>Measures how suitable a track is for dancing based on tempo, rhythm stability, beat strength, and overall regularity. 0 = least danceable, 100 = most danceable.</t>
  </si>
  <si>
    <t>Represents a perceptual measure of intensity and activity. Typically, energetic tracks feel fast, loud, and noisy. 0 = calm, 100 = intense.</t>
  </si>
  <si>
    <t>Describes the musical positiveness conveyed by a track. High valence = happy, cheerful, euphoric. Low valence = sad, depressed, angry. 0 = negative, 100 = positive.</t>
  </si>
  <si>
    <t>The overall estimated tempo of a track in beats per minute (BPM).</t>
  </si>
  <si>
    <t>The overall loudness of a track. Values typically range between 0 (quiet) and 100 (loud).</t>
  </si>
  <si>
    <t>A confidence measure of whether the track is acoustic. 100 = high confidence the track is acoustic, 0 = not acoustic.</t>
  </si>
  <si>
    <t>Detects the presence of spoken words in a track. Values above 66 = probably entirely spoken word (podcast, audiobook). 33-66 = probably music with some spoken words (rap). Below 33 = mostly music.</t>
  </si>
  <si>
    <t>Presence of an audience in the recording. Higher values =  the track was performed live.</t>
  </si>
  <si>
    <t>DEGENERE (feat. benny blanco)</t>
  </si>
  <si>
    <t>blackout</t>
  </si>
  <si>
    <t>03:05:00</t>
  </si>
  <si>
    <t>14/8/2026</t>
  </si>
  <si>
    <t>02:48:00</t>
  </si>
  <si>
    <t>02:55:00</t>
  </si>
  <si>
    <t>7/8/2026</t>
  </si>
  <si>
    <t>03:18:00</t>
  </si>
  <si>
    <t>01:02:00</t>
  </si>
  <si>
    <t>03:28:00</t>
  </si>
  <si>
    <t>10/7/2026</t>
  </si>
  <si>
    <t>3/7/2026</t>
  </si>
  <si>
    <t>19/6/2026</t>
  </si>
  <si>
    <t>03:12:00</t>
  </si>
  <si>
    <t>12/6/2026</t>
  </si>
  <si>
    <t>5/6/2026</t>
  </si>
  <si>
    <t>29/5/2026</t>
  </si>
  <si>
    <t>22/5/2026</t>
  </si>
  <si>
    <t>15/5/2026</t>
  </si>
  <si>
    <t>1/5/2026</t>
  </si>
  <si>
    <t>24/4/2026</t>
  </si>
  <si>
    <t>03:48:00</t>
  </si>
  <si>
    <t>17/4/2026</t>
  </si>
  <si>
    <t>10/4/2026</t>
  </si>
  <si>
    <t>3/4/2026</t>
  </si>
  <si>
    <t>03:35:00</t>
  </si>
  <si>
    <t>27/3/2026</t>
  </si>
  <si>
    <t>03:02:00</t>
  </si>
  <si>
    <t>20/3/2026</t>
  </si>
  <si>
    <t>03:56:00</t>
  </si>
  <si>
    <t>03:22:00</t>
  </si>
  <si>
    <t>13/3/2026</t>
  </si>
  <si>
    <t>6/3/2026</t>
  </si>
  <si>
    <t>03:38:00</t>
  </si>
  <si>
    <t>02:28:00</t>
  </si>
  <si>
    <t>27/2/2026</t>
  </si>
  <si>
    <t>20/2/2026</t>
  </si>
  <si>
    <t>13/2/2026</t>
  </si>
  <si>
    <t>30/1/2026</t>
  </si>
  <si>
    <t>02:35:00</t>
  </si>
  <si>
    <t>23/1/2026</t>
  </si>
  <si>
    <t>16/1/2026</t>
  </si>
  <si>
    <t>9/1/2026</t>
  </si>
  <si>
    <t>2/1/2026</t>
  </si>
  <si>
    <t>03:42:00</t>
  </si>
  <si>
    <t>14/11/2025</t>
  </si>
  <si>
    <t>7/11/2025</t>
  </si>
  <si>
    <t>03:08:00</t>
  </si>
  <si>
    <t>04:12:00</t>
  </si>
  <si>
    <t>24/10/2025</t>
  </si>
  <si>
    <t>17/10/2025</t>
  </si>
  <si>
    <t>3/10/2025</t>
  </si>
  <si>
    <t>04:11:00</t>
  </si>
  <si>
    <t>26/9/2025</t>
  </si>
  <si>
    <t>19/9/2025</t>
  </si>
  <si>
    <t>12/9/2025</t>
  </si>
  <si>
    <t>03:15:00</t>
  </si>
  <si>
    <t>01:18:00</t>
  </si>
  <si>
    <t>5/9/2025</t>
  </si>
  <si>
    <t>29/8/2025</t>
  </si>
  <si>
    <t>04:05:00</t>
  </si>
  <si>
    <t>03:32:00</t>
  </si>
  <si>
    <t>22/8/2025</t>
  </si>
  <si>
    <t>15/8/2025</t>
  </si>
  <si>
    <t>02:42:00</t>
  </si>
  <si>
    <t>8/8/2025</t>
  </si>
  <si>
    <t>1/8/2025</t>
  </si>
  <si>
    <t>04:18:00</t>
  </si>
  <si>
    <t>18/7/2025</t>
  </si>
  <si>
    <t>04:28:00</t>
  </si>
  <si>
    <t>03:25:00</t>
  </si>
  <si>
    <t>11/7/2025</t>
  </si>
  <si>
    <t>27/6/2025</t>
  </si>
  <si>
    <t>20/6/2025</t>
  </si>
  <si>
    <t>03:14:00</t>
  </si>
  <si>
    <t>13/6/2025</t>
  </si>
  <si>
    <t>02:18:00</t>
  </si>
  <si>
    <t>6/6/2025</t>
  </si>
  <si>
    <t>03:20:00</t>
  </si>
  <si>
    <t>30/5/2025</t>
  </si>
  <si>
    <t>03:00:00</t>
  </si>
  <si>
    <t>16/5/2025</t>
  </si>
  <si>
    <t>is_christmas</t>
  </si>
  <si>
    <t>Explicit</t>
  </si>
  <si>
    <t>METRIC</t>
  </si>
  <si>
    <t>VALUE</t>
  </si>
  <si>
    <t>Total Songs</t>
  </si>
  <si>
    <t>Hits (Top 10)</t>
  </si>
  <si>
    <t>Intermediate Hits (11-50)</t>
  </si>
  <si>
    <t>Minor Hits (51-200)</t>
  </si>
  <si>
    <t>Christmas Tracks</t>
  </si>
  <si>
    <t>Unique Artists</t>
  </si>
  <si>
    <t>Jung Kook</t>
  </si>
  <si>
    <t>Saja Boys</t>
  </si>
  <si>
    <t>Jombriel</t>
  </si>
  <si>
    <t>Oruam</t>
  </si>
  <si>
    <t>Idina Menzel</t>
  </si>
  <si>
    <t>Clave Especial</t>
  </si>
  <si>
    <t>HUNTR/X</t>
  </si>
  <si>
    <t>Sam Fender</t>
  </si>
  <si>
    <t>J. Eskine</t>
  </si>
  <si>
    <t>Grupo Frontera</t>
  </si>
  <si>
    <t>Justin Timberlake</t>
  </si>
  <si>
    <t>Sachet-Parampara</t>
  </si>
  <si>
    <t>MOLIY</t>
  </si>
  <si>
    <t>HUGEL</t>
  </si>
  <si>
    <t>Karan Aujla</t>
  </si>
  <si>
    <t>Gorillaz</t>
  </si>
  <si>
    <t>ANOTR</t>
  </si>
  <si>
    <t>Blessd</t>
  </si>
  <si>
    <t>J Balvin</t>
  </si>
  <si>
    <t>wifiskeleton</t>
  </si>
  <si>
    <t>Shakira</t>
  </si>
  <si>
    <t>Rauw Alejandro</t>
  </si>
  <si>
    <t>David Guetta</t>
  </si>
  <si>
    <t>DJ Snake</t>
  </si>
  <si>
    <t>Myke Towers</t>
  </si>
  <si>
    <t>Kato</t>
  </si>
  <si>
    <t>João Gustavo e Murilo</t>
  </si>
  <si>
    <t>Shashwat Sachdev</t>
  </si>
  <si>
    <t>Adam Port</t>
  </si>
  <si>
    <t>Falling In Reverse</t>
  </si>
  <si>
    <t>Luis R Conriquez</t>
  </si>
  <si>
    <t>Tanishk Bagchi</t>
  </si>
  <si>
    <t>Coolio</t>
  </si>
  <si>
    <t>Selena Gomez</t>
  </si>
  <si>
    <t>KITSCHKRIEG</t>
  </si>
  <si>
    <t>Mithoon</t>
  </si>
  <si>
    <t>Dj Guuga</t>
  </si>
  <si>
    <t>PEDRO SAMPAIO</t>
  </si>
  <si>
    <t>Pashanim</t>
  </si>
  <si>
    <t>Sam Barber</t>
  </si>
  <si>
    <t>Repsaj</t>
  </si>
  <si>
    <t>Jack Harlow</t>
  </si>
  <si>
    <t>Eurythmics</t>
  </si>
  <si>
    <t>HAVEN.</t>
  </si>
  <si>
    <t>Oscar Maydon</t>
  </si>
  <si>
    <t>Mora</t>
  </si>
  <si>
    <t>Eartha Kitt</t>
  </si>
  <si>
    <t>Tenxi</t>
  </si>
  <si>
    <t>Fred again..</t>
  </si>
  <si>
    <t>P!nk</t>
  </si>
  <si>
    <t>Omar Camacho</t>
  </si>
  <si>
    <t>Gotye</t>
  </si>
  <si>
    <t>Rizky Febian</t>
  </si>
  <si>
    <t>Jeninho</t>
  </si>
  <si>
    <t>John Lennon</t>
  </si>
  <si>
    <t>Léo Foguete</t>
  </si>
  <si>
    <t>Miguel Bueno</t>
  </si>
  <si>
    <t>Chrystal</t>
  </si>
  <si>
    <t>Felipe Amorim</t>
  </si>
  <si>
    <t>UZI</t>
  </si>
  <si>
    <t>Alemán</t>
  </si>
  <si>
    <t>Gwen Stefani</t>
  </si>
  <si>
    <t>Mac Miller</t>
  </si>
  <si>
    <t>Xavi</t>
  </si>
  <si>
    <t>Ryan Castro</t>
  </si>
  <si>
    <t>Don Omar</t>
  </si>
  <si>
    <t>Emilia</t>
  </si>
  <si>
    <t>Nelly Furtado</t>
  </si>
  <si>
    <t>Oldilla</t>
  </si>
  <si>
    <t>JAŸ-Z</t>
  </si>
  <si>
    <t>Young Cister</t>
  </si>
  <si>
    <t>Wizkid</t>
  </si>
  <si>
    <t>mikeeysmind</t>
  </si>
  <si>
    <t>Future</t>
  </si>
  <si>
    <t>Bizarrap</t>
  </si>
  <si>
    <t>ARJN</t>
  </si>
  <si>
    <t>De La Rose</t>
  </si>
  <si>
    <t>Mark Ronson</t>
  </si>
  <si>
    <t>21 Savage</t>
  </si>
  <si>
    <t>French Montana</t>
  </si>
  <si>
    <t>Jennifer Lopez</t>
  </si>
  <si>
    <t>Lil Baby</t>
  </si>
  <si>
    <t>Sleepy Hallow</t>
  </si>
  <si>
    <t>Sefo</t>
  </si>
  <si>
    <t>The Pogues</t>
  </si>
  <si>
    <t>Pitbull</t>
  </si>
  <si>
    <t>Disco Lines</t>
  </si>
  <si>
    <t>Dave</t>
  </si>
  <si>
    <t>Anurag Saikia</t>
  </si>
  <si>
    <t>Disney</t>
  </si>
  <si>
    <t>Naughty Boy</t>
  </si>
  <si>
    <t>Mitta Ror</t>
  </si>
  <si>
    <t>Tainy</t>
  </si>
  <si>
    <t>Jere Klein</t>
  </si>
  <si>
    <t>Sean Paul</t>
  </si>
  <si>
    <t>Yb Wasg'ood</t>
  </si>
  <si>
    <t>Alleh</t>
  </si>
  <si>
    <t>DJ Japa NK</t>
  </si>
  <si>
    <t>DG e Batidão Stronda</t>
  </si>
  <si>
    <t>Carín León</t>
  </si>
  <si>
    <t>Gabito Ballesteros</t>
  </si>
  <si>
    <t>Panda</t>
  </si>
  <si>
    <t>Major Lazer</t>
  </si>
  <si>
    <t>Maanu</t>
  </si>
  <si>
    <t>Pimmie</t>
  </si>
  <si>
    <t>Fourtwnty</t>
  </si>
  <si>
    <t>Tkandz</t>
  </si>
  <si>
    <t>Lil Peep</t>
  </si>
  <si>
    <t>Nilo</t>
  </si>
  <si>
    <t>Central Cee</t>
  </si>
  <si>
    <t>MC GP</t>
  </si>
  <si>
    <t>Jasleen Royal</t>
  </si>
  <si>
    <t>Sean Kingston</t>
  </si>
  <si>
    <t>eńau</t>
  </si>
  <si>
    <t>Cardi B</t>
  </si>
  <si>
    <t>B.o.B</t>
  </si>
  <si>
    <t>LATIN MAFIA</t>
  </si>
  <si>
    <t>Ozuna</t>
  </si>
  <si>
    <t>Rumi</t>
  </si>
  <si>
    <t>Chuyin</t>
  </si>
  <si>
    <t>Sexyy Red</t>
  </si>
  <si>
    <t>Dj Caio Vieira</t>
  </si>
  <si>
    <t>Romeo Santos</t>
  </si>
  <si>
    <t>Kushagra</t>
  </si>
  <si>
    <t>Olly</t>
  </si>
  <si>
    <t>GloRilla</t>
  </si>
  <si>
    <t>Jack Ü</t>
  </si>
  <si>
    <t>Régulo Molina</t>
  </si>
  <si>
    <t>Ya Ice Dilan</t>
  </si>
  <si>
    <t>Arcane</t>
  </si>
  <si>
    <t>Vishal Mishra</t>
  </si>
  <si>
    <t>Perry Como</t>
  </si>
  <si>
    <t>Silet Open Up</t>
  </si>
  <si>
    <t>The Chainsmokers</t>
  </si>
  <si>
    <t>Brenno &amp; Matheus</t>
  </si>
  <si>
    <t>W Sound</t>
  </si>
  <si>
    <t>T-Pain</t>
  </si>
  <si>
    <t>DJ Gu</t>
  </si>
  <si>
    <t>MC Tuto</t>
  </si>
  <si>
    <t>Victor Valverde</t>
  </si>
  <si>
    <t>Jorsshh</t>
  </si>
  <si>
    <t>BigXthaPlug</t>
  </si>
  <si>
    <t>Lil Wayne</t>
  </si>
  <si>
    <t>The Rish</t>
  </si>
  <si>
    <t>V</t>
  </si>
  <si>
    <t>Henry Freitas</t>
  </si>
  <si>
    <t>Feid</t>
  </si>
  <si>
    <t>Ovy On The Drums</t>
  </si>
  <si>
    <t>Fat Papi</t>
  </si>
  <si>
    <t>Veigh</t>
  </si>
  <si>
    <t>F1 The Album</t>
  </si>
  <si>
    <t>Andrew Choi</t>
  </si>
  <si>
    <t>Neckwav</t>
  </si>
  <si>
    <t>Danny Chung</t>
  </si>
  <si>
    <t>KEVIN WOO</t>
  </si>
  <si>
    <t>samUIL Lee</t>
  </si>
  <si>
    <t>KPop Demon Hunters Cast</t>
  </si>
  <si>
    <t>The Andrews Sisters</t>
  </si>
  <si>
    <t>Alex Krack</t>
  </si>
  <si>
    <t>Jøtta</t>
  </si>
  <si>
    <t>NDS</t>
  </si>
  <si>
    <t>Rippy Grewal</t>
  </si>
  <si>
    <t>ΣP</t>
  </si>
  <si>
    <t>Zé Felipe</t>
  </si>
  <si>
    <t>Dj Lc da Roça</t>
  </si>
  <si>
    <t>Mc Rodrigo do CN</t>
  </si>
  <si>
    <t>MC K9</t>
  </si>
  <si>
    <t>mc pl alves</t>
  </si>
  <si>
    <t>Flo Milli</t>
  </si>
  <si>
    <t>DFZM</t>
  </si>
  <si>
    <t>Roni</t>
  </si>
  <si>
    <t>Gael Valenzuela</t>
  </si>
  <si>
    <t>Edgardo Nuñez</t>
  </si>
  <si>
    <t>EJAE</t>
  </si>
  <si>
    <t>AUDREY NUNA</t>
  </si>
  <si>
    <t>REI AMI</t>
  </si>
  <si>
    <t>Alef Donk</t>
  </si>
  <si>
    <t>Yebba</t>
  </si>
  <si>
    <t>Grupo Firme</t>
  </si>
  <si>
    <t>Timbaland</t>
  </si>
  <si>
    <t>Sachet Tandon</t>
  </si>
  <si>
    <t>Parampara Tandon</t>
  </si>
  <si>
    <t>Irshad Kamil</t>
  </si>
  <si>
    <t>Prashant Pandey</t>
  </si>
  <si>
    <t>Shenseea</t>
  </si>
  <si>
    <t>Skillibeng</t>
  </si>
  <si>
    <t>Silent Addy</t>
  </si>
  <si>
    <t>Swae Lee</t>
  </si>
  <si>
    <t>Elvis Crespo</t>
  </si>
  <si>
    <t>SOLTO (FR)</t>
  </si>
  <si>
    <t>Hans Zimmer</t>
  </si>
  <si>
    <t>Lefty Gunplay</t>
  </si>
  <si>
    <t>Ikky</t>
  </si>
  <si>
    <t>De La Soul</t>
  </si>
  <si>
    <t>54 Ultra</t>
  </si>
  <si>
    <t>i wanna be a jack-o-lantern</t>
  </si>
  <si>
    <t>Burna Boy</t>
  </si>
  <si>
    <t>benny blanco</t>
  </si>
  <si>
    <t>Jelly Roll</t>
  </si>
  <si>
    <t>Jhené Aiko</t>
  </si>
  <si>
    <t>Khalid</t>
  </si>
  <si>
    <t>Jon</t>
  </si>
  <si>
    <t>Anitta</t>
  </si>
  <si>
    <t>Grelo</t>
  </si>
  <si>
    <t>Bombay Rockers</t>
  </si>
  <si>
    <t>Khan Saab</t>
  </si>
  <si>
    <t>Reble</t>
  </si>
  <si>
    <t>Token</t>
  </si>
  <si>
    <t>Jasmine Sandlas</t>
  </si>
  <si>
    <t>Sudhir Yaduvanshi</t>
  </si>
  <si>
    <t>Stryv</t>
  </si>
  <si>
    <t>Orso</t>
  </si>
  <si>
    <t>Malachiii</t>
  </si>
  <si>
    <t>Corey Taylor</t>
  </si>
  <si>
    <t>Serj Tankian</t>
  </si>
  <si>
    <t>Faheem Abdullah</t>
  </si>
  <si>
    <t>Arslan Nizami</t>
  </si>
  <si>
    <t>L.V.</t>
  </si>
  <si>
    <t>Blumengarten</t>
  </si>
  <si>
    <t>Shirin David</t>
  </si>
  <si>
    <t>Arijit Singh</t>
  </si>
  <si>
    <t>Mc Livinho</t>
  </si>
  <si>
    <t>Mc Gw</t>
  </si>
  <si>
    <t>Mc Jhey</t>
  </si>
  <si>
    <t>MC Nito</t>
  </si>
  <si>
    <t>Ceren</t>
  </si>
  <si>
    <t>Avery Anna</t>
  </si>
  <si>
    <t>Speedy</t>
  </si>
  <si>
    <t>Pharrell Williams</t>
  </si>
  <si>
    <t>H.E.R.</t>
  </si>
  <si>
    <t>RaiNao</t>
  </si>
  <si>
    <t>Annie Lennox</t>
  </si>
  <si>
    <t>Dave Stewart</t>
  </si>
  <si>
    <t>Yung Beef</t>
  </si>
  <si>
    <t>Kaitlin Aragon</t>
  </si>
  <si>
    <t>Wiz Khalifa</t>
  </si>
  <si>
    <t>Ñengo Flow</t>
  </si>
  <si>
    <t>C. Tangana</t>
  </si>
  <si>
    <t>Colby O'Donis</t>
  </si>
  <si>
    <t>Henri René and His Orchestra</t>
  </si>
  <si>
    <t>Jemsii</t>
  </si>
  <si>
    <t>Naykilla</t>
  </si>
  <si>
    <t>Ati242</t>
  </si>
  <si>
    <t>Skepta</t>
  </si>
  <si>
    <t>PlaqueBoyMax</t>
  </si>
  <si>
    <t>Nate Ruess</t>
  </si>
  <si>
    <t>Angel Almaguer</t>
  </si>
  <si>
    <t>$HUPE</t>
  </si>
  <si>
    <t>Kimbra</t>
  </si>
  <si>
    <t>Shreya Ghoshal</t>
  </si>
  <si>
    <t>Adrian Khalif</t>
  </si>
  <si>
    <t>Mariana Fagundes</t>
  </si>
  <si>
    <t>Robin Schulz</t>
  </si>
  <si>
    <t>Kyla</t>
  </si>
  <si>
    <t>bees &amp; honey</t>
  </si>
  <si>
    <t>Ryan Lewis</t>
  </si>
  <si>
    <t>Macklemore &amp; Ryan Lewis</t>
  </si>
  <si>
    <t>Ray Dalton</t>
  </si>
  <si>
    <t>Yoko Ono</t>
  </si>
  <si>
    <t>Acertei</t>
  </si>
  <si>
    <t>Juan Duque</t>
  </si>
  <si>
    <t>Jowell &amp; Randy</t>
  </si>
  <si>
    <t>Yeat</t>
  </si>
  <si>
    <t>NOTION</t>
  </si>
  <si>
    <t>Dj Samir</t>
  </si>
  <si>
    <t>DJ Javi26</t>
  </si>
  <si>
    <t>Vitão</t>
  </si>
  <si>
    <t>BIN</t>
  </si>
  <si>
    <t>Malibu</t>
  </si>
  <si>
    <t>Latto</t>
  </si>
  <si>
    <t>Jay Rock</t>
  </si>
  <si>
    <t>Motive</t>
  </si>
  <si>
    <t>Blake Shelton</t>
  </si>
  <si>
    <t>Ye</t>
  </si>
  <si>
    <t>Andre Troutman</t>
  </si>
  <si>
    <t>Manuel Turizo</t>
  </si>
  <si>
    <t>Björk</t>
  </si>
  <si>
    <t>Yves Tumor</t>
  </si>
  <si>
    <t>AZ Chike</t>
  </si>
  <si>
    <t>Bradley Cooper</t>
  </si>
  <si>
    <t>Kapo</t>
  </si>
  <si>
    <t>Gangsta</t>
  </si>
  <si>
    <t>Lucenzo</t>
  </si>
  <si>
    <t>Robert Smith</t>
  </si>
  <si>
    <t>TINI</t>
  </si>
  <si>
    <t>Nicki Nicole</t>
  </si>
  <si>
    <t>Shania Twain</t>
  </si>
  <si>
    <t>Mc Iguinho Ct</t>
  </si>
  <si>
    <t>MC Willian</t>
  </si>
  <si>
    <t>Aaron Modesto</t>
  </si>
  <si>
    <t>Mc Negão Original</t>
  </si>
  <si>
    <t>DU'L</t>
  </si>
  <si>
    <t>Dj Aladin GDB</t>
  </si>
  <si>
    <t>Florence + The Machine</t>
  </si>
  <si>
    <t>Alicia Keys</t>
  </si>
  <si>
    <t>Ty Dolla $ign</t>
  </si>
  <si>
    <t>Kreamly</t>
  </si>
  <si>
    <t>Asake</t>
  </si>
  <si>
    <t>Chill77</t>
  </si>
  <si>
    <t>Unjaps</t>
  </si>
  <si>
    <t>Lil B</t>
  </si>
  <si>
    <t>Metro Boomin</t>
  </si>
  <si>
    <t>Kali Uchis</t>
  </si>
  <si>
    <t>Daddy Yankee</t>
  </si>
  <si>
    <t>Brent Faiyaz</t>
  </si>
  <si>
    <t>KDS</t>
  </si>
  <si>
    <t>FIFTY4</t>
  </si>
  <si>
    <t>Simone Mendes</t>
  </si>
  <si>
    <t>Molly Santana</t>
  </si>
  <si>
    <t>Young Thug</t>
  </si>
  <si>
    <t>Demet Akalın</t>
  </si>
  <si>
    <t>Kenny Rogers</t>
  </si>
  <si>
    <t>Kirsty MacColl</t>
  </si>
  <si>
    <t>Cash Cobain</t>
  </si>
  <si>
    <t>Eddie Benjamin</t>
  </si>
  <si>
    <t>Ken Darby Singers</t>
  </si>
  <si>
    <t>John Scott Trotter &amp; His Orchestra</t>
  </si>
  <si>
    <t>Freshlyground</t>
  </si>
  <si>
    <t>Wyclef Jean</t>
  </si>
  <si>
    <t>Kesha</t>
  </si>
  <si>
    <t>Tinashe</t>
  </si>
  <si>
    <t>Marco Antonio Solís</t>
  </si>
  <si>
    <t>Judeline</t>
  </si>
  <si>
    <t>rusowsky</t>
  </si>
  <si>
    <t>Dougie F</t>
  </si>
  <si>
    <t>MC Meno K</t>
  </si>
  <si>
    <t>Melody</t>
  </si>
  <si>
    <t>Clams Casino</t>
  </si>
  <si>
    <t>Bomba Estéreo</t>
  </si>
  <si>
    <t>The Puppini Sisters</t>
  </si>
  <si>
    <t>Qendresa</t>
  </si>
  <si>
    <t>Tems</t>
  </si>
  <si>
    <t>Raj Shekhar</t>
  </si>
  <si>
    <t>Romy</t>
  </si>
  <si>
    <t>Amarabha Banerjee</t>
  </si>
  <si>
    <t>Varun Jain</t>
  </si>
  <si>
    <t>Madhubanti Bagchi</t>
  </si>
  <si>
    <t>Mismatched - Cast</t>
  </si>
  <si>
    <t>Swara Verma</t>
  </si>
  <si>
    <t>Nueva H</t>
  </si>
  <si>
    <t>Madison McFerrin</t>
  </si>
  <si>
    <t>Julia Wolf</t>
  </si>
  <si>
    <t>Katteyes</t>
  </si>
  <si>
    <t>Mateo on the Beatz</t>
  </si>
  <si>
    <t>Ariis</t>
  </si>
  <si>
    <t>MC PR</t>
  </si>
  <si>
    <t>Yorghaki</t>
  </si>
  <si>
    <t>MC Ryan SP</t>
  </si>
  <si>
    <t>Mc Jacaré</t>
  </si>
  <si>
    <t>DJ DAVI DOGDOG</t>
  </si>
  <si>
    <t>Mc Davi</t>
  </si>
  <si>
    <t>MC G15</t>
  </si>
  <si>
    <t>AliSoomroMusic</t>
  </si>
  <si>
    <t>JHAYCO</t>
  </si>
  <si>
    <t>AFROJACK</t>
  </si>
  <si>
    <t>Ne-Yo</t>
  </si>
  <si>
    <t>Nayer</t>
  </si>
  <si>
    <t>MJ Records</t>
  </si>
  <si>
    <t>ZAYN</t>
  </si>
  <si>
    <t>MØ</t>
  </si>
  <si>
    <t>Annural Khalid</t>
  </si>
  <si>
    <t>Rema</t>
  </si>
  <si>
    <t>Charita Utami</t>
  </si>
  <si>
    <t>CXSPER</t>
  </si>
  <si>
    <t>Stevie Wonder</t>
  </si>
  <si>
    <t>rainy bear</t>
  </si>
  <si>
    <t>B. Swanson Quartet</t>
  </si>
  <si>
    <t>Yahritza Y Su Esencia</t>
  </si>
  <si>
    <t>Gesaffelstein</t>
  </si>
  <si>
    <t>Mc Paiva ZS</t>
  </si>
  <si>
    <t>DJ Di Marques</t>
  </si>
  <si>
    <t>Tropa da W&amp;S</t>
  </si>
  <si>
    <t>FamousKyo</t>
  </si>
  <si>
    <t>Kadu Martins</t>
  </si>
  <si>
    <t>Bebe Rexha</t>
  </si>
  <si>
    <t>Mc Lele JP</t>
  </si>
  <si>
    <t>Dj Andrabeat</t>
  </si>
  <si>
    <t>Stebin Ben</t>
  </si>
  <si>
    <t>Vijay Deverakonda</t>
  </si>
  <si>
    <t>Radhikka Madan</t>
  </si>
  <si>
    <t>Priya Saraiya</t>
  </si>
  <si>
    <t>Aditya Sharma</t>
  </si>
  <si>
    <t>Dijon</t>
  </si>
  <si>
    <t>Kausar Munir</t>
  </si>
  <si>
    <t>Imael Angel</t>
  </si>
  <si>
    <t>Ultra Naté</t>
  </si>
  <si>
    <t>Ari Lesmana</t>
  </si>
  <si>
    <t>Rico Ace</t>
  </si>
  <si>
    <t>Jinu</t>
  </si>
  <si>
    <t>Sech</t>
  </si>
  <si>
    <t>Jaden</t>
  </si>
  <si>
    <t>Armaan Khan</t>
  </si>
  <si>
    <t>Druski</t>
  </si>
  <si>
    <t>LENCHO</t>
  </si>
  <si>
    <t>Prince Royce</t>
  </si>
  <si>
    <t>Dwele</t>
  </si>
  <si>
    <t>Bharath</t>
  </si>
  <si>
    <t>Saaheal</t>
  </si>
  <si>
    <t>Chuwi</t>
  </si>
  <si>
    <t>Justice</t>
  </si>
  <si>
    <t>Keyshia Cole</t>
  </si>
  <si>
    <t>Topic</t>
  </si>
  <si>
    <t>Arash</t>
  </si>
  <si>
    <t>Daecolm</t>
  </si>
  <si>
    <t>Juli</t>
  </si>
  <si>
    <t>Hanumankind</t>
  </si>
  <si>
    <t>Charanjit Ahuja</t>
  </si>
  <si>
    <t>Muhammad Sadiq</t>
  </si>
  <si>
    <t>Ranjit Kaur</t>
  </si>
  <si>
    <t>Babu Singh Maan</t>
  </si>
  <si>
    <t>Skrillex</t>
  </si>
  <si>
    <t>Diplo</t>
  </si>
  <si>
    <t>Ovi</t>
  </si>
  <si>
    <t>Rey Tony</t>
  </si>
  <si>
    <t>Helabusador</t>
  </si>
  <si>
    <t>JipMusic Global</t>
  </si>
  <si>
    <t>Dj Honda</t>
  </si>
  <si>
    <t>NATTAN</t>
  </si>
  <si>
    <t>Stromae</t>
  </si>
  <si>
    <t>Pomme</t>
  </si>
  <si>
    <t>Farruko</t>
  </si>
  <si>
    <t>Arcángel</t>
  </si>
  <si>
    <t>DJ Luian</t>
  </si>
  <si>
    <t>Mambo Kingz</t>
  </si>
  <si>
    <t>Hansika Pareek</t>
  </si>
  <si>
    <t>Sheck Wes</t>
  </si>
  <si>
    <t>Childish Gambino</t>
  </si>
  <si>
    <t>The Fontane Sisters</t>
  </si>
  <si>
    <t>Mitchell Ayres &amp; His Orchestra</t>
  </si>
  <si>
    <t>Jacson Seran</t>
  </si>
  <si>
    <t>Juan Reza</t>
  </si>
  <si>
    <t>Diva Aurel</t>
  </si>
  <si>
    <t>Zacari</t>
  </si>
  <si>
    <t>Nicki Minaj</t>
  </si>
  <si>
    <t>DJ Ari SL</t>
  </si>
  <si>
    <t>Chencho Corleone</t>
  </si>
  <si>
    <t>Los Pleneros de la Cresta</t>
  </si>
  <si>
    <t>Chance the Rapper</t>
  </si>
  <si>
    <t>Ludacris</t>
  </si>
  <si>
    <t>MC Vine7</t>
  </si>
  <si>
    <t>MC Joãozinho VT</t>
  </si>
  <si>
    <t>Mc Dkziin</t>
  </si>
  <si>
    <t>MC Fr da Norte</t>
  </si>
  <si>
    <t>DJ Glenner</t>
  </si>
  <si>
    <t>JR Torres</t>
  </si>
  <si>
    <t>Satinder Sartaaj</t>
  </si>
  <si>
    <t>slxughter</t>
  </si>
  <si>
    <t>Dysbit</t>
  </si>
  <si>
    <t>Bailey Zimmerman</t>
  </si>
  <si>
    <t>Clementine Douglas</t>
  </si>
  <si>
    <t>Halsey</t>
  </si>
  <si>
    <t>Jubin Nautiyal</t>
  </si>
  <si>
    <t>Lily-Rose Depp</t>
  </si>
  <si>
    <t>Park Hyo Shin</t>
  </si>
  <si>
    <t>Mc Th</t>
  </si>
  <si>
    <t>Daft Punk</t>
  </si>
  <si>
    <t>Ellie Goulding</t>
  </si>
  <si>
    <t>ATL Jacob</t>
  </si>
  <si>
    <t>Dei V</t>
  </si>
  <si>
    <t>Yan Block</t>
  </si>
  <si>
    <t>Luar La L</t>
  </si>
  <si>
    <t>Kris R.</t>
  </si>
  <si>
    <t>ROA</t>
  </si>
  <si>
    <t>Estrella Morente</t>
  </si>
  <si>
    <t>Sílvia Pérez Cruz</t>
  </si>
  <si>
    <t>prodshushy</t>
  </si>
  <si>
    <t>Supernova Ent</t>
  </si>
  <si>
    <t>Group</t>
  </si>
  <si>
    <t>Hits</t>
  </si>
  <si>
    <t>Intermediate</t>
  </si>
  <si>
    <t>Minor Hits</t>
  </si>
  <si>
    <t>Total</t>
  </si>
  <si>
    <t>Range</t>
  </si>
  <si>
    <t>1 to 10</t>
  </si>
  <si>
    <t>11 to 50</t>
  </si>
  <si>
    <t>51 to 200</t>
  </si>
  <si>
    <t>1 to 200</t>
  </si>
  <si>
    <t>Songs</t>
  </si>
  <si>
    <t>% of Total</t>
  </si>
  <si>
    <t>Feature</t>
  </si>
  <si>
    <t>Top 10 (avg)</t>
  </si>
  <si>
    <t>Minor Hits (avg)</t>
  </si>
  <si>
    <t>Difference</t>
  </si>
  <si>
    <t>Danceability</t>
  </si>
  <si>
    <t>Energy</t>
  </si>
  <si>
    <t>Loudness</t>
  </si>
  <si>
    <t>Speechiness</t>
  </si>
  <si>
    <t>Acousticness</t>
  </si>
  <si>
    <t>Instumentalness</t>
  </si>
  <si>
    <t>Liveness</t>
  </si>
  <si>
    <t>Valence</t>
  </si>
  <si>
    <t>Tempo</t>
  </si>
  <si>
    <t>Top 20 Artists Summary:</t>
  </si>
  <si>
    <t>% of Songs</t>
  </si>
  <si>
    <t>% of Hits</t>
  </si>
  <si>
    <t>Hit Rate</t>
  </si>
  <si>
    <t>Top 20 Artist</t>
  </si>
  <si>
    <t>Rest of Artists</t>
  </si>
  <si>
    <t>Ratio</t>
  </si>
  <si>
    <t>Grand Total</t>
  </si>
  <si>
    <t>Earth, Wind &amp; Fire</t>
  </si>
  <si>
    <t>Tyler, The Creator</t>
  </si>
  <si>
    <t>Bobby "Boris" Pickett, The Crypt-Kickers</t>
  </si>
  <si>
    <t>Rank</t>
  </si>
  <si>
    <t>TOP 20 Artists Detail:</t>
  </si>
  <si>
    <t>Avg Peak</t>
  </si>
  <si>
    <t>From Top 20 Artists</t>
  </si>
  <si>
    <t>%</t>
  </si>
  <si>
    <t>Total Top 10 Hits</t>
  </si>
  <si>
    <t>Songs (Top 200)</t>
  </si>
  <si>
    <t>Hit rate (Top 10 Overall)</t>
  </si>
  <si>
    <t>Explicit Songs</t>
  </si>
  <si>
    <t>Correlation</t>
  </si>
  <si>
    <t>Instrumentalness</t>
  </si>
  <si>
    <t>Value</t>
  </si>
  <si>
    <t>Search by song name (e.g., "When I Was Your Man") or by artist (e.g., "Bruno Mars"). When searching by artist, matching songs appear in the SUGGESTIONS list — just double-click any suggestion to load it into the dashboard.</t>
  </si>
  <si>
    <t>Genre Avg</t>
  </si>
  <si>
    <t>HOW TO USE</t>
  </si>
  <si>
    <t>Artist:</t>
  </si>
  <si>
    <t>Label:</t>
  </si>
  <si>
    <t>Peak Rank:</t>
  </si>
  <si>
    <t>Weeks on Top 200:</t>
  </si>
  <si>
    <t>Release Date:</t>
  </si>
  <si>
    <t>Genre:</t>
  </si>
  <si>
    <t>Duration:</t>
  </si>
  <si>
    <t>Description</t>
  </si>
  <si>
    <t>Unique identifier of each song</t>
  </si>
  <si>
    <t>Spotify URI (unique link to the track)</t>
  </si>
  <si>
    <t>Name(s) of the artist(s) performing the song</t>
  </si>
  <si>
    <t>Title of the song</t>
  </si>
  <si>
    <t>Record label that released the song</t>
  </si>
  <si>
    <t>Best position reached on the Spotify Global Top 200 (1 = best, 200 = lowest)</t>
  </si>
  <si>
    <t>Number of weeks the song stayed on the Spotify Global Top 200</t>
  </si>
  <si>
    <t>Length of the song in mm:ss format</t>
  </si>
  <si>
    <t>TRUE if the song contains explicit content, FALSE otherwise</t>
  </si>
  <si>
    <t>How suitable the track is for dancing, based on tempo, rhythm and beat (0-100)</t>
  </si>
  <si>
    <t>Perceived intensity and activity of the track (0-100)</t>
  </si>
  <si>
    <t>Overall loudness of the track (0-100)</t>
  </si>
  <si>
    <t>Presence of spoken words in the track (0-100)</t>
  </si>
  <si>
    <t>Confidence that the track is acoustic (0-100)</t>
  </si>
  <si>
    <t>Probability that the track contains no vocals (0-100)</t>
  </si>
  <si>
    <t>Presence of a live audience in the recording (0-100)</t>
  </si>
  <si>
    <t>Musical positivity conveyed by the track (0-100)</t>
  </si>
  <si>
    <t>Estimated tempo of the track in beats per minute (BPM)</t>
  </si>
  <si>
    <t>Musical genre of the song</t>
  </si>
  <si>
    <t>Release date of the song</t>
  </si>
  <si>
    <t>Link to the cover image of the song on Spotify</t>
  </si>
  <si>
    <t>TRUE if the song is a Christmas track, FALSE otherwise</t>
  </si>
  <si>
    <t>DATA DESCRIPTIONS</t>
  </si>
  <si>
    <t>SUMPRODUCT / COUNTIF</t>
  </si>
  <si>
    <t>COUNTIFS</t>
  </si>
  <si>
    <t>SUMPRODUCT with COUNTIFS</t>
  </si>
  <si>
    <t>AVERAGEIFS</t>
  </si>
  <si>
    <t>ROUND</t>
  </si>
  <si>
    <t>IFERROR</t>
  </si>
  <si>
    <t>INDEX + MATCH</t>
  </si>
  <si>
    <t>FILTER</t>
  </si>
  <si>
    <t>CORREL</t>
  </si>
  <si>
    <t>TRIM</t>
  </si>
  <si>
    <t>Removed leading/trailing spaces from artist names after the split-by-comma step. Fixed duplicate entries like "Feid" and " Feid" that were counted as two different artists.</t>
  </si>
  <si>
    <t>Measured the linear correlation between each audio feature and peak_rank. Used in Correlation with Peak Rank to prove that no feature predicts chart success (all values between -0.12 and +0.09).</t>
  </si>
  <si>
    <t>Returned all rows matching a search term (song or artist). Used in the Dashboard to generate the Suggestions list when the user types a partial name.</t>
  </si>
  <si>
    <t>Retrieved specific values from Raw_Data based on a lookup value (the song name entered in the dashboard). Used in the Dashboard to display Artist, Label, Peak Rank, Genre, and all audio features dynamically.</t>
  </si>
  <si>
    <t>Handled cases where a search value had no match, returning "Not found" instead of an error. Used in the Dashboard to make song lookups robust.</t>
  </si>
  <si>
    <t>Wrapped SUMPRODUCT results to convert fractional counts into whole numbers. Used throughout the Artist Concentration section to display clean song/hit counts.</t>
  </si>
  <si>
    <t>Calculated averages of audio features filtered by group. Used in Audio Features Comparison to compare Top 10 vs Minor Hits averages (Danceability, Energy, Loudness, etc.).</t>
  </si>
  <si>
    <t>Counted unique songs per group while avoiding double-counting from collaborations. Used in Group Distribution, Artist Concentration and Genre Analysis.</t>
  </si>
  <si>
    <t>Counted rows matching multiple criteria simultaneously. Used to count songs per group (Top 10, Intermediate, Minor Hits) and per genre, and to filter hits per artist.</t>
  </si>
  <si>
    <t>Counted unique values (songs and artists) without double-counting songs that appear multiple times due to collaborations. Used in Dataset Overview to get accurate counts of Total Songs (1,272) and Unique Artists (826).</t>
  </si>
  <si>
    <t>The raw data came in 91 separate weekly CSV files (39 from 2026, 52 from 2025). The cleaning process included:
-Combining all weekly files into a single dataset (18,398 total rows).
-Removing duplicates by Spotify URI, keeping one row per unique song (1,272 unique songs).
-For each song, keeping the best (lowest) peak rank and the maximum weeks on chart.
-Verifying data integrity: no duplicate URIs, all numeric fields within expected ranges, and no missing values.</t>
  </si>
  <si>
    <t>Spotify Charts (Global Weekly Top 200) - 2025-2026 (1,272 songs)</t>
  </si>
  <si>
    <t>Top 20</t>
  </si>
  <si>
    <t>Top 10 Artists: Songs vs Hits</t>
  </si>
  <si>
    <t>This chart shows, for the top 10 artists with the most songs in the dataset, two things side by side: how many songs they have on the Top 200 (blue) and how many of those actually reached the Top 10 (orange). What stands out is that having more songs doesn't mean more hits. Drake has 41 songs but only 6 hits, and Justin Bieber has 36 songs with 6 hits too. On the other hand, Taylor Swift has 26 songs and 19 hits, and BTS has 16 songs with 10 hits.</t>
  </si>
  <si>
    <t>This chart shows the hit rate of the top 10 artists, meaning the percentage of their songs that made it to the Top 10. Taylor Swift (73.1%) and BTS (62.5%) are way ahead, far above the global average of 16.8%. Their numbers reflect years of industry presence: loyal fanbases, coordinated release strategies, and marketing machines that push almost every album into the chart's top positions. At the other end, artists like Tito Double P, Peso Pluma, and Neton Vega sit at 0% even though they have 15-23 songs each. All three belong to the Regional Mexicano scene, where a strong fanbase in Mexico and the US diaspora gives them steady chart presence but not enough global reach to break into the Top 10. Hit rate is shaped more by the artist's ecosystem (fanbase, marketing, cultural timing) than by the amount of music released.</t>
  </si>
  <si>
    <t>Hit Rate by Genre (Top 10)</t>
  </si>
  <si>
    <t>Hit Rate by Artist (Top 10)</t>
  </si>
  <si>
    <t>This chart compares hit rate (Top 10 Global Spotify ) across genres. Pop (28.7%) and K-Pop (28.6%) lead, followed by Reggaeton (22.5%) and R&amp;B (16.7%). At the other end, Regional Mexicano (1.3%) and Funk Brasileiro (0%) have almost zero conversion. The pattern is consistent with what we saw in the artist-level analysis: genres with global audiences and strong industry infrastructure (Pop, K-Pop) convert presence into hits at 20x the rate of genres with concentrated local audiences. Regional Mexicano has a massive fanbase in Mexico and the US diaspora, and Funk Brasileiro dominates Brazil, but both remain largely regional in a global chart. For labels and artists, hitting a global Top 10 requires not just a strong local base but a genre and strategy that travel across borders.</t>
  </si>
  <si>
    <t xml:space="preserve">This chart shows the correlation between each audio feature and the peak rank. All values fall between -0.12 (loudness) and +0.09 (valence), which is essentially zero. In other words, none of the audio features (danceability, energy, valence, tempo, acousticness, etc.) predicts whether a song becomes a hit. What really drives success is external to the track itself: the artist, their fanbase, the genre's market reach, and the marketing strategy behind each release. Labels and producers can't rely on "the right sound" to predict a hit. The recipe isn't in the music; it's in the ecosystem around it. </t>
  </si>
  <si>
    <t>Correlation with Peak Rank</t>
  </si>
  <si>
    <t>Artist Concentration: Songs vs Hits</t>
  </si>
  <si>
    <t>This chart compares how songs and hits are distributed between the top 20 artists and everyone else. The top 20 represent 35.2% of all songs in the dataset and generate 44.4% of the Top 10 hits. The rest, with 64.8% of the songs, only account for 55.6% of the hits. In other words, just 20 artists out of 826 (2.4%) are behind almost half of all hits. This reflects a reality the music industry is talking about more and more: breaking through as a new artist has become extremely hard. Success is concentrated in a small circle of established names with loyal fanbases, marketing infrastructure, and industry support — the kind of backing that newer or independent artists rarely have. The growing conversation around "nepo babies" and industry-connected artists points to the same thing: talent alone isn't enough; being inside the right ecosystem is what makes the difference. For labels and investors, backing established artists tends to be more efficient than spreading bets across dozens of new ones. The 1.46x gap in hit rate between the top 20 and the rest is the clearest evidence of this concentration.</t>
  </si>
  <si>
    <t>This chart compares how much explicit content shows up in hits versus in different artist groups. Top 10 hits are 27% explicit, compared to 34% for Minor Hits (51-200). The gap widens when looking at artists: the top 20 have 44% explicit songs, versus 62% for the rest. What's interesting here is a bit counterintuitive. Music overall has become more explicit in recent years, but that doesn't necessarily translate into commercial success. If anything, the data suggests the opposite. The songs that reach the highest positions tend to be less explicit than the ones that stay lower in the chart. A plausible reason is that non-explicit content gets wider distribution: more playlists, radio, family-friendly spaces, and broader marketing reach. Labels and artists aiming for mass hits seem to protect the song's reach by keeping it clean.</t>
  </si>
  <si>
    <t>Explicit Content: Hits vs Artists</t>
  </si>
  <si>
    <t>The main finding is simple: chart success is not about the sound. None of the audio features (danceability, energy, valence, tempo, etc.) correlates with peak rank. All values fall between -0.12 and +0.09. A song can be more danceable, more energetic, or more euphoric, and still not perform better. What actually drives a hit is external: marketing, fanbase, playlist placement, and cultural timing. There's no "winning sound" to chase.
A second pattern worth noting is nostalgia. A surprising share of songs on the 2025-2026 chart are 20, 30, or 40+ years old — from Iris (1998), Wonderwall (1995),  to Dreams (1977). These are generational hits that keep resurfacing, and their presence could suggest a return to a more classic sound. There is not an extensive analysis to confirm this, but it's a hypothesis worth flagging.
Finally, some genres travel globally and others don't. Pop and Hip-Hop/Rap are established global genres, but two relative newcomers stand out: Reggaeton and K-Pop. Reggaeton, once regional to Latin America, now reaches a wide international audience. K-Pop went from a South Korean niche to dominating global markets in just a few years. Both now outperform more traditional genres like R&amp;B, a clear sign of how genre identity, language, and fan culture can overcome historical barriers to global reach.
Key implications:
-Labels/investors: backing artists with an established fanbase is more efficient than betting on "the next sound."
-Producers/A&amp;R: audio features are artistic choices, not success levers.
-Market strategy: genres with cross-border appeal convert better than local genres.
-Risk: hits are concentrated in a small group of artists (top 20 = 44.4% of hits). Isolated talent without industry support carries higher risk.</t>
  </si>
  <si>
    <t>This project pushed me way beyond what I had done in Excel before. I gained hands-on experience with formulas I had never used in practice. SUMPRODUCT with COUNTIFS to count unique songs, AVERAGEIFS to compare features across groups, CORREL to test correlation, and dynamic lookups (INDEX+MATCH, FILTER, TAKE, SORTBY) for the dashboard. I also worked with Power Query, splitting artist strings and applying TRIM and Clean to normalize messy data. Outside Excel, I used Python (pandas) to cross-check counts, and I wrote my first VBA macro to make the dashboard's suggestions clickable. Both were new to me (I had to guide myself with external sources and AI assistance, but getting them to work felt like a real win). This project forced me to actually understand each formula, not just make it work.</t>
  </si>
  <si>
    <t>Technical Efficiency is where I noticed the most improvement over the course of the project. Instead of writing formulas one by one, I used tools like Power Query to automate the split and normalization of the artist data, tables and pivot tables to validate counts, and Find &amp; Replace to fix broken references across the workbook in one step. I also built my first VBA macro so the dashboard's suggestions work with a double-click instead of a manual process. Writing that macro the first time took me a while because I had never done it before, but once it worked, it saved me the effort of repeating the same action every time.</t>
  </si>
  <si>
    <t>I believe the analysis produced a few genuinely interesting insights, especially the fact that audio features don't predict chart success and that genre reach matters more than the sound of a song. Throughout the process, I focused on treating the data as carefully as possible: removing duplicate songs, normalizing artist names (splitting collaborations, fixing hidden spaces), and double-checking counts before drawing conclusions. That step was essential . Without it, the artist counts and hit rates would have been misleading.
At the same time, I'm aware that this analysis could go further with a different setup. A larger sample, or a segmentation by specific markets (US, UK, Latin America) instead of a single global chart, would give a more precise picture of how listeners behave in each region. But working with the global chart has its own value: it's exactly the kind of broad view that major labels use when deciding how to push a song across multiple borders, so the analysis stays relevant at a real industry scale. If I were to extend this project, I would add market-level analysis and maybe separate consumption patterns by listener age or platform.</t>
  </si>
  <si>
    <t>When I started this project, I thought it would be challenging but manageable. It turned out to be much more complicated than I expected. The learning curve was steep. I ended up going deeper into tools and concepts than I was prepared for at the start, from Power Query transformations to Python for cross-checking data, and even writing VBA for the first time. It wasn't easy, but looking back, the result feels worth it.
The biggest difficulty was the data processing itself. The raw dataset went through cleaning and normalization before it could be used properly, combining weekly files, removing duplicates, splitting artist strings, fixing hidden spaces, and correcting edge cases. That part took hours, and I wish I had known from the beginning how much time it would consume.
If I could change one thing, I would have focused on a specific market (for example, the US chart) instead of the global chart. The global dataset is broad and valuable, but it can dilute the analysis: a song that dominates Brazil or India might not appear in the Top 10 globally, which makes local patterns harder to see. A regional focus would probably have surfaced more targeted insights.
Even so, I'm happy with the outcome. The skills I had to use, the insights I reached (especially that audio features don't predict success and that genre reach matters more than sound), and the final conclusions all feel solid. This was the project where I learned the most so far.</t>
  </si>
  <si>
    <t>SPOTIFY GLOBAL CHARTS - ANALYTICS DASHBOARD</t>
  </si>
  <si>
    <t>INSERT ARTIST or SONG:</t>
  </si>
  <si>
    <t>Instrumentalness:</t>
  </si>
  <si>
    <t>SONG FEATURES (0-100)</t>
  </si>
  <si>
    <t>Tempo (BPM):</t>
  </si>
  <si>
    <t>SEE WHAT EACH FEATURE MEANS</t>
  </si>
  <si>
    <t>2) GROUP DISTRIBUTION</t>
  </si>
  <si>
    <t>1) DATA SET OVERVIEW</t>
  </si>
  <si>
    <t>3) AUDIO FEATURES COMPARISON</t>
  </si>
  <si>
    <t>4) ARTIST CONCENTRATION</t>
  </si>
  <si>
    <t>5) GENRE ANALYSIS</t>
  </si>
  <si>
    <t>6) TOP 20 Artists Contribution by GENRE</t>
  </si>
  <si>
    <t>7) EXPLICIT CONTENT</t>
  </si>
  <si>
    <t>8) CORRELATION WITH PEAK RANK</t>
  </si>
  <si>
    <t>PIVOT TABLE</t>
  </si>
  <si>
    <t>Count of HITS</t>
  </si>
  <si>
    <r>
      <rPr>
        <b/>
        <u/>
        <sz val="12"/>
        <color theme="5"/>
        <rFont val="Aptos Narrow"/>
        <family val="2"/>
      </rPr>
      <t>After</t>
    </r>
    <r>
      <rPr>
        <b/>
        <sz val="12"/>
        <color theme="5"/>
        <rFont val="Aptos Narrow"/>
        <family val="2"/>
      </rPr>
      <t xml:space="preserve"> you complete your analysis and visualizations, reflect back on how you completed and worked on this project. Is there anything you wish you had known from the beginning? What worked well? What could have been improved?</t>
    </r>
  </si>
  <si>
    <t>Suggestions:</t>
  </si>
  <si>
    <t>Top 10 artists by volume. Taylor Swift and BTS convert songs into hits more efficiently than high-volume artists like Drake and Justin Bieber.</t>
  </si>
  <si>
    <t xml:space="preserve">Hit rate of the top 10 artists. Taylor Swift (73.1%) and BTS (62.5%) are far above the global average (16.8%). Drake (14.6%) and Justin Bieber (16.7%) are barely above it. </t>
  </si>
  <si>
    <t>Pop and K-Pop lead (28.7% and 28.6%). Regional Mexicano and Funk Brasileiro (Regional Genres) barely register (1.3% and 0%). . Christmas sits at 12.9%, heavily concentrated  when holiday playlists and seasonal listening push classic tracks back into the chart.</t>
  </si>
  <si>
    <t xml:space="preserve">Correlations range from -0.12 to +0.09, all within the null range. No audio feature predicts whether a song becomes a hit.
</t>
  </si>
  <si>
    <t>Top 20 artists: 35% of songs, 44% of hits. Rest: 65% of songs, 56% of hits. So 2.4% of total artists on Top 200 generate 44% of Top 10 hits.</t>
  </si>
  <si>
    <t>Rest</t>
  </si>
  <si>
    <t>Top 10 hits are less explicit (27%) than Minor Hits (34%). The gap widens by artist: Top 20 (44%) vs Other Artists (62%).</t>
  </si>
  <si>
    <t>Top 10  Hits</t>
  </si>
  <si>
    <t>Top 20 Artists</t>
  </si>
  <si>
    <t>Other Artists</t>
  </si>
  <si>
    <t>This was the area where I improved the most, but also where I had to redo things more than once. At first, I focused only on getting the numbers right and didn't pay much attention to how the charts looked. Over time I realized that a correct chart can still fail if it's hard to read. So I started making changes with that in mind: switching confusing doughnut charts for clearer bar charts, using consistent colors, and adding data labels so values are visible without guessing.
The biggest step was giving the whole dashboard a consistent visual identity. I built a Spotify-inspired palette (dark background, green accents, grey text) and applied it everywhere, not just to one chart. This made the project feel like a single product instead of a collection of random graphs.</t>
  </si>
  <si>
    <t>PROJECT REQUIREMENTS</t>
  </si>
  <si>
    <r>
      <rPr>
        <b/>
        <sz val="12"/>
        <color theme="0"/>
        <rFont val="Open Sans"/>
      </rPr>
      <t>Project Requirements</t>
    </r>
    <r>
      <rPr>
        <sz val="12"/>
        <color theme="0"/>
        <rFont val="Open Sans"/>
      </rPr>
      <t xml:space="preserve">
</t>
    </r>
    <r>
      <rPr>
        <b/>
        <sz val="12"/>
        <color theme="0"/>
        <rFont val="Open Sans"/>
      </rPr>
      <t>1. Robust dataset (&gt;800 rows and 3 columns)</t>
    </r>
    <r>
      <rPr>
        <sz val="12"/>
        <color theme="0"/>
        <rFont val="Open Sans"/>
      </rPr>
      <t xml:space="preserve">
The cleaned dataset is stored in the Raw_Data sheet and contains 1,870 rows and 21 columns, exceeding the minimum requirement. Each row is a unique song from the Spotify Global Weekly Top 200 (2025–2026), with attributes including artist, track name, label, peak rank, weeks on chart, duration, explicit content, nine audio features, genre, release date, and cover URI.
</t>
    </r>
    <r>
      <rPr>
        <b/>
        <sz val="12"/>
        <color theme="0"/>
        <rFont val="Open Sans"/>
      </rPr>
      <t>2. At least one pivot table</t>
    </r>
    <r>
      <rPr>
        <sz val="12"/>
        <color theme="0"/>
        <rFont val="Open Sans"/>
      </rPr>
      <t xml:space="preserve">
A pivot table is included at the bottom of the Statistical Summary sheet under "PIVOT TABLE – Artist | Count of HITS." It counts total songs per artist and was used to identify the top 20 artists by volume, feeding directly into the Artist Concentration analysis and the "Top 10 Artists: Songs vs Hits" chart.
</t>
    </r>
    <r>
      <rPr>
        <b/>
        <sz val="12"/>
        <color theme="0"/>
        <rFont val="Open Sans"/>
      </rPr>
      <t xml:space="preserve">
3. At least two additional visualizations</t>
    </r>
    <r>
      <rPr>
        <sz val="12"/>
        <color theme="0"/>
        <rFont val="Open Sans"/>
      </rPr>
      <t xml:space="preserve">
The workbook includes six charts on the Analytics sheet:
-Top 10 Artists: Songs vs Hits
-Hit Rate by Artist (Top 10)
-Hit Rate by Genre (Top 10)
-Correlation with Peak Rank
-Artist Concentration: Songs vs Hits
-Explicit Content: Hits vs Artists
-Two additional mini-charts are embedded in the Song Dashboard to support the interactive lookup.
</t>
    </r>
    <r>
      <rPr>
        <b/>
        <sz val="12"/>
        <color theme="0"/>
        <rFont val="Open Sans"/>
      </rPr>
      <t>4. Visualization design for clarity</t>
    </r>
    <r>
      <rPr>
        <sz val="12"/>
        <color theme="0"/>
        <rFont val="Open Sans"/>
      </rPr>
      <t xml:space="preserve">
All charts use a consistent Spotify-inspired palette (dark background, green accents, grey text) so the workbook reads as one cohesive product. Design choices include: a two-color scheme (blue = volume, orange = hits) for instant readability; bar charts instead of doughnuts; data labels on all values; minimal gridlines; labeled axes; and placement of all charts on a separate Analytics sheet, away from the raw data. The two dashboard mini-charts follow the same conventions.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</si>
</sst>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F400]h:mm:ss\ AM/PM"/>
    <numFmt numFmtId="165" formatCode="0.0%"/>
    <numFmt numFmtId="166" formatCode="0.0"/>
  </numFmts>
  <fonts count="43">
    <font>
      <sz val="12"/>
      <color theme="1"/>
      <name val="Aptos Narrow"/>
      <family val="2"/>
      <scheme val="minor"/>
    </font>
    <font>
      <sz val="11"/>
      <color theme="1"/>
      <name val="Aptos Narrow"/>
      <family val="2"/>
      <scheme val="minor"/>
    </font>
    <font>
      <sz val="11"/>
      <color theme="1"/>
      <name val="Aptos Narrow"/>
      <family val="2"/>
      <scheme val="minor"/>
    </font>
    <font>
      <sz val="12"/>
      <color theme="1"/>
      <name val="Aptos Narrow"/>
      <family val="2"/>
    </font>
    <font>
      <sz val="12"/>
      <color rgb="FFFFFFFF"/>
      <name val="Aptos Narrow (Body)"/>
    </font>
    <font>
      <sz val="12"/>
      <color theme="1"/>
      <name val="Aptos Narrow (Body)"/>
    </font>
    <font>
      <sz val="22"/>
      <color rgb="FFFFFFFF"/>
      <name val="Aptos Narrow"/>
      <family val="2"/>
    </font>
    <font>
      <b/>
      <sz val="11"/>
      <color theme="1"/>
      <name val="Aptos Narrow"/>
      <family val="2"/>
      <scheme val="minor"/>
    </font>
    <font>
      <u/>
      <sz val="11"/>
      <color theme="10"/>
      <name val="Aptos Narrow"/>
      <family val="2"/>
      <scheme val="minor"/>
    </font>
    <font>
      <sz val="12"/>
      <color theme="1"/>
      <name val="Aptos Narrow"/>
      <family val="2"/>
      <scheme val="minor"/>
    </font>
    <font>
      <sz val="11"/>
      <color theme="0"/>
      <name val="Aptos Narrow"/>
      <family val="2"/>
      <scheme val="minor"/>
    </font>
    <font>
      <sz val="9"/>
      <color theme="0"/>
      <name val="Aptos Narrow"/>
      <family val="2"/>
      <scheme val="minor"/>
    </font>
    <font>
      <sz val="14"/>
      <color theme="0"/>
      <name val="Aptos Narrow"/>
      <family val="2"/>
      <scheme val="minor"/>
    </font>
    <font>
      <sz val="11"/>
      <color theme="0"/>
      <name val="Roboto"/>
    </font>
    <font>
      <b/>
      <sz val="13"/>
      <color rgb="FF1DB954"/>
      <name val="Open Sans"/>
    </font>
    <font>
      <b/>
      <sz val="18"/>
      <color theme="0"/>
      <name val="Open Sans"/>
    </font>
    <font>
      <b/>
      <u/>
      <sz val="14"/>
      <color theme="0"/>
      <name val="Open Sans"/>
    </font>
    <font>
      <sz val="12"/>
      <color theme="0"/>
      <name val="Open Sans"/>
    </font>
    <font>
      <b/>
      <sz val="13"/>
      <color theme="0"/>
      <name val="Open Sans"/>
    </font>
    <font>
      <sz val="11"/>
      <color theme="0"/>
      <name val="Open Sans"/>
    </font>
    <font>
      <b/>
      <sz val="11"/>
      <color theme="0"/>
      <name val="Open Sans"/>
    </font>
    <font>
      <sz val="11"/>
      <color theme="1"/>
      <name val="Open Sans"/>
    </font>
    <font>
      <b/>
      <sz val="11"/>
      <color rgb="FF1DB954"/>
      <name val="Open Sans"/>
    </font>
    <font>
      <sz val="12"/>
      <color theme="0"/>
      <name val="Aptos Narrow"/>
      <family val="2"/>
      <scheme val="minor"/>
    </font>
    <font>
      <sz val="12"/>
      <color rgb="FF0C0C0C"/>
      <name val="Aptos Narrow"/>
      <family val="2"/>
      <scheme val="minor"/>
    </font>
    <font>
      <sz val="11"/>
      <color rgb="FF0C0C0C"/>
      <name val="Open Sans"/>
    </font>
    <font>
      <sz val="10"/>
      <color theme="0"/>
      <name val="Open Sans"/>
    </font>
    <font>
      <b/>
      <sz val="12"/>
      <color theme="5"/>
      <name val="Aptos Narrow"/>
      <family val="2"/>
      <scheme val="minor"/>
    </font>
    <font>
      <sz val="12"/>
      <color theme="5"/>
      <name val="Aptos Narrow"/>
      <family val="2"/>
      <scheme val="minor"/>
    </font>
    <font>
      <b/>
      <sz val="14"/>
      <color theme="0"/>
      <name val="Open Sans"/>
    </font>
    <font>
      <sz val="12"/>
      <color theme="5"/>
      <name val="Aptos Narrow"/>
      <family val="2"/>
    </font>
    <font>
      <b/>
      <sz val="12"/>
      <color theme="5"/>
      <name val="Aptos Narrow"/>
      <family val="2"/>
    </font>
    <font>
      <sz val="12"/>
      <color theme="5"/>
      <name val="Aptos Narrow (Body)"/>
    </font>
    <font>
      <b/>
      <u/>
      <sz val="12"/>
      <color theme="5"/>
      <name val="Aptos Narrow"/>
      <family val="2"/>
    </font>
    <font>
      <sz val="22"/>
      <color theme="0"/>
      <name val="Aptos Narrow"/>
      <family val="2"/>
    </font>
    <font>
      <sz val="18"/>
      <color theme="0"/>
      <name val="Aptos Narrow"/>
      <family val="2"/>
    </font>
    <font>
      <sz val="12"/>
      <color theme="0"/>
      <name val="Aptos Narrow"/>
      <family val="2"/>
    </font>
    <font>
      <u/>
      <sz val="11"/>
      <color theme="0"/>
      <name val="Aptos Narrow"/>
      <family val="2"/>
      <scheme val="minor"/>
    </font>
    <font>
      <sz val="11"/>
      <color theme="0"/>
      <name val="Aptos Narrow"/>
      <family val="2"/>
    </font>
    <font>
      <b/>
      <sz val="10"/>
      <color theme="0"/>
      <name val="Open Sans"/>
    </font>
    <font>
      <sz val="12"/>
      <color rgb="FF1A1A1A"/>
      <name val="Aptos Narrow"/>
      <family val="2"/>
      <scheme val="minor"/>
    </font>
    <font>
      <sz val="12"/>
      <color rgb="FF1A1A1A"/>
      <name val="Open Sans"/>
    </font>
    <font>
      <b/>
      <sz val="12"/>
      <color theme="0"/>
      <name val="Open Sans"/>
    </font>
  </fonts>
  <fills count="7">
    <fill>
      <patternFill patternType="none"/>
    </fill>
    <fill>
      <patternFill patternType="gray125"/>
    </fill>
    <fill>
      <patternFill patternType="solid">
        <fgColor rgb="FF121212"/>
        <bgColor indexed="64"/>
      </patternFill>
    </fill>
    <fill>
      <patternFill patternType="solid">
        <fgColor rgb="FF1DB954"/>
        <bgColor indexed="64"/>
      </patternFill>
    </fill>
    <fill>
      <patternFill patternType="solid">
        <fgColor rgb="FF151515"/>
        <bgColor indexed="64"/>
      </patternFill>
    </fill>
    <fill>
      <patternFill patternType="solid">
        <fgColor rgb="FF0C0C0C"/>
        <bgColor indexed="64"/>
      </patternFill>
    </fill>
    <fill>
      <patternFill patternType="solid">
        <fgColor rgb="FF1A1A1A"/>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diagonal/>
    </border>
    <border>
      <left/>
      <right style="thin">
        <color theme="0"/>
      </right>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s>
  <cellStyleXfs count="4">
    <xf numFmtId="0" fontId="0" fillId="0" borderId="0"/>
    <xf numFmtId="0" fontId="2" fillId="0" borderId="0"/>
    <xf numFmtId="0" fontId="8" fillId="0" borderId="0" applyNumberFormat="0" applyFill="0" applyBorder="0" applyAlignment="0" applyProtection="0"/>
    <xf numFmtId="9" fontId="9" fillId="0" borderId="0" applyFont="0" applyFill="0" applyBorder="0" applyAlignment="0" applyProtection="0"/>
  </cellStyleXfs>
  <cellXfs count="155">
    <xf numFmtId="0" fontId="0" fillId="0" borderId="0" xfId="0"/>
    <xf numFmtId="0" fontId="2" fillId="2" borderId="0" xfId="1" applyFill="1"/>
    <xf numFmtId="0" fontId="7" fillId="2" borderId="0" xfId="1" applyFont="1" applyFill="1" applyAlignment="1">
      <alignment vertical="center"/>
    </xf>
    <xf numFmtId="0" fontId="10" fillId="2" borderId="0" xfId="1" applyFont="1" applyFill="1"/>
    <xf numFmtId="0" fontId="10" fillId="2" borderId="0" xfId="1" applyFont="1" applyFill="1" applyAlignment="1">
      <alignment horizontal="left"/>
    </xf>
    <xf numFmtId="0" fontId="2" fillId="2" borderId="0" xfId="1" applyFill="1" applyAlignment="1">
      <alignment horizontal="left"/>
    </xf>
    <xf numFmtId="0" fontId="8" fillId="2" borderId="0" xfId="2" applyFill="1"/>
    <xf numFmtId="0" fontId="11" fillId="2" borderId="0" xfId="1" applyFont="1" applyFill="1" applyAlignment="1">
      <alignment vertical="center" wrapText="1"/>
    </xf>
    <xf numFmtId="0" fontId="2" fillId="2" borderId="0" xfId="1" applyFill="1" applyAlignment="1">
      <alignment vertical="top" wrapText="1"/>
    </xf>
    <xf numFmtId="0" fontId="1" fillId="2" borderId="0" xfId="1" applyFont="1" applyFill="1"/>
    <xf numFmtId="1" fontId="2" fillId="2" borderId="0" xfId="1" applyNumberFormat="1" applyFill="1"/>
    <xf numFmtId="0" fontId="10" fillId="4" borderId="0" xfId="1" applyFont="1" applyFill="1"/>
    <xf numFmtId="0" fontId="12" fillId="2" borderId="0" xfId="1" applyFont="1" applyFill="1" applyAlignment="1">
      <alignment horizontal="left" vertical="center"/>
    </xf>
    <xf numFmtId="0" fontId="12" fillId="2" borderId="0" xfId="1" applyFont="1" applyFill="1" applyAlignment="1">
      <alignment horizontal="center" vertical="center"/>
    </xf>
    <xf numFmtId="0" fontId="10" fillId="2" borderId="0" xfId="1" applyFont="1" applyFill="1" applyAlignment="1">
      <alignment vertical="center"/>
    </xf>
    <xf numFmtId="0" fontId="10" fillId="4" borderId="11" xfId="1" applyFont="1" applyFill="1" applyBorder="1"/>
    <xf numFmtId="0" fontId="10" fillId="4" borderId="12" xfId="1" applyFont="1" applyFill="1" applyBorder="1"/>
    <xf numFmtId="0" fontId="10" fillId="4" borderId="13" xfId="1" applyFont="1" applyFill="1" applyBorder="1"/>
    <xf numFmtId="0" fontId="10" fillId="4" borderId="14" xfId="1" applyFont="1" applyFill="1" applyBorder="1"/>
    <xf numFmtId="0" fontId="10" fillId="4" borderId="15" xfId="1" applyFont="1" applyFill="1" applyBorder="1"/>
    <xf numFmtId="0" fontId="14" fillId="2" borderId="0" xfId="1" applyFont="1" applyFill="1" applyAlignment="1">
      <alignment horizontal="left" vertical="center"/>
    </xf>
    <xf numFmtId="0" fontId="17" fillId="2" borderId="0" xfId="1" applyFont="1" applyFill="1" applyAlignment="1">
      <alignment horizontal="center" vertical="center"/>
    </xf>
    <xf numFmtId="0" fontId="18" fillId="2" borderId="0" xfId="1" applyFont="1" applyFill="1" applyAlignment="1">
      <alignment horizontal="left" vertical="center"/>
    </xf>
    <xf numFmtId="0" fontId="19" fillId="2" borderId="0" xfId="1" applyFont="1" applyFill="1"/>
    <xf numFmtId="0" fontId="19" fillId="2" borderId="0" xfId="1" applyFont="1" applyFill="1" applyAlignment="1">
      <alignment horizontal="center"/>
    </xf>
    <xf numFmtId="0" fontId="19" fillId="2" borderId="0" xfId="1" applyFont="1" applyFill="1" applyAlignment="1">
      <alignment horizontal="left"/>
    </xf>
    <xf numFmtId="14" fontId="19" fillId="2" borderId="0" xfId="1" applyNumberFormat="1" applyFont="1" applyFill="1" applyAlignment="1">
      <alignment horizontal="center"/>
    </xf>
    <xf numFmtId="164" fontId="19" fillId="2" borderId="0" xfId="1" applyNumberFormat="1" applyFont="1" applyFill="1" applyAlignment="1">
      <alignment horizontal="center"/>
    </xf>
    <xf numFmtId="0" fontId="20" fillId="2" borderId="0" xfId="1" applyFont="1" applyFill="1"/>
    <xf numFmtId="0" fontId="20" fillId="2" borderId="0" xfId="1" applyFont="1" applyFill="1" applyAlignment="1">
      <alignment horizontal="left"/>
    </xf>
    <xf numFmtId="0" fontId="17" fillId="2" borderId="0" xfId="1" applyFont="1" applyFill="1" applyAlignment="1">
      <alignment horizontal="center"/>
    </xf>
    <xf numFmtId="0" fontId="21" fillId="2" borderId="0" xfId="1" applyFont="1" applyFill="1"/>
    <xf numFmtId="0" fontId="20" fillId="3" borderId="0" xfId="1" applyFont="1" applyFill="1" applyAlignment="1">
      <alignment horizontal="center" vertical="center"/>
    </xf>
    <xf numFmtId="0" fontId="20" fillId="2" borderId="0" xfId="1" applyFont="1" applyFill="1" applyAlignment="1">
      <alignment horizontal="left" vertical="top"/>
    </xf>
    <xf numFmtId="0" fontId="20" fillId="2" borderId="0" xfId="1" applyFont="1" applyFill="1" applyAlignment="1">
      <alignment vertical="top"/>
    </xf>
    <xf numFmtId="0" fontId="23" fillId="5" borderId="0" xfId="0" applyFont="1" applyFill="1"/>
    <xf numFmtId="0" fontId="0" fillId="5" borderId="0" xfId="0" applyFill="1"/>
    <xf numFmtId="0" fontId="24" fillId="5" borderId="0" xfId="0" applyFont="1" applyFill="1"/>
    <xf numFmtId="0" fontId="24" fillId="5" borderId="0" xfId="0" applyFont="1" applyFill="1" applyAlignment="1">
      <alignment horizontal="left"/>
    </xf>
    <xf numFmtId="0" fontId="19" fillId="5" borderId="0" xfId="0" applyFont="1" applyFill="1"/>
    <xf numFmtId="0" fontId="19" fillId="5" borderId="0" xfId="0" applyFont="1" applyFill="1" applyAlignment="1">
      <alignment horizontal="center"/>
    </xf>
    <xf numFmtId="0" fontId="19" fillId="5" borderId="0" xfId="0" applyFont="1" applyFill="1" applyAlignment="1">
      <alignment horizontal="left"/>
    </xf>
    <xf numFmtId="0" fontId="19" fillId="5" borderId="0" xfId="0" applyFont="1" applyFill="1" applyAlignment="1">
      <alignment horizontal="right"/>
    </xf>
    <xf numFmtId="0" fontId="19" fillId="6" borderId="0" xfId="0" applyFont="1" applyFill="1"/>
    <xf numFmtId="0" fontId="20" fillId="6" borderId="0" xfId="0" applyFont="1" applyFill="1"/>
    <xf numFmtId="0" fontId="19" fillId="6" borderId="0" xfId="0" applyFont="1" applyFill="1" applyAlignment="1">
      <alignment horizontal="left"/>
    </xf>
    <xf numFmtId="0" fontId="20" fillId="3" borderId="0" xfId="0" applyFont="1" applyFill="1"/>
    <xf numFmtId="0" fontId="20" fillId="3" borderId="0" xfId="0" applyFont="1" applyFill="1" applyAlignment="1">
      <alignment horizontal="center"/>
    </xf>
    <xf numFmtId="0" fontId="19" fillId="3" borderId="0" xfId="0" applyFont="1" applyFill="1"/>
    <xf numFmtId="16" fontId="19" fillId="5" borderId="0" xfId="0" applyNumberFormat="1" applyFont="1" applyFill="1" applyAlignment="1">
      <alignment horizontal="right"/>
    </xf>
    <xf numFmtId="9" fontId="19" fillId="5" borderId="0" xfId="0" applyNumberFormat="1" applyFont="1" applyFill="1" applyAlignment="1">
      <alignment horizontal="right"/>
    </xf>
    <xf numFmtId="0" fontId="19" fillId="6" borderId="0" xfId="0" applyFont="1" applyFill="1" applyAlignment="1">
      <alignment horizontal="right"/>
    </xf>
    <xf numFmtId="9" fontId="19" fillId="6" borderId="0" xfId="0" applyNumberFormat="1" applyFont="1" applyFill="1" applyAlignment="1">
      <alignment horizontal="right"/>
    </xf>
    <xf numFmtId="165" fontId="19" fillId="5" borderId="0" xfId="3" applyNumberFormat="1" applyFont="1" applyFill="1" applyAlignment="1">
      <alignment horizontal="right"/>
    </xf>
    <xf numFmtId="166" fontId="19" fillId="5" borderId="0" xfId="0" applyNumberFormat="1" applyFont="1" applyFill="1" applyAlignment="1">
      <alignment horizontal="right"/>
    </xf>
    <xf numFmtId="2" fontId="19" fillId="5" borderId="0" xfId="0" applyNumberFormat="1" applyFont="1" applyFill="1" applyAlignment="1">
      <alignment horizontal="right"/>
    </xf>
    <xf numFmtId="166" fontId="19" fillId="6" borderId="0" xfId="0" applyNumberFormat="1" applyFont="1" applyFill="1" applyAlignment="1">
      <alignment horizontal="right"/>
    </xf>
    <xf numFmtId="2" fontId="19" fillId="6" borderId="0" xfId="0" applyNumberFormat="1" applyFont="1" applyFill="1" applyAlignment="1">
      <alignment horizontal="right"/>
    </xf>
    <xf numFmtId="1" fontId="19" fillId="5" borderId="0" xfId="0" applyNumberFormat="1" applyFont="1" applyFill="1" applyAlignment="1">
      <alignment horizontal="right"/>
    </xf>
    <xf numFmtId="165" fontId="19" fillId="6" borderId="0" xfId="3" applyNumberFormat="1" applyFont="1" applyFill="1" applyAlignment="1">
      <alignment horizontal="right"/>
    </xf>
    <xf numFmtId="1" fontId="19" fillId="6" borderId="0" xfId="0" applyNumberFormat="1" applyFont="1" applyFill="1" applyAlignment="1">
      <alignment horizontal="right"/>
    </xf>
    <xf numFmtId="9" fontId="19" fillId="5" borderId="0" xfId="3" applyFont="1" applyFill="1" applyAlignment="1">
      <alignment horizontal="right"/>
    </xf>
    <xf numFmtId="2" fontId="20" fillId="6" borderId="0" xfId="0" applyNumberFormat="1" applyFont="1" applyFill="1" applyAlignment="1">
      <alignment horizontal="right"/>
    </xf>
    <xf numFmtId="9" fontId="19" fillId="6" borderId="0" xfId="3" applyFont="1" applyFill="1" applyAlignment="1">
      <alignment horizontal="right"/>
    </xf>
    <xf numFmtId="0" fontId="19" fillId="4" borderId="0" xfId="0" applyFont="1" applyFill="1" applyAlignment="1">
      <alignment horizontal="left"/>
    </xf>
    <xf numFmtId="0" fontId="19" fillId="4" borderId="0" xfId="0" applyFont="1" applyFill="1"/>
    <xf numFmtId="0" fontId="19" fillId="2" borderId="0" xfId="0" applyFont="1" applyFill="1" applyAlignment="1">
      <alignment horizontal="left"/>
    </xf>
    <xf numFmtId="0" fontId="19" fillId="2" borderId="0" xfId="0" applyFont="1" applyFill="1"/>
    <xf numFmtId="0" fontId="25" fillId="5" borderId="0" xfId="0" applyFont="1" applyFill="1" applyAlignment="1">
      <alignment horizontal="left"/>
    </xf>
    <xf numFmtId="0" fontId="25" fillId="5" borderId="0" xfId="0" applyFont="1" applyFill="1"/>
    <xf numFmtId="0" fontId="26" fillId="0" borderId="0" xfId="0" applyFont="1" applyAlignment="1">
      <alignment horizontal="left"/>
    </xf>
    <xf numFmtId="0" fontId="26" fillId="0" borderId="0" xfId="0" applyFont="1" applyAlignment="1">
      <alignment horizontal="right"/>
    </xf>
    <xf numFmtId="164" fontId="26" fillId="0" borderId="0" xfId="0" applyNumberFormat="1" applyFont="1" applyAlignment="1">
      <alignment horizontal="right"/>
    </xf>
    <xf numFmtId="14" fontId="26" fillId="0" borderId="0" xfId="0" applyNumberFormat="1" applyFont="1" applyAlignment="1">
      <alignment horizontal="right"/>
    </xf>
    <xf numFmtId="0" fontId="20" fillId="0" borderId="0" xfId="0" applyFont="1" applyAlignment="1">
      <alignment horizontal="left"/>
    </xf>
    <xf numFmtId="0" fontId="20" fillId="5" borderId="1" xfId="0" applyFont="1" applyFill="1" applyBorder="1" applyAlignment="1">
      <alignment horizontal="left" vertical="center" wrapText="1" indent="1"/>
    </xf>
    <xf numFmtId="0" fontId="19" fillId="5" borderId="1" xfId="0" applyFont="1" applyFill="1" applyBorder="1" applyAlignment="1">
      <alignment horizontal="left" vertical="center" wrapText="1"/>
    </xf>
    <xf numFmtId="0" fontId="20" fillId="3" borderId="1" xfId="0" applyFont="1" applyFill="1" applyBorder="1" applyAlignment="1">
      <alignment horizontal="center" vertical="center" wrapText="1"/>
    </xf>
    <xf numFmtId="0" fontId="28" fillId="5" borderId="0" xfId="0" applyFont="1" applyFill="1"/>
    <xf numFmtId="0" fontId="30" fillId="5" borderId="0" xfId="0" applyFont="1" applyFill="1"/>
    <xf numFmtId="0" fontId="3" fillId="5" borderId="0" xfId="0" applyFont="1" applyFill="1"/>
    <xf numFmtId="0" fontId="6" fillId="5" borderId="0" xfId="0" applyFont="1" applyFill="1"/>
    <xf numFmtId="0" fontId="31" fillId="5" borderId="0" xfId="0" applyFont="1" applyFill="1" applyAlignment="1">
      <alignment horizontal="right"/>
    </xf>
    <xf numFmtId="0" fontId="30" fillId="5" borderId="0" xfId="0" applyFont="1" applyFill="1" applyAlignment="1">
      <alignment horizontal="right"/>
    </xf>
    <xf numFmtId="0" fontId="30" fillId="5" borderId="0" xfId="0" applyFont="1" applyFill="1" applyAlignment="1">
      <alignment horizontal="left" vertical="top" wrapText="1"/>
    </xf>
    <xf numFmtId="0" fontId="31" fillId="5" borderId="0" xfId="0" applyFont="1" applyFill="1" applyAlignment="1">
      <alignment horizontal="right" vertical="top" wrapText="1"/>
    </xf>
    <xf numFmtId="0" fontId="30" fillId="5" borderId="0" xfId="0" applyFont="1" applyFill="1" applyAlignment="1">
      <alignment vertical="top" wrapText="1"/>
    </xf>
    <xf numFmtId="0" fontId="31" fillId="5" borderId="0" xfId="0" applyFont="1" applyFill="1" applyAlignment="1">
      <alignment vertical="top" wrapText="1"/>
    </xf>
    <xf numFmtId="0" fontId="3" fillId="5" borderId="0" xfId="0" applyFont="1" applyFill="1" applyAlignment="1">
      <alignment vertical="top" wrapText="1"/>
    </xf>
    <xf numFmtId="0" fontId="31" fillId="5" borderId="0" xfId="0" applyFont="1" applyFill="1" applyAlignment="1">
      <alignment horizontal="center" vertical="top" wrapText="1"/>
    </xf>
    <xf numFmtId="0" fontId="27" fillId="5" borderId="0" xfId="0" applyFont="1" applyFill="1" applyAlignment="1">
      <alignment horizontal="center" wrapText="1"/>
    </xf>
    <xf numFmtId="0" fontId="31" fillId="5" borderId="1" xfId="0" applyFont="1" applyFill="1" applyBorder="1" applyAlignment="1">
      <alignment horizontal="center" vertical="center" wrapText="1"/>
    </xf>
    <xf numFmtId="0" fontId="27" fillId="5" borderId="1" xfId="0" applyFont="1" applyFill="1" applyBorder="1" applyAlignment="1">
      <alignment horizontal="center" vertical="center"/>
    </xf>
    <xf numFmtId="0" fontId="3" fillId="5" borderId="0" xfId="0" applyFont="1" applyFill="1" applyAlignment="1">
      <alignment vertical="top"/>
    </xf>
    <xf numFmtId="0" fontId="32" fillId="5" borderId="0" xfId="0" applyFont="1" applyFill="1"/>
    <xf numFmtId="0" fontId="4" fillId="5" borderId="0" xfId="0" applyFont="1" applyFill="1"/>
    <xf numFmtId="0" fontId="5" fillId="5" borderId="0" xfId="0" applyFont="1" applyFill="1"/>
    <xf numFmtId="0" fontId="28" fillId="5" borderId="0" xfId="0" applyFont="1" applyFill="1" applyAlignment="1">
      <alignment vertical="top" wrapText="1"/>
    </xf>
    <xf numFmtId="0" fontId="32" fillId="5" borderId="0" xfId="0" applyFont="1" applyFill="1" applyAlignment="1">
      <alignment vertical="top" wrapText="1"/>
    </xf>
    <xf numFmtId="0" fontId="28" fillId="5" borderId="0" xfId="0" applyFont="1" applyFill="1" applyAlignment="1">
      <alignment horizontal="left"/>
    </xf>
    <xf numFmtId="0" fontId="30" fillId="5" borderId="0" xfId="0" applyFont="1" applyFill="1" applyAlignment="1">
      <alignment vertical="top"/>
    </xf>
    <xf numFmtId="0" fontId="31" fillId="5" borderId="0" xfId="0" applyFont="1" applyFill="1"/>
    <xf numFmtId="0" fontId="31" fillId="4" borderId="0" xfId="0" applyFont="1" applyFill="1" applyAlignment="1">
      <alignment horizontal="center" vertical="top" wrapText="1"/>
    </xf>
    <xf numFmtId="0" fontId="31" fillId="4" borderId="0" xfId="0" applyFont="1" applyFill="1" applyAlignment="1">
      <alignment horizontal="right" vertical="top"/>
    </xf>
    <xf numFmtId="0" fontId="27" fillId="4" borderId="0" xfId="0" applyFont="1" applyFill="1" applyAlignment="1">
      <alignment horizontal="right" vertical="top" wrapText="1"/>
    </xf>
    <xf numFmtId="0" fontId="31" fillId="4" borderId="0" xfId="0" applyFont="1" applyFill="1" applyAlignment="1">
      <alignment horizontal="right"/>
    </xf>
    <xf numFmtId="0" fontId="36" fillId="5" borderId="0" xfId="0" applyFont="1" applyFill="1"/>
    <xf numFmtId="0" fontId="10" fillId="5" borderId="0" xfId="2" applyFont="1" applyFill="1"/>
    <xf numFmtId="0" fontId="37" fillId="5" borderId="0" xfId="2" applyFont="1" applyFill="1"/>
    <xf numFmtId="0" fontId="10" fillId="5" borderId="1" xfId="0" applyFont="1" applyFill="1" applyBorder="1" applyAlignment="1">
      <alignment horizontal="center" vertical="center" wrapText="1"/>
    </xf>
    <xf numFmtId="0" fontId="38" fillId="5" borderId="1" xfId="0" applyFont="1" applyFill="1" applyBorder="1" applyAlignment="1">
      <alignment horizontal="left" vertical="center" wrapText="1"/>
    </xf>
    <xf numFmtId="0" fontId="10" fillId="5" borderId="1" xfId="0" applyFont="1" applyFill="1" applyBorder="1" applyAlignment="1">
      <alignment vertical="center" wrapText="1"/>
    </xf>
    <xf numFmtId="0" fontId="36" fillId="5" borderId="1" xfId="0" applyFont="1" applyFill="1" applyBorder="1" applyAlignment="1">
      <alignment horizontal="center" vertical="center" wrapText="1"/>
    </xf>
    <xf numFmtId="0" fontId="23" fillId="5" borderId="1" xfId="0" applyFont="1" applyFill="1" applyBorder="1" applyAlignment="1">
      <alignment horizontal="center" vertical="center" wrapText="1"/>
    </xf>
    <xf numFmtId="0" fontId="0" fillId="4" borderId="0" xfId="0" applyFill="1"/>
    <xf numFmtId="165" fontId="0" fillId="4" borderId="0" xfId="3" applyNumberFormat="1" applyFont="1" applyFill="1"/>
    <xf numFmtId="0" fontId="40" fillId="4" borderId="0" xfId="0" applyFont="1" applyFill="1"/>
    <xf numFmtId="0" fontId="41" fillId="6" borderId="0" xfId="0" applyFont="1" applyFill="1"/>
    <xf numFmtId="0" fontId="39" fillId="4" borderId="0" xfId="0" applyFont="1" applyFill="1" applyAlignment="1">
      <alignment horizontal="center" vertical="center" wrapText="1"/>
    </xf>
    <xf numFmtId="0" fontId="3" fillId="5" borderId="0" xfId="0" applyFont="1" applyFill="1" applyAlignment="1">
      <alignment horizontal="left" vertical="top" wrapText="1"/>
    </xf>
    <xf numFmtId="0" fontId="35" fillId="3" borderId="0" xfId="0" applyFont="1" applyFill="1" applyAlignment="1">
      <alignment horizontal="center" vertical="center"/>
    </xf>
    <xf numFmtId="0" fontId="36" fillId="5" borderId="0" xfId="0" applyFont="1" applyFill="1" applyAlignment="1">
      <alignment horizontal="left" vertical="top" wrapText="1"/>
    </xf>
    <xf numFmtId="0" fontId="31" fillId="4" borderId="0" xfId="0" applyFont="1" applyFill="1" applyAlignment="1">
      <alignment horizontal="center" vertical="top" wrapText="1"/>
    </xf>
    <xf numFmtId="0" fontId="23" fillId="5" borderId="0" xfId="0" applyFont="1" applyFill="1" applyAlignment="1">
      <alignment horizontal="left" vertical="top" wrapText="1"/>
    </xf>
    <xf numFmtId="0" fontId="36" fillId="5" borderId="2" xfId="0" applyFont="1" applyFill="1" applyBorder="1" applyAlignment="1">
      <alignment horizontal="left" vertical="center" wrapText="1"/>
    </xf>
    <xf numFmtId="0" fontId="36" fillId="5" borderId="3" xfId="0" applyFont="1" applyFill="1" applyBorder="1" applyAlignment="1">
      <alignment horizontal="left" vertical="center" wrapText="1"/>
    </xf>
    <xf numFmtId="0" fontId="36" fillId="5" borderId="4" xfId="0" applyFont="1" applyFill="1" applyBorder="1" applyAlignment="1">
      <alignment horizontal="left" vertical="center" wrapText="1"/>
    </xf>
    <xf numFmtId="0" fontId="36" fillId="5" borderId="5" xfId="0" applyFont="1" applyFill="1" applyBorder="1" applyAlignment="1">
      <alignment horizontal="left" vertical="center" wrapText="1"/>
    </xf>
    <xf numFmtId="0" fontId="36" fillId="5" borderId="6" xfId="0" applyFont="1" applyFill="1" applyBorder="1" applyAlignment="1">
      <alignment horizontal="left" vertical="center" wrapText="1"/>
    </xf>
    <xf numFmtId="0" fontId="36" fillId="5" borderId="7" xfId="0" applyFont="1" applyFill="1" applyBorder="1" applyAlignment="1">
      <alignment horizontal="left" vertical="center" wrapText="1"/>
    </xf>
    <xf numFmtId="0" fontId="34" fillId="3" borderId="0" xfId="0" applyFont="1" applyFill="1" applyAlignment="1">
      <alignment horizontal="center" vertical="center"/>
    </xf>
    <xf numFmtId="0" fontId="36" fillId="5" borderId="0" xfId="0" applyFont="1" applyFill="1" applyAlignment="1">
      <alignment horizontal="left" wrapText="1"/>
    </xf>
    <xf numFmtId="0" fontId="19" fillId="2" borderId="0" xfId="1" applyFont="1" applyFill="1" applyAlignment="1">
      <alignment horizontal="center" vertical="top" wrapText="1"/>
    </xf>
    <xf numFmtId="0" fontId="20" fillId="3" borderId="0" xfId="1" applyFont="1" applyFill="1" applyAlignment="1">
      <alignment horizontal="center" vertical="center"/>
    </xf>
    <xf numFmtId="0" fontId="19" fillId="2" borderId="0" xfId="1" applyFont="1" applyFill="1" applyAlignment="1">
      <alignment horizontal="center" vertical="center" wrapText="1"/>
    </xf>
    <xf numFmtId="0" fontId="19" fillId="2" borderId="0" xfId="1" applyFont="1" applyFill="1" applyAlignment="1">
      <alignment horizontal="center" wrapText="1"/>
    </xf>
    <xf numFmtId="0" fontId="14" fillId="2" borderId="0" xfId="1" applyFont="1" applyFill="1" applyAlignment="1">
      <alignment horizontal="center" vertical="center"/>
    </xf>
    <xf numFmtId="0" fontId="22" fillId="2" borderId="0" xfId="2" applyFont="1" applyFill="1" applyAlignment="1">
      <alignment horizontal="center" vertical="center"/>
    </xf>
    <xf numFmtId="0" fontId="15" fillId="3" borderId="0" xfId="1" applyFont="1" applyFill="1" applyAlignment="1">
      <alignment horizontal="center" vertical="center"/>
    </xf>
    <xf numFmtId="0" fontId="13" fillId="2" borderId="0" xfId="1" applyFont="1" applyFill="1" applyAlignment="1">
      <alignment horizontal="center" vertical="center" wrapText="1"/>
    </xf>
    <xf numFmtId="0" fontId="14" fillId="2" borderId="0" xfId="1" applyFont="1" applyFill="1" applyAlignment="1">
      <alignment horizontal="center"/>
    </xf>
    <xf numFmtId="0" fontId="10" fillId="4" borderId="8" xfId="1" applyFont="1" applyFill="1" applyBorder="1" applyAlignment="1">
      <alignment horizontal="center" vertical="center"/>
    </xf>
    <xf numFmtId="0" fontId="10" fillId="4" borderId="9" xfId="1" applyFont="1" applyFill="1" applyBorder="1" applyAlignment="1">
      <alignment horizontal="center" vertical="center"/>
    </xf>
    <xf numFmtId="0" fontId="10" fillId="4" borderId="10" xfId="1" applyFont="1" applyFill="1" applyBorder="1" applyAlignment="1">
      <alignment horizontal="center" vertical="center"/>
    </xf>
    <xf numFmtId="0" fontId="10" fillId="4" borderId="11" xfId="1" applyFont="1" applyFill="1" applyBorder="1" applyAlignment="1">
      <alignment horizontal="center" vertical="center"/>
    </xf>
    <xf numFmtId="0" fontId="10" fillId="4" borderId="0" xfId="1" applyFont="1" applyFill="1" applyAlignment="1">
      <alignment horizontal="center" vertical="center"/>
    </xf>
    <xf numFmtId="0" fontId="10" fillId="4" borderId="12" xfId="1" applyFont="1" applyFill="1" applyBorder="1" applyAlignment="1">
      <alignment horizontal="center" vertical="center"/>
    </xf>
    <xf numFmtId="0" fontId="16" fillId="3" borderId="16" xfId="2" applyFont="1" applyFill="1" applyBorder="1" applyAlignment="1">
      <alignment horizontal="center" vertical="center"/>
    </xf>
    <xf numFmtId="0" fontId="16" fillId="3" borderId="17" xfId="2" applyFont="1" applyFill="1" applyBorder="1" applyAlignment="1">
      <alignment horizontal="center" vertical="center"/>
    </xf>
    <xf numFmtId="0" fontId="16" fillId="3" borderId="18" xfId="2" applyFont="1" applyFill="1" applyBorder="1" applyAlignment="1">
      <alignment horizontal="center" vertical="center"/>
    </xf>
    <xf numFmtId="0" fontId="39" fillId="6" borderId="0" xfId="0" applyFont="1" applyFill="1" applyAlignment="1">
      <alignment horizontal="center" vertical="center" wrapText="1"/>
    </xf>
    <xf numFmtId="0" fontId="14" fillId="5" borderId="0" xfId="0" applyFont="1" applyFill="1" applyAlignment="1">
      <alignment horizontal="center"/>
    </xf>
    <xf numFmtId="0" fontId="20" fillId="5" borderId="0" xfId="0" applyFont="1" applyFill="1" applyAlignment="1">
      <alignment horizontal="center"/>
    </xf>
    <xf numFmtId="0" fontId="29" fillId="3" borderId="0" xfId="0" applyFont="1" applyFill="1" applyAlignment="1">
      <alignment horizontal="center" vertical="center"/>
    </xf>
    <xf numFmtId="0" fontId="17" fillId="5" borderId="0" xfId="0" applyFont="1" applyFill="1" applyAlignment="1">
      <alignment horizontal="left" vertical="top" wrapText="1"/>
    </xf>
  </cellXfs>
  <cellStyles count="4">
    <cellStyle name="Hyperlink" xfId="2" builtinId="8"/>
    <cellStyle name="Normal" xfId="0" builtinId="0"/>
    <cellStyle name="Normal 2" xfId="1" xr:uid="{65D524A8-DFE9-453F-8DBC-6D86A10FB49F}"/>
    <cellStyle name="Percent" xfId="3" builtinId="5"/>
  </cellStyles>
  <dxfs count="183">
    <dxf>
      <font>
        <strike val="0"/>
        <outline val="0"/>
        <shadow val="0"/>
        <u val="none"/>
        <vertAlign val="baseline"/>
        <sz val="10"/>
        <color theme="0"/>
        <name val="Open Sans"/>
        <scheme val="none"/>
      </font>
      <alignment horizontal="right" vertical="bottom" textRotation="0" wrapText="0" indent="0" justifyLastLine="0" shrinkToFit="0" readingOrder="0"/>
    </dxf>
    <dxf>
      <font>
        <strike val="0"/>
        <outline val="0"/>
        <shadow val="0"/>
        <u val="none"/>
        <vertAlign val="baseline"/>
        <sz val="10"/>
        <color theme="0"/>
        <name val="Open Sans"/>
        <scheme val="none"/>
      </font>
      <numFmt numFmtId="0" formatCode="General"/>
      <alignment horizontal="right" vertical="bottom" textRotation="0" wrapText="0" indent="0" justifyLastLine="0" shrinkToFit="0" readingOrder="0"/>
    </dxf>
    <dxf>
      <font>
        <strike val="0"/>
        <outline val="0"/>
        <shadow val="0"/>
        <u val="none"/>
        <vertAlign val="baseline"/>
        <sz val="10"/>
        <color theme="0"/>
        <name val="Open Sans"/>
        <scheme val="none"/>
      </font>
      <numFmt numFmtId="19" formatCode="d/m/yyyy"/>
      <alignment horizontal="right" vertical="bottom" textRotation="0" wrapText="0" indent="0" justifyLastLine="0" shrinkToFit="0" readingOrder="0"/>
    </dxf>
    <dxf>
      <font>
        <strike val="0"/>
        <outline val="0"/>
        <shadow val="0"/>
        <u val="none"/>
        <vertAlign val="baseline"/>
        <sz val="10"/>
        <color theme="0"/>
        <name val="Open Sans"/>
        <scheme val="none"/>
      </font>
      <numFmt numFmtId="0" formatCode="General"/>
      <alignment horizontal="right" vertical="bottom" textRotation="0" wrapText="0" indent="0" justifyLastLine="0" shrinkToFit="0" readingOrder="0"/>
    </dxf>
    <dxf>
      <font>
        <strike val="0"/>
        <outline val="0"/>
        <shadow val="0"/>
        <u val="none"/>
        <vertAlign val="baseline"/>
        <sz val="10"/>
        <color theme="0"/>
        <name val="Open Sans"/>
        <scheme val="none"/>
      </font>
      <alignment horizontal="right" vertical="bottom" textRotation="0" wrapText="0" indent="0" justifyLastLine="0" shrinkToFit="0" readingOrder="0"/>
    </dxf>
    <dxf>
      <font>
        <strike val="0"/>
        <outline val="0"/>
        <shadow val="0"/>
        <u val="none"/>
        <vertAlign val="baseline"/>
        <sz val="10"/>
        <color theme="0"/>
        <name val="Open Sans"/>
        <scheme val="none"/>
      </font>
      <alignment horizontal="right" vertical="bottom" textRotation="0" wrapText="0" indent="0" justifyLastLine="0" shrinkToFit="0" readingOrder="0"/>
    </dxf>
    <dxf>
      <font>
        <strike val="0"/>
        <outline val="0"/>
        <shadow val="0"/>
        <u val="none"/>
        <vertAlign val="baseline"/>
        <sz val="10"/>
        <color theme="0"/>
        <name val="Open Sans"/>
        <scheme val="none"/>
      </font>
      <alignment horizontal="right" vertical="bottom" textRotation="0" wrapText="0" indent="0" justifyLastLine="0" shrinkToFit="0" readingOrder="0"/>
    </dxf>
    <dxf>
      <font>
        <strike val="0"/>
        <outline val="0"/>
        <shadow val="0"/>
        <u val="none"/>
        <vertAlign val="baseline"/>
        <sz val="10"/>
        <color theme="0"/>
        <name val="Open Sans"/>
        <scheme val="none"/>
      </font>
      <alignment horizontal="right" vertical="bottom" textRotation="0" wrapText="0" indent="0" justifyLastLine="0" shrinkToFit="0" readingOrder="0"/>
    </dxf>
    <dxf>
      <font>
        <strike val="0"/>
        <outline val="0"/>
        <shadow val="0"/>
        <u val="none"/>
        <vertAlign val="baseline"/>
        <sz val="10"/>
        <color theme="0"/>
        <name val="Open Sans"/>
        <scheme val="none"/>
      </font>
      <alignment horizontal="right" vertical="bottom" textRotation="0" wrapText="0" indent="0" justifyLastLine="0" shrinkToFit="0" readingOrder="0"/>
    </dxf>
    <dxf>
      <font>
        <strike val="0"/>
        <outline val="0"/>
        <shadow val="0"/>
        <u val="none"/>
        <vertAlign val="baseline"/>
        <sz val="10"/>
        <color theme="0"/>
        <name val="Open Sans"/>
        <scheme val="none"/>
      </font>
      <alignment horizontal="right" vertical="bottom" textRotation="0" wrapText="0" indent="0" justifyLastLine="0" shrinkToFit="0" readingOrder="0"/>
    </dxf>
    <dxf>
      <font>
        <strike val="0"/>
        <outline val="0"/>
        <shadow val="0"/>
        <u val="none"/>
        <vertAlign val="baseline"/>
        <sz val="10"/>
        <color theme="0"/>
        <name val="Open Sans"/>
        <scheme val="none"/>
      </font>
      <alignment horizontal="right" vertical="bottom" textRotation="0" wrapText="0" indent="0" justifyLastLine="0" shrinkToFit="0" readingOrder="0"/>
    </dxf>
    <dxf>
      <font>
        <strike val="0"/>
        <outline val="0"/>
        <shadow val="0"/>
        <u val="none"/>
        <vertAlign val="baseline"/>
        <sz val="10"/>
        <color theme="0"/>
        <name val="Open Sans"/>
        <scheme val="none"/>
      </font>
      <alignment horizontal="right" vertical="bottom" textRotation="0" wrapText="0" indent="0" justifyLastLine="0" shrinkToFit="0" readingOrder="0"/>
    </dxf>
    <dxf>
      <font>
        <strike val="0"/>
        <outline val="0"/>
        <shadow val="0"/>
        <u val="none"/>
        <vertAlign val="baseline"/>
        <sz val="10"/>
        <color theme="0"/>
        <name val="Open Sans"/>
        <scheme val="none"/>
      </font>
      <alignment horizontal="right" vertical="bottom" textRotation="0" wrapText="0" indent="0" justifyLastLine="0" shrinkToFit="0" readingOrder="0"/>
    </dxf>
    <dxf>
      <font>
        <strike val="0"/>
        <outline val="0"/>
        <shadow val="0"/>
        <u val="none"/>
        <vertAlign val="baseline"/>
        <sz val="10"/>
        <color theme="0"/>
        <name val="Open Sans"/>
        <scheme val="none"/>
      </font>
      <alignment horizontal="right" vertical="bottom" textRotation="0" wrapText="0" indent="0" justifyLastLine="0" shrinkToFit="0" readingOrder="0"/>
    </dxf>
    <dxf>
      <font>
        <strike val="0"/>
        <outline val="0"/>
        <shadow val="0"/>
        <u val="none"/>
        <vertAlign val="baseline"/>
        <sz val="10"/>
        <color theme="0"/>
        <name val="Open Sans"/>
        <scheme val="none"/>
      </font>
      <numFmt numFmtId="164" formatCode="[$-F400]h:mm:ss\ AM/PM"/>
      <alignment horizontal="right" vertical="bottom" textRotation="0" wrapText="0" indent="0" justifyLastLine="0" shrinkToFit="0" readingOrder="0"/>
    </dxf>
    <dxf>
      <font>
        <strike val="0"/>
        <outline val="0"/>
        <shadow val="0"/>
        <u val="none"/>
        <vertAlign val="baseline"/>
        <sz val="10"/>
        <color theme="0"/>
        <name val="Open Sans"/>
        <scheme val="none"/>
      </font>
      <alignment horizontal="right" vertical="bottom" textRotation="0" wrapText="0" indent="0" justifyLastLine="0" shrinkToFit="0" readingOrder="0"/>
    </dxf>
    <dxf>
      <font>
        <strike val="0"/>
        <outline val="0"/>
        <shadow val="0"/>
        <u val="none"/>
        <vertAlign val="baseline"/>
        <sz val="10"/>
        <color theme="0"/>
        <name val="Open Sans"/>
        <scheme val="none"/>
      </font>
      <alignment horizontal="right" vertical="bottom" textRotation="0" wrapText="0" indent="0" justifyLastLine="0" shrinkToFit="0" readingOrder="0"/>
    </dxf>
    <dxf>
      <font>
        <strike val="0"/>
        <outline val="0"/>
        <shadow val="0"/>
        <u val="none"/>
        <vertAlign val="baseline"/>
        <sz val="10"/>
        <color theme="0"/>
        <name val="Open Sans"/>
        <scheme val="none"/>
      </font>
      <numFmt numFmtId="0" formatCode="General"/>
      <alignment horizontal="left" vertical="bottom" textRotation="0" wrapText="0" indent="0" justifyLastLine="0" shrinkToFit="0" readingOrder="0"/>
    </dxf>
    <dxf>
      <font>
        <strike val="0"/>
        <outline val="0"/>
        <shadow val="0"/>
        <u val="none"/>
        <vertAlign val="baseline"/>
        <sz val="10"/>
        <color theme="0"/>
        <name val="Open Sans"/>
        <scheme val="none"/>
      </font>
      <numFmt numFmtId="0" formatCode="General"/>
      <alignment horizontal="left" vertical="bottom" textRotation="0" wrapText="0" indent="0" justifyLastLine="0" shrinkToFit="0" readingOrder="0"/>
    </dxf>
    <dxf>
      <font>
        <strike val="0"/>
        <outline val="0"/>
        <shadow val="0"/>
        <u val="none"/>
        <vertAlign val="baseline"/>
        <sz val="10"/>
        <color theme="0"/>
        <name val="Open Sans"/>
        <scheme val="none"/>
      </font>
      <numFmt numFmtId="0" formatCode="General"/>
      <alignment horizontal="left" vertical="bottom" textRotation="0" wrapText="0" indent="0" justifyLastLine="0" shrinkToFit="0" readingOrder="0"/>
    </dxf>
    <dxf>
      <font>
        <strike val="0"/>
        <outline val="0"/>
        <shadow val="0"/>
        <u val="none"/>
        <vertAlign val="baseline"/>
        <sz val="10"/>
        <color theme="0"/>
        <name val="Open Sans"/>
        <scheme val="none"/>
      </font>
      <numFmt numFmtId="0" formatCode="General"/>
      <alignment horizontal="left" vertical="bottom" textRotation="0" wrapText="0" indent="0" justifyLastLine="0" shrinkToFit="0" readingOrder="0"/>
    </dxf>
    <dxf>
      <font>
        <strike val="0"/>
        <outline val="0"/>
        <shadow val="0"/>
        <u val="none"/>
        <vertAlign val="baseline"/>
        <sz val="10"/>
        <color theme="0"/>
        <name val="Open Sans"/>
        <scheme val="none"/>
      </font>
      <alignment horizontal="left" vertical="bottom" textRotation="0" wrapText="0" indent="0" justifyLastLine="0" shrinkToFit="0" readingOrder="0"/>
    </dxf>
    <dxf>
      <font>
        <strike val="0"/>
        <outline val="0"/>
        <shadow val="0"/>
        <u val="none"/>
        <vertAlign val="baseline"/>
        <sz val="10"/>
        <color theme="0"/>
        <name val="Open Sans"/>
        <scheme val="none"/>
      </font>
    </dxf>
    <dxf>
      <font>
        <b/>
        <strike val="0"/>
        <outline val="0"/>
        <shadow val="0"/>
        <u val="none"/>
        <vertAlign val="baseline"/>
        <sz val="11"/>
        <color theme="0"/>
        <name val="Open Sans"/>
        <scheme val="none"/>
      </font>
      <alignment horizontal="left" vertical="bottom" textRotation="0" wrapText="0" indent="0" justifyLastLine="0" shrinkToFit="0" readingOrder="0"/>
    </dxf>
    <dxf>
      <font>
        <color rgb="FF0C0C0C"/>
      </font>
    </dxf>
    <dxf>
      <font>
        <color rgb="FF0C0C0C"/>
      </font>
    </dxf>
    <dxf>
      <font>
        <color rgb="FF0C0C0C"/>
      </font>
    </dxf>
    <dxf>
      <font>
        <color rgb="FF0C0C0C"/>
      </font>
    </dxf>
    <dxf>
      <fill>
        <patternFill>
          <bgColor rgb="FF1A1A1A"/>
        </patternFill>
      </fill>
    </dxf>
    <dxf>
      <fill>
        <patternFill>
          <bgColor rgb="FF1A1A1A"/>
        </patternFill>
      </fill>
    </dxf>
    <dxf>
      <fill>
        <patternFill>
          <bgColor rgb="FF1A1A1A"/>
        </patternFill>
      </fill>
    </dxf>
    <dxf>
      <fill>
        <patternFill>
          <bgColor rgb="FF1A1A1A"/>
        </patternFill>
      </fill>
    </dxf>
    <dxf>
      <fill>
        <patternFill>
          <bgColor rgb="FF1A1A1A"/>
        </patternFill>
      </fill>
    </dxf>
    <dxf>
      <fill>
        <patternFill>
          <bgColor rgb="FF1A1A1A"/>
        </patternFill>
      </fill>
    </dxf>
    <dxf>
      <fill>
        <patternFill>
          <bgColor rgb="FF1A1A1A"/>
        </patternFill>
      </fill>
    </dxf>
    <dxf>
      <fill>
        <patternFill>
          <bgColor rgb="FF1A1A1A"/>
        </patternFill>
      </fill>
    </dxf>
    <dxf>
      <fill>
        <patternFill>
          <bgColor rgb="FF1A1A1A"/>
        </patternFill>
      </fill>
    </dxf>
    <dxf>
      <fill>
        <patternFill>
          <bgColor rgb="FF1A1A1A"/>
        </patternFill>
      </fill>
    </dxf>
    <dxf>
      <fill>
        <patternFill>
          <bgColor rgb="FF1A1A1A"/>
        </patternFill>
      </fill>
    </dxf>
    <dxf>
      <fill>
        <patternFill>
          <bgColor rgb="FF1A1A1A"/>
        </patternFill>
      </fill>
    </dxf>
    <dxf>
      <fill>
        <patternFill>
          <bgColor rgb="FF1A1A1A"/>
        </patternFill>
      </fill>
    </dxf>
    <dxf>
      <fill>
        <patternFill>
          <bgColor rgb="FF1A1A1A"/>
        </patternFill>
      </fill>
    </dxf>
    <dxf>
      <fill>
        <patternFill>
          <bgColor rgb="FF1A1A1A"/>
        </patternFill>
      </fill>
    </dxf>
    <dxf>
      <fill>
        <patternFill>
          <bgColor rgb="FF1A1A1A"/>
        </patternFill>
      </fill>
    </dxf>
    <dxf>
      <fill>
        <patternFill>
          <bgColor rgb="FF121212"/>
        </patternFill>
      </fill>
    </dxf>
    <dxf>
      <fill>
        <patternFill>
          <bgColor rgb="FF121212"/>
        </patternFill>
      </fill>
    </dxf>
    <dxf>
      <fill>
        <patternFill>
          <bgColor rgb="FF121212"/>
        </patternFill>
      </fill>
    </dxf>
    <dxf>
      <fill>
        <patternFill>
          <bgColor rgb="FF121212"/>
        </patternFill>
      </fill>
    </dxf>
    <dxf>
      <fill>
        <patternFill>
          <bgColor rgb="FF121212"/>
        </patternFill>
      </fill>
    </dxf>
    <dxf>
      <fill>
        <patternFill>
          <bgColor rgb="FF121212"/>
        </patternFill>
      </fill>
    </dxf>
    <dxf>
      <fill>
        <patternFill>
          <bgColor rgb="FF121212"/>
        </patternFill>
      </fill>
    </dxf>
    <dxf>
      <fill>
        <patternFill>
          <bgColor rgb="FF121212"/>
        </patternFill>
      </fill>
    </dxf>
    <dxf>
      <fill>
        <patternFill>
          <bgColor rgb="FF121212"/>
        </patternFill>
      </fill>
    </dxf>
    <dxf>
      <fill>
        <patternFill>
          <bgColor rgb="FF121212"/>
        </patternFill>
      </fill>
    </dxf>
    <dxf>
      <fill>
        <patternFill>
          <bgColor rgb="FF121212"/>
        </patternFill>
      </fill>
    </dxf>
    <dxf>
      <fill>
        <patternFill>
          <bgColor rgb="FF121212"/>
        </patternFill>
      </fill>
    </dxf>
    <dxf>
      <fill>
        <patternFill>
          <bgColor rgb="FF121212"/>
        </patternFill>
      </fill>
    </dxf>
    <dxf>
      <fill>
        <patternFill>
          <bgColor rgb="FF121212"/>
        </patternFill>
      </fill>
    </dxf>
    <dxf>
      <fill>
        <patternFill>
          <bgColor rgb="FF121212"/>
        </patternFill>
      </fill>
    </dxf>
    <dxf>
      <fill>
        <patternFill>
          <bgColor rgb="FF121212"/>
        </patternFill>
      </fill>
    </dxf>
    <dxf>
      <fill>
        <patternFill>
          <bgColor rgb="FF121212"/>
        </patternFill>
      </fill>
    </dxf>
    <dxf>
      <fill>
        <patternFill>
          <bgColor rgb="FF121212"/>
        </patternFill>
      </fill>
    </dxf>
    <dxf>
      <fill>
        <patternFill>
          <bgColor rgb="FF121212"/>
        </patternFill>
      </fill>
    </dxf>
    <dxf>
      <fill>
        <patternFill>
          <bgColor rgb="FF121212"/>
        </patternFill>
      </fill>
    </dxf>
    <dxf>
      <fill>
        <patternFill>
          <bgColor rgb="FF121212"/>
        </patternFill>
      </fill>
    </dxf>
    <dxf>
      <fill>
        <patternFill>
          <bgColor rgb="FF121212"/>
        </patternFill>
      </fill>
    </dxf>
    <dxf>
      <fill>
        <patternFill>
          <bgColor rgb="FF151515"/>
        </patternFill>
      </fill>
    </dxf>
    <dxf>
      <fill>
        <patternFill>
          <bgColor rgb="FF151515"/>
        </patternFill>
      </fill>
    </dxf>
    <dxf>
      <fill>
        <patternFill>
          <bgColor rgb="FF151515"/>
        </patternFill>
      </fill>
    </dxf>
    <dxf>
      <fill>
        <patternFill>
          <bgColor rgb="FF151515"/>
        </patternFill>
      </fill>
    </dxf>
    <dxf>
      <fill>
        <patternFill>
          <bgColor rgb="FF151515"/>
        </patternFill>
      </fill>
    </dxf>
    <dxf>
      <fill>
        <patternFill>
          <bgColor rgb="FF151515"/>
        </patternFill>
      </fill>
    </dxf>
    <dxf>
      <fill>
        <patternFill>
          <bgColor rgb="FF151515"/>
        </patternFill>
      </fill>
    </dxf>
    <dxf>
      <fill>
        <patternFill>
          <bgColor rgb="FF151515"/>
        </patternFill>
      </fill>
    </dxf>
    <dxf>
      <fill>
        <patternFill>
          <bgColor rgb="FF151515"/>
        </patternFill>
      </fill>
    </dxf>
    <dxf>
      <fill>
        <patternFill>
          <bgColor rgb="FF151515"/>
        </patternFill>
      </fill>
    </dxf>
    <dxf>
      <fill>
        <patternFill>
          <bgColor rgb="FF151515"/>
        </patternFill>
      </fill>
    </dxf>
    <dxf>
      <fill>
        <patternFill>
          <bgColor rgb="FF151515"/>
        </patternFill>
      </fill>
    </dxf>
    <dxf>
      <fill>
        <patternFill>
          <bgColor rgb="FF151515"/>
        </patternFill>
      </fill>
    </dxf>
    <dxf>
      <fill>
        <patternFill>
          <bgColor rgb="FF151515"/>
        </patternFill>
      </fill>
    </dxf>
    <dxf>
      <fill>
        <patternFill>
          <bgColor rgb="FF151515"/>
        </patternFill>
      </fill>
    </dxf>
    <dxf>
      <fill>
        <patternFill>
          <bgColor rgb="FF151515"/>
        </patternFill>
      </fill>
    </dxf>
    <dxf>
      <fill>
        <patternFill>
          <bgColor rgb="FF1A1A1A"/>
        </patternFill>
      </fill>
    </dxf>
    <dxf>
      <fill>
        <patternFill>
          <bgColor rgb="FF1A1A1A"/>
        </patternFill>
      </fill>
    </dxf>
    <dxf>
      <fill>
        <patternFill>
          <bgColor rgb="FF1A1A1A"/>
        </patternFill>
      </fill>
    </dxf>
    <dxf>
      <fill>
        <patternFill>
          <bgColor rgb="FF1A1A1A"/>
        </patternFill>
      </fill>
    </dxf>
    <dxf>
      <font>
        <sz val="11"/>
      </font>
    </dxf>
    <dxf>
      <font>
        <sz val="11"/>
      </font>
    </dxf>
    <dxf>
      <font>
        <sz val="11"/>
      </font>
    </dxf>
    <dxf>
      <font>
        <sz val="11"/>
      </font>
    </dxf>
    <dxf>
      <font>
        <sz val="11"/>
      </font>
    </dxf>
    <dxf>
      <font>
        <sz val="11"/>
      </font>
    </dxf>
    <dxf>
      <font>
        <sz val="11"/>
      </font>
    </dxf>
    <dxf>
      <font>
        <color theme="0"/>
      </font>
    </dxf>
    <dxf>
      <font>
        <color theme="0"/>
      </font>
    </dxf>
    <dxf>
      <font>
        <color theme="0"/>
      </font>
    </dxf>
    <dxf>
      <font>
        <color theme="0"/>
      </font>
    </dxf>
    <dxf>
      <font>
        <color theme="0"/>
      </font>
    </dxf>
    <dxf>
      <font>
        <color theme="0"/>
      </font>
    </dxf>
    <dxf>
      <font>
        <color theme="0"/>
      </font>
    </dxf>
    <dxf>
      <font>
        <name val="Open Sans"/>
        <scheme val="none"/>
      </font>
    </dxf>
    <dxf>
      <font>
        <name val="Open Sans"/>
        <scheme val="none"/>
      </font>
    </dxf>
    <dxf>
      <font>
        <name val="Open Sans"/>
        <scheme val="none"/>
      </font>
    </dxf>
    <dxf>
      <font>
        <name val="Open Sans"/>
        <scheme val="none"/>
      </font>
    </dxf>
    <dxf>
      <font>
        <name val="Open Sans"/>
        <scheme val="none"/>
      </font>
    </dxf>
    <dxf>
      <font>
        <name val="Open Sans"/>
        <scheme val="none"/>
      </font>
    </dxf>
    <dxf>
      <font>
        <name val="Open Sans"/>
        <scheme val="none"/>
      </font>
    </dxf>
    <dxf>
      <fill>
        <patternFill>
          <bgColor rgb="FF1A1A1A"/>
        </patternFill>
      </fill>
    </dxf>
    <dxf>
      <fill>
        <patternFill>
          <bgColor rgb="FF1A1A1A"/>
        </patternFill>
      </fill>
    </dxf>
    <dxf>
      <fill>
        <patternFill>
          <bgColor rgb="FF0C0C0C"/>
        </patternFill>
      </fill>
    </dxf>
    <dxf>
      <fill>
        <patternFill>
          <bgColor rgb="FF0C0C0C"/>
        </patternFill>
      </fill>
    </dxf>
    <dxf>
      <fill>
        <patternFill>
          <bgColor rgb="FF0C0C0C"/>
        </patternFill>
      </fill>
    </dxf>
    <dxf>
      <fill>
        <patternFill>
          <bgColor rgb="FF0C0C0C"/>
        </patternFill>
      </fill>
    </dxf>
    <dxf>
      <fill>
        <patternFill>
          <bgColor rgb="FF0C0C0C"/>
        </patternFill>
      </fill>
    </dxf>
    <dxf>
      <font>
        <color rgb="FF0C0C0C"/>
      </font>
    </dxf>
    <dxf>
      <font>
        <color rgb="FF0C0C0C"/>
      </font>
    </dxf>
    <dxf>
      <font>
        <color rgb="FF0C0C0C"/>
      </font>
    </dxf>
    <dxf>
      <font>
        <color rgb="FF0C0C0C"/>
      </font>
    </dxf>
    <dxf>
      <font>
        <color rgb="FF0C0C0C"/>
      </font>
    </dxf>
    <dxf>
      <font>
        <color rgb="FF0C0C0C"/>
      </font>
    </dxf>
    <dxf>
      <font>
        <color rgb="FF0C0C0C"/>
      </font>
    </dxf>
    <dxf>
      <font>
        <color rgb="FF0C0C0C"/>
      </font>
    </dxf>
    <dxf>
      <font>
        <color rgb="FF0C0C0C"/>
      </font>
    </dxf>
    <dxf>
      <font>
        <color rgb="FF0C0C0C"/>
      </font>
    </dxf>
    <dxf>
      <font>
        <color rgb="FF0C0C0C"/>
      </font>
    </dxf>
    <dxf>
      <font>
        <color rgb="FF0C0C0C"/>
      </font>
    </dxf>
    <dxf>
      <font>
        <color rgb="FF0C0C0C"/>
      </font>
    </dxf>
    <dxf>
      <font>
        <color rgb="FF0C0C0C"/>
      </font>
    </dxf>
    <dxf>
      <font>
        <color rgb="FF0C0C0C"/>
      </font>
    </dxf>
    <dxf>
      <font>
        <color rgb="FF0C0C0C"/>
      </font>
    </dxf>
    <dxf>
      <font>
        <color rgb="FF0C0C0C"/>
      </font>
    </dxf>
    <dxf>
      <font>
        <color rgb="FF0C0C0C"/>
      </font>
    </dxf>
    <dxf>
      <font>
        <color rgb="FF0C0C0C"/>
      </font>
    </dxf>
    <dxf>
      <font>
        <color rgb="FF0C0C0C"/>
      </font>
    </dxf>
    <dxf>
      <font>
        <color rgb="FF0C0C0C"/>
      </font>
    </dxf>
    <dxf>
      <font>
        <color rgb="FF0C0C0C"/>
      </font>
    </dxf>
    <dxf>
      <fill>
        <patternFill>
          <bgColor rgb="FF0C0C0C"/>
        </patternFill>
      </fill>
    </dxf>
    <dxf>
      <fill>
        <patternFill>
          <bgColor rgb="FF0C0C0C"/>
        </patternFill>
      </fill>
    </dxf>
    <dxf>
      <fill>
        <patternFill>
          <bgColor rgb="FF0C0C0C"/>
        </patternFill>
      </fill>
    </dxf>
    <dxf>
      <fill>
        <patternFill>
          <bgColor rgb="FF0C0C0C"/>
        </patternFill>
      </fill>
    </dxf>
    <dxf>
      <fill>
        <patternFill>
          <bgColor rgb="FF0C0C0C"/>
        </patternFill>
      </fill>
    </dxf>
    <dxf>
      <fill>
        <patternFill>
          <bgColor rgb="FF0C0C0C"/>
        </patternFill>
      </fill>
    </dxf>
    <dxf>
      <fill>
        <patternFill>
          <bgColor rgb="FF0C0C0C"/>
        </patternFill>
      </fill>
    </dxf>
    <dxf>
      <fill>
        <patternFill>
          <bgColor rgb="FF0C0C0C"/>
        </patternFill>
      </fill>
    </dxf>
    <dxf>
      <fill>
        <patternFill>
          <bgColor rgb="FF0C0C0C"/>
        </patternFill>
      </fill>
    </dxf>
    <dxf>
      <fill>
        <patternFill>
          <bgColor rgb="FF0C0C0C"/>
        </patternFill>
      </fill>
    </dxf>
    <dxf>
      <fill>
        <patternFill>
          <bgColor rgb="FF0C0C0C"/>
        </patternFill>
      </fill>
    </dxf>
    <dxf>
      <fill>
        <patternFill>
          <bgColor rgb="FF0C0C0C"/>
        </patternFill>
      </fill>
    </dxf>
    <dxf>
      <fill>
        <patternFill>
          <bgColor rgb="FF0C0C0C"/>
        </patternFill>
      </fill>
    </dxf>
    <dxf>
      <fill>
        <patternFill>
          <bgColor rgb="FF0C0C0C"/>
        </patternFill>
      </fill>
    </dxf>
    <dxf>
      <fill>
        <patternFill>
          <bgColor rgb="FF0C0C0C"/>
        </patternFill>
      </fill>
    </dxf>
    <dxf>
      <fill>
        <patternFill>
          <bgColor rgb="FF0C0C0C"/>
        </patternFill>
      </fill>
    </dxf>
    <dxf>
      <fill>
        <patternFill>
          <bgColor rgb="FF0C0C0C"/>
        </patternFill>
      </fill>
    </dxf>
    <dxf>
      <fill>
        <patternFill>
          <bgColor rgb="FF0C0C0C"/>
        </patternFill>
      </fill>
    </dxf>
    <dxf>
      <fill>
        <patternFill>
          <bgColor rgb="FF0C0C0C"/>
        </patternFill>
      </fill>
    </dxf>
    <dxf>
      <fill>
        <patternFill>
          <bgColor rgb="FF0C0C0C"/>
        </patternFill>
      </fill>
    </dxf>
    <dxf>
      <fill>
        <patternFill>
          <bgColor rgb="FF0C0C0C"/>
        </patternFill>
      </fill>
    </dxf>
    <dxf>
      <fill>
        <patternFill>
          <bgColor rgb="FF0C0C0C"/>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bgColor rgb="FF151515"/>
        </patternFill>
      </fill>
    </dxf>
    <dxf>
      <fill>
        <patternFill>
          <bgColor rgb="FF0C0C0C"/>
        </patternFill>
      </fill>
    </dxf>
    <dxf>
      <fill>
        <patternFill>
          <bgColor rgb="FF1DB954"/>
        </patternFill>
      </fill>
    </dxf>
  </dxfs>
  <tableStyles count="1" defaultTableStyle="TableStyleMedium2" defaultPivotStyle="PivotStyleLight16">
    <tableStyle name="Table Style 1" pivot="0" count="3" xr9:uid="{7BD5BC1A-F9D7-4C4D-9FF9-6C3D0097F1EC}">
      <tableStyleElement type="headerRow" dxfId="182"/>
      <tableStyleElement type="firstRowStripe" dxfId="181"/>
      <tableStyleElement type="secondRowStripe" dxfId="180"/>
    </tableStyle>
  </tableStyles>
  <colors>
    <mruColors>
      <color rgb="FF0C0C0C"/>
      <color rgb="FF1DB954"/>
      <color rgb="FF151515"/>
      <color rgb="FF1A1A1A"/>
      <color rgb="FF121212"/>
      <color rgb="FF2C746C"/>
      <color rgb="FF379894"/>
      <color rgb="FF37987F"/>
      <color rgb="FF4BBAA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eetMetadata" Target="metadata.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dRichValueTypes" Target="richData/rdRichValueTypes.xml"/><Relationship Id="rId2" Type="http://schemas.openxmlformats.org/officeDocument/2006/relationships/worksheet" Target="worksheets/sheet2.xml"/><Relationship Id="rId16" Type="http://schemas.microsoft.com/office/2017/06/relationships/rdRichValueStructure" Target="richData/rdrichvaluestructure.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 Target="richData/rdrichvalue.xml"/><Relationship Id="rId10" Type="http://schemas.openxmlformats.org/officeDocument/2006/relationships/connections" Target="connections.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20/07/relationships/rdRichValueWebImage" Target="richData/rdRichValueWebImage.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bg1"/>
                </a:solidFill>
                <a:latin typeface="+mn-lt"/>
                <a:ea typeface="+mn-ea"/>
                <a:cs typeface="+mn-cs"/>
              </a:defRPr>
            </a:pPr>
            <a:r>
              <a:rPr lang="es-AR" sz="1300">
                <a:solidFill>
                  <a:srgbClr val="1DB954"/>
                </a:solidFill>
                <a:latin typeface="Open Sans" panose="020B0606030504020204" pitchFamily="34" charset="0"/>
                <a:ea typeface="Open Sans" panose="020B0606030504020204" pitchFamily="34" charset="0"/>
                <a:cs typeface="Open Sans" panose="020B0606030504020204" pitchFamily="34" charset="0"/>
              </a:rPr>
              <a:t>SONG Vs GENRE</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bg1"/>
              </a:solidFill>
              <a:latin typeface="+mn-lt"/>
              <a:ea typeface="+mn-ea"/>
              <a:cs typeface="+mn-cs"/>
            </a:defRPr>
          </a:pPr>
          <a:endParaRPr lang="es-AR"/>
        </a:p>
      </c:txPr>
    </c:title>
    <c:autoTitleDeleted val="0"/>
    <c:plotArea>
      <c:layout/>
      <c:radarChart>
        <c:radarStyle val="marker"/>
        <c:varyColors val="0"/>
        <c:ser>
          <c:idx val="0"/>
          <c:order val="0"/>
          <c:tx>
            <c:strRef>
              <c:f>'Song Dashboard'!$C$95</c:f>
              <c:strCache>
                <c:ptCount val="1"/>
                <c:pt idx="0">
                  <c:v>Value</c:v>
                </c:pt>
              </c:strCache>
            </c:strRef>
          </c:tx>
          <c:spPr>
            <a:ln w="34925" cap="rnd" cmpd="sng" algn="ctr">
              <a:solidFill>
                <a:srgbClr val="1DB954"/>
              </a:solidFill>
              <a:prstDash val="sysDot"/>
              <a:round/>
            </a:ln>
            <a:effectLst/>
          </c:spPr>
          <c:marker>
            <c:symbol val="diamond"/>
            <c:size val="3"/>
            <c:spPr>
              <a:solidFill>
                <a:srgbClr val="1DB954"/>
              </a:solidFill>
              <a:ln w="25400">
                <a:noFill/>
              </a:ln>
              <a:effectLst/>
            </c:spPr>
          </c:marker>
          <c:cat>
            <c:strRef>
              <c:f>'Song Dashboard'!$B$96:$B$102</c:f>
              <c:strCache>
                <c:ptCount val="7"/>
                <c:pt idx="0">
                  <c:v>Danceability</c:v>
                </c:pt>
                <c:pt idx="1">
                  <c:v>Energy</c:v>
                </c:pt>
                <c:pt idx="2">
                  <c:v>Loudness</c:v>
                </c:pt>
                <c:pt idx="3">
                  <c:v>Liveness</c:v>
                </c:pt>
                <c:pt idx="4">
                  <c:v>Acousticness</c:v>
                </c:pt>
                <c:pt idx="5">
                  <c:v>Instrumentalness</c:v>
                </c:pt>
                <c:pt idx="6">
                  <c:v>Speechiness</c:v>
                </c:pt>
              </c:strCache>
            </c:strRef>
          </c:cat>
          <c:val>
            <c:numRef>
              <c:f>'Song Dashboard'!$C$96:$C$102</c:f>
              <c:numCache>
                <c:formatCode>General</c:formatCode>
                <c:ptCount val="7"/>
                <c:pt idx="0">
                  <c:v>64</c:v>
                </c:pt>
                <c:pt idx="1">
                  <c:v>80</c:v>
                </c:pt>
                <c:pt idx="2">
                  <c:v>80</c:v>
                </c:pt>
                <c:pt idx="3">
                  <c:v>10</c:v>
                </c:pt>
                <c:pt idx="4">
                  <c:v>35</c:v>
                </c:pt>
                <c:pt idx="5">
                  <c:v>0</c:v>
                </c:pt>
                <c:pt idx="6">
                  <c:v>5</c:v>
                </c:pt>
              </c:numCache>
            </c:numRef>
          </c:val>
          <c:extLst>
            <c:ext xmlns:c16="http://schemas.microsoft.com/office/drawing/2014/chart" uri="{C3380CC4-5D6E-409C-BE32-E72D297353CC}">
              <c16:uniqueId val="{00000000-A1A5-4AB7-AB61-87C82670BB77}"/>
            </c:ext>
          </c:extLst>
        </c:ser>
        <c:ser>
          <c:idx val="1"/>
          <c:order val="1"/>
          <c:tx>
            <c:strRef>
              <c:f>'Song Dashboard'!$D$95</c:f>
              <c:strCache>
                <c:ptCount val="1"/>
                <c:pt idx="0">
                  <c:v>Genre Avg</c:v>
                </c:pt>
              </c:strCache>
            </c:strRef>
          </c:tx>
          <c:spPr>
            <a:ln w="38100" cap="rnd" cmpd="sng" algn="ctr">
              <a:solidFill>
                <a:schemeClr val="accent2"/>
              </a:solidFill>
              <a:prstDash val="sysDot"/>
              <a:round/>
            </a:ln>
            <a:effectLst/>
          </c:spPr>
          <c:marker>
            <c:symbol val="none"/>
          </c:marker>
          <c:cat>
            <c:strRef>
              <c:f>'Song Dashboard'!$B$96:$B$102</c:f>
              <c:strCache>
                <c:ptCount val="7"/>
                <c:pt idx="0">
                  <c:v>Danceability</c:v>
                </c:pt>
                <c:pt idx="1">
                  <c:v>Energy</c:v>
                </c:pt>
                <c:pt idx="2">
                  <c:v>Loudness</c:v>
                </c:pt>
                <c:pt idx="3">
                  <c:v>Liveness</c:v>
                </c:pt>
                <c:pt idx="4">
                  <c:v>Acousticness</c:v>
                </c:pt>
                <c:pt idx="5">
                  <c:v>Instrumentalness</c:v>
                </c:pt>
                <c:pt idx="6">
                  <c:v>Speechiness</c:v>
                </c:pt>
              </c:strCache>
            </c:strRef>
          </c:cat>
          <c:val>
            <c:numRef>
              <c:f>'Song Dashboard'!$D$96:$D$102</c:f>
              <c:numCache>
                <c:formatCode>0</c:formatCode>
                <c:ptCount val="7"/>
                <c:pt idx="0">
                  <c:v>65.285714285714292</c:v>
                </c:pt>
                <c:pt idx="1">
                  <c:v>55.428571428571431</c:v>
                </c:pt>
                <c:pt idx="2">
                  <c:v>82.285714285714292</c:v>
                </c:pt>
                <c:pt idx="3">
                  <c:v>11</c:v>
                </c:pt>
                <c:pt idx="4">
                  <c:v>37.714285714285715</c:v>
                </c:pt>
                <c:pt idx="5">
                  <c:v>0.14285714285714285</c:v>
                </c:pt>
                <c:pt idx="6">
                  <c:v>3.8571428571428572</c:v>
                </c:pt>
              </c:numCache>
            </c:numRef>
          </c:val>
          <c:extLst>
            <c:ext xmlns:c16="http://schemas.microsoft.com/office/drawing/2014/chart" uri="{C3380CC4-5D6E-409C-BE32-E72D297353CC}">
              <c16:uniqueId val="{00000001-A1A5-4AB7-AB61-87C82670BB77}"/>
            </c:ext>
          </c:extLst>
        </c:ser>
        <c:dLbls>
          <c:showLegendKey val="0"/>
          <c:showVal val="0"/>
          <c:showCatName val="0"/>
          <c:showSerName val="0"/>
          <c:showPercent val="0"/>
          <c:showBubbleSize val="0"/>
        </c:dLbls>
        <c:axId val="675364655"/>
        <c:axId val="673807087"/>
      </c:radarChart>
      <c:catAx>
        <c:axId val="6753646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bg1"/>
                </a:solidFill>
                <a:latin typeface="+mn-lt"/>
                <a:ea typeface="+mn-ea"/>
                <a:cs typeface="+mn-cs"/>
              </a:defRPr>
            </a:pPr>
            <a:endParaRPr lang="es-AR"/>
          </a:p>
        </c:txPr>
        <c:crossAx val="673807087"/>
        <c:crosses val="autoZero"/>
        <c:auto val="1"/>
        <c:lblAlgn val="ctr"/>
        <c:lblOffset val="100"/>
        <c:noMultiLvlLbl val="0"/>
      </c:catAx>
      <c:valAx>
        <c:axId val="673807087"/>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75364655"/>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A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A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300" b="1" i="0" u="none" strike="noStrike" kern="1200" cap="all" spc="150" baseline="0">
                <a:solidFill>
                  <a:schemeClr val="bg1"/>
                </a:solidFill>
                <a:latin typeface="Open Sans" panose="020B0606030504020204" pitchFamily="34" charset="0"/>
                <a:ea typeface="Open Sans" panose="020B0606030504020204" pitchFamily="34" charset="0"/>
                <a:cs typeface="Open Sans" panose="020B0606030504020204" pitchFamily="34" charset="0"/>
              </a:defRPr>
            </a:pPr>
            <a:r>
              <a:rPr lang="es-AR" sz="1300">
                <a:solidFill>
                  <a:srgbClr val="1DB954"/>
                </a:solidFill>
                <a:latin typeface="Open Sans" panose="020B0606030504020204" pitchFamily="34" charset="0"/>
                <a:ea typeface="Open Sans" panose="020B0606030504020204" pitchFamily="34" charset="0"/>
                <a:cs typeface="Open Sans" panose="020B0606030504020204" pitchFamily="34" charset="0"/>
              </a:rPr>
              <a:t>DEVIATION FROM GENRE</a:t>
            </a:r>
          </a:p>
        </c:rich>
      </c:tx>
      <c:overlay val="0"/>
      <c:spPr>
        <a:noFill/>
        <a:ln>
          <a:noFill/>
        </a:ln>
        <a:effectLst/>
      </c:spPr>
      <c:txPr>
        <a:bodyPr rot="0" spcFirstLastPara="1" vertOverflow="ellipsis" vert="horz" wrap="square" anchor="ctr" anchorCtr="1"/>
        <a:lstStyle/>
        <a:p>
          <a:pPr>
            <a:defRPr sz="1300" b="1" i="0" u="none" strike="noStrike" kern="1200" cap="all" spc="150" baseline="0">
              <a:solidFill>
                <a:schemeClr val="bg1"/>
              </a:solidFill>
              <a:latin typeface="Open Sans" panose="020B0606030504020204" pitchFamily="34" charset="0"/>
              <a:ea typeface="Open Sans" panose="020B0606030504020204" pitchFamily="34" charset="0"/>
              <a:cs typeface="Open Sans" panose="020B0606030504020204" pitchFamily="34" charset="0"/>
            </a:defRPr>
          </a:pPr>
          <a:endParaRPr lang="es-AR"/>
        </a:p>
      </c:txPr>
    </c:title>
    <c:autoTitleDeleted val="0"/>
    <c:plotArea>
      <c:layout/>
      <c:barChart>
        <c:barDir val="bar"/>
        <c:grouping val="clustered"/>
        <c:varyColors val="0"/>
        <c:ser>
          <c:idx val="0"/>
          <c:order val="0"/>
          <c:tx>
            <c:strRef>
              <c:f>'Song Dashboard'!$C$95</c:f>
              <c:strCache>
                <c:ptCount val="1"/>
                <c:pt idx="0">
                  <c:v>Value</c:v>
                </c:pt>
              </c:strCache>
            </c:strRef>
          </c:tx>
          <c:spPr>
            <a:solidFill>
              <a:srgbClr val="1DB954">
                <a:alpha val="92000"/>
              </a:srgbClr>
            </a:solidFill>
            <a:ln w="15875">
              <a:solidFill>
                <a:srgbClr val="1DB954">
                  <a:alpha val="93000"/>
                </a:srgbClr>
              </a:solidFill>
            </a:ln>
            <a:effectLst>
              <a:innerShdw blurRad="114300">
                <a:schemeClr val="accent1"/>
              </a:innerShdw>
            </a:effectLst>
          </c:spPr>
          <c:invertIfNegative val="0"/>
          <c:cat>
            <c:strRef>
              <c:f>'Song Dashboard'!$B$96:$B$102</c:f>
              <c:strCache>
                <c:ptCount val="7"/>
                <c:pt idx="0">
                  <c:v>Danceability</c:v>
                </c:pt>
                <c:pt idx="1">
                  <c:v>Energy</c:v>
                </c:pt>
                <c:pt idx="2">
                  <c:v>Loudness</c:v>
                </c:pt>
                <c:pt idx="3">
                  <c:v>Liveness</c:v>
                </c:pt>
                <c:pt idx="4">
                  <c:v>Acousticness</c:v>
                </c:pt>
                <c:pt idx="5">
                  <c:v>Instrumentalness</c:v>
                </c:pt>
                <c:pt idx="6">
                  <c:v>Speechiness</c:v>
                </c:pt>
              </c:strCache>
            </c:strRef>
          </c:cat>
          <c:val>
            <c:numRef>
              <c:f>'Song Dashboard'!$C$96:$C$102</c:f>
              <c:numCache>
                <c:formatCode>General</c:formatCode>
                <c:ptCount val="7"/>
                <c:pt idx="0">
                  <c:v>64</c:v>
                </c:pt>
                <c:pt idx="1">
                  <c:v>80</c:v>
                </c:pt>
                <c:pt idx="2">
                  <c:v>80</c:v>
                </c:pt>
                <c:pt idx="3">
                  <c:v>10</c:v>
                </c:pt>
                <c:pt idx="4">
                  <c:v>35</c:v>
                </c:pt>
                <c:pt idx="5">
                  <c:v>0</c:v>
                </c:pt>
                <c:pt idx="6">
                  <c:v>5</c:v>
                </c:pt>
              </c:numCache>
            </c:numRef>
          </c:val>
          <c:extLst>
            <c:ext xmlns:c16="http://schemas.microsoft.com/office/drawing/2014/chart" uri="{C3380CC4-5D6E-409C-BE32-E72D297353CC}">
              <c16:uniqueId val="{00000000-0255-4D42-8B2E-508F938CC1E6}"/>
            </c:ext>
          </c:extLst>
        </c:ser>
        <c:ser>
          <c:idx val="1"/>
          <c:order val="1"/>
          <c:tx>
            <c:strRef>
              <c:f>'Song Dashboard'!$D$95</c:f>
              <c:strCache>
                <c:ptCount val="1"/>
                <c:pt idx="0">
                  <c:v>Genre Avg</c:v>
                </c:pt>
              </c:strCache>
            </c:strRef>
          </c:tx>
          <c:spPr>
            <a:pattFill prst="narVert">
              <a:fgClr>
                <a:schemeClr val="accent2"/>
              </a:fgClr>
              <a:bgClr>
                <a:schemeClr val="accent2">
                  <a:lumMod val="20000"/>
                  <a:lumOff val="80000"/>
                </a:schemeClr>
              </a:bgClr>
            </a:pattFill>
            <a:ln w="15875">
              <a:noFill/>
            </a:ln>
            <a:effectLst>
              <a:innerShdw blurRad="114300">
                <a:schemeClr val="accent2"/>
              </a:innerShdw>
            </a:effectLst>
          </c:spPr>
          <c:invertIfNegative val="0"/>
          <c:cat>
            <c:strRef>
              <c:f>'Song Dashboard'!$B$96:$B$102</c:f>
              <c:strCache>
                <c:ptCount val="7"/>
                <c:pt idx="0">
                  <c:v>Danceability</c:v>
                </c:pt>
                <c:pt idx="1">
                  <c:v>Energy</c:v>
                </c:pt>
                <c:pt idx="2">
                  <c:v>Loudness</c:v>
                </c:pt>
                <c:pt idx="3">
                  <c:v>Liveness</c:v>
                </c:pt>
                <c:pt idx="4">
                  <c:v>Acousticness</c:v>
                </c:pt>
                <c:pt idx="5">
                  <c:v>Instrumentalness</c:v>
                </c:pt>
                <c:pt idx="6">
                  <c:v>Speechiness</c:v>
                </c:pt>
              </c:strCache>
            </c:strRef>
          </c:cat>
          <c:val>
            <c:numRef>
              <c:f>'Song Dashboard'!$D$96:$D$102</c:f>
              <c:numCache>
                <c:formatCode>0</c:formatCode>
                <c:ptCount val="7"/>
                <c:pt idx="0">
                  <c:v>65.285714285714292</c:v>
                </c:pt>
                <c:pt idx="1">
                  <c:v>55.428571428571431</c:v>
                </c:pt>
                <c:pt idx="2">
                  <c:v>82.285714285714292</c:v>
                </c:pt>
                <c:pt idx="3">
                  <c:v>11</c:v>
                </c:pt>
                <c:pt idx="4">
                  <c:v>37.714285714285715</c:v>
                </c:pt>
                <c:pt idx="5">
                  <c:v>0.14285714285714285</c:v>
                </c:pt>
                <c:pt idx="6">
                  <c:v>3.8571428571428572</c:v>
                </c:pt>
              </c:numCache>
            </c:numRef>
          </c:val>
          <c:extLst>
            <c:ext xmlns:c16="http://schemas.microsoft.com/office/drawing/2014/chart" uri="{C3380CC4-5D6E-409C-BE32-E72D297353CC}">
              <c16:uniqueId val="{00000001-0255-4D42-8B2E-508F938CC1E6}"/>
            </c:ext>
          </c:extLst>
        </c:ser>
        <c:dLbls>
          <c:showLegendKey val="0"/>
          <c:showVal val="0"/>
          <c:showCatName val="0"/>
          <c:showSerName val="0"/>
          <c:showPercent val="0"/>
          <c:showBubbleSize val="0"/>
        </c:dLbls>
        <c:gapWidth val="227"/>
        <c:overlap val="-48"/>
        <c:axId val="675403167"/>
        <c:axId val="673732687"/>
      </c:barChart>
      <c:catAx>
        <c:axId val="675403167"/>
        <c:scaling>
          <c:orientation val="minMax"/>
        </c:scaling>
        <c:delete val="0"/>
        <c:axPos val="l"/>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1100" b="1" i="0" u="none" strike="noStrike" kern="1200" baseline="0">
                <a:solidFill>
                  <a:schemeClr val="bg1"/>
                </a:solidFill>
                <a:latin typeface="+mn-lt"/>
                <a:ea typeface="+mn-ea"/>
                <a:cs typeface="+mn-cs"/>
              </a:defRPr>
            </a:pPr>
            <a:endParaRPr lang="es-AR"/>
          </a:p>
        </c:txPr>
        <c:crossAx val="673732687"/>
        <c:crosses val="autoZero"/>
        <c:auto val="1"/>
        <c:lblAlgn val="ctr"/>
        <c:lblOffset val="100"/>
        <c:noMultiLvlLbl val="0"/>
      </c:catAx>
      <c:valAx>
        <c:axId val="673732687"/>
        <c:scaling>
          <c:orientation val="minMax"/>
        </c:scaling>
        <c:delete val="1"/>
        <c:axPos val="b"/>
        <c:numFmt formatCode="General" sourceLinked="1"/>
        <c:majorTickMark val="none"/>
        <c:minorTickMark val="none"/>
        <c:tickLblPos val="nextTo"/>
        <c:crossAx val="675403167"/>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A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A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300" b="1" i="0" u="none" strike="noStrike" kern="1200" spc="0" baseline="0">
                <a:solidFill>
                  <a:schemeClr val="tx1">
                    <a:lumMod val="65000"/>
                    <a:lumOff val="35000"/>
                  </a:schemeClr>
                </a:solidFill>
                <a:latin typeface="Open Sans" pitchFamily="2" charset="0"/>
                <a:ea typeface="Open Sans" pitchFamily="2" charset="0"/>
                <a:cs typeface="Open Sans" pitchFamily="2" charset="0"/>
              </a:defRPr>
            </a:pPr>
            <a:r>
              <a:rPr lang="es-AR" sz="1300" b="1" i="0" u="none" strike="noStrike" baseline="0">
                <a:effectLst/>
                <a:latin typeface="Open Sans" pitchFamily="2" charset="0"/>
                <a:ea typeface="Open Sans" pitchFamily="2" charset="0"/>
                <a:cs typeface="Open Sans" pitchFamily="2" charset="0"/>
              </a:rPr>
              <a:t>1 - Songs Released vs Top 10 Hits</a:t>
            </a:r>
            <a:endParaRPr lang="es-AR" sz="1300" b="1">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300" b="1" i="0" u="none" strike="noStrike" kern="1200" spc="0" baseline="0">
              <a:solidFill>
                <a:schemeClr val="tx1">
                  <a:lumMod val="65000"/>
                  <a:lumOff val="35000"/>
                </a:schemeClr>
              </a:solidFill>
              <a:latin typeface="Open Sans" pitchFamily="2" charset="0"/>
              <a:ea typeface="Open Sans" pitchFamily="2" charset="0"/>
              <a:cs typeface="Open Sans" pitchFamily="2" charset="0"/>
            </a:defRPr>
          </a:pPr>
          <a:endParaRPr lang="es-AR"/>
        </a:p>
      </c:txPr>
    </c:title>
    <c:autoTitleDeleted val="0"/>
    <c:plotArea>
      <c:layout>
        <c:manualLayout>
          <c:layoutTarget val="inner"/>
          <c:xMode val="edge"/>
          <c:yMode val="edge"/>
          <c:x val="0.21514669305080319"/>
          <c:y val="0.13297962346086498"/>
          <c:w val="0.74864620979969132"/>
          <c:h val="0.6882741130297767"/>
        </c:manualLayout>
      </c:layout>
      <c:barChart>
        <c:barDir val="bar"/>
        <c:grouping val="clustered"/>
        <c:varyColors val="0"/>
        <c:ser>
          <c:idx val="0"/>
          <c:order val="0"/>
          <c:tx>
            <c:strRef>
              <c:f>'Statistical Summary'!$C$45</c:f>
              <c:strCache>
                <c:ptCount val="1"/>
                <c:pt idx="0">
                  <c:v>Songs (Top 200)</c:v>
                </c:pt>
              </c:strCache>
            </c:strRef>
          </c:tx>
          <c:spPr>
            <a:solidFill>
              <a:srgbClr val="1DB954"/>
            </a:solidFill>
            <a:ln>
              <a:noFill/>
            </a:ln>
            <a:effectLst/>
          </c:spPr>
          <c:invertIfNegative val="0"/>
          <c:cat>
            <c:strRef>
              <c:f>'Statistical Summary'!$B$46:$B$56</c:f>
              <c:strCache>
                <c:ptCount val="11"/>
                <c:pt idx="0">
                  <c:v>Taylor Swift</c:v>
                </c:pt>
                <c:pt idx="1">
                  <c:v>Bad Bunny</c:v>
                </c:pt>
                <c:pt idx="2">
                  <c:v>BTS</c:v>
                </c:pt>
                <c:pt idx="3">
                  <c:v>Sabrina Carpenter</c:v>
                </c:pt>
                <c:pt idx="4">
                  <c:v>The Weeknd</c:v>
                </c:pt>
                <c:pt idx="5">
                  <c:v>Olivia Rodrigo</c:v>
                </c:pt>
                <c:pt idx="6">
                  <c:v>Ariana Grande</c:v>
                </c:pt>
                <c:pt idx="7">
                  <c:v>Justin Bieber</c:v>
                </c:pt>
                <c:pt idx="8">
                  <c:v>Drake</c:v>
                </c:pt>
                <c:pt idx="9">
                  <c:v>Bruno Mars</c:v>
                </c:pt>
                <c:pt idx="10">
                  <c:v>Harry Styles</c:v>
                </c:pt>
              </c:strCache>
            </c:strRef>
          </c:cat>
          <c:val>
            <c:numRef>
              <c:f>'Statistical Summary'!$C$46:$C$56</c:f>
              <c:numCache>
                <c:formatCode>General</c:formatCode>
                <c:ptCount val="11"/>
                <c:pt idx="0">
                  <c:v>26</c:v>
                </c:pt>
                <c:pt idx="1">
                  <c:v>32</c:v>
                </c:pt>
                <c:pt idx="2">
                  <c:v>16</c:v>
                </c:pt>
                <c:pt idx="3">
                  <c:v>24</c:v>
                </c:pt>
                <c:pt idx="4">
                  <c:v>23</c:v>
                </c:pt>
                <c:pt idx="5">
                  <c:v>15</c:v>
                </c:pt>
                <c:pt idx="6">
                  <c:v>28</c:v>
                </c:pt>
                <c:pt idx="7">
                  <c:v>36</c:v>
                </c:pt>
                <c:pt idx="8">
                  <c:v>41</c:v>
                </c:pt>
                <c:pt idx="9">
                  <c:v>22</c:v>
                </c:pt>
                <c:pt idx="10">
                  <c:v>15</c:v>
                </c:pt>
              </c:numCache>
            </c:numRef>
          </c:val>
          <c:extLst>
            <c:ext xmlns:c16="http://schemas.microsoft.com/office/drawing/2014/chart" uri="{C3380CC4-5D6E-409C-BE32-E72D297353CC}">
              <c16:uniqueId val="{00000000-1136-4C90-B7C9-8AE3E0FD38EE}"/>
            </c:ext>
          </c:extLst>
        </c:ser>
        <c:ser>
          <c:idx val="1"/>
          <c:order val="1"/>
          <c:tx>
            <c:strRef>
              <c:f>'Statistical Summary'!$D$45</c:f>
              <c:strCache>
                <c:ptCount val="1"/>
                <c:pt idx="0">
                  <c:v>Hits (Top 10)</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A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'Statistical Summary'!$B$46:$B$56</c:f>
              <c:strCache>
                <c:ptCount val="11"/>
                <c:pt idx="0">
                  <c:v>Taylor Swift</c:v>
                </c:pt>
                <c:pt idx="1">
                  <c:v>Bad Bunny</c:v>
                </c:pt>
                <c:pt idx="2">
                  <c:v>BTS</c:v>
                </c:pt>
                <c:pt idx="3">
                  <c:v>Sabrina Carpenter</c:v>
                </c:pt>
                <c:pt idx="4">
                  <c:v>The Weeknd</c:v>
                </c:pt>
                <c:pt idx="5">
                  <c:v>Olivia Rodrigo</c:v>
                </c:pt>
                <c:pt idx="6">
                  <c:v>Ariana Grande</c:v>
                </c:pt>
                <c:pt idx="7">
                  <c:v>Justin Bieber</c:v>
                </c:pt>
                <c:pt idx="8">
                  <c:v>Drake</c:v>
                </c:pt>
                <c:pt idx="9">
                  <c:v>Bruno Mars</c:v>
                </c:pt>
                <c:pt idx="10">
                  <c:v>Harry Styles</c:v>
                </c:pt>
              </c:strCache>
            </c:strRef>
          </c:cat>
          <c:val>
            <c:numRef>
              <c:f>'Statistical Summary'!$D$46:$D$56</c:f>
              <c:numCache>
                <c:formatCode>General</c:formatCode>
                <c:ptCount val="11"/>
                <c:pt idx="0">
                  <c:v>19</c:v>
                </c:pt>
                <c:pt idx="1">
                  <c:v>15</c:v>
                </c:pt>
                <c:pt idx="2">
                  <c:v>10</c:v>
                </c:pt>
                <c:pt idx="3">
                  <c:v>9</c:v>
                </c:pt>
                <c:pt idx="4">
                  <c:v>8</c:v>
                </c:pt>
                <c:pt idx="5">
                  <c:v>7</c:v>
                </c:pt>
                <c:pt idx="6">
                  <c:v>6</c:v>
                </c:pt>
                <c:pt idx="7">
                  <c:v>6</c:v>
                </c:pt>
                <c:pt idx="8">
                  <c:v>6</c:v>
                </c:pt>
                <c:pt idx="9">
                  <c:v>5</c:v>
                </c:pt>
                <c:pt idx="10">
                  <c:v>4</c:v>
                </c:pt>
              </c:numCache>
            </c:numRef>
          </c:val>
          <c:extLst>
            <c:ext xmlns:c16="http://schemas.microsoft.com/office/drawing/2014/chart" uri="{C3380CC4-5D6E-409C-BE32-E72D297353CC}">
              <c16:uniqueId val="{00000001-1136-4C90-B7C9-8AE3E0FD38EE}"/>
            </c:ext>
          </c:extLst>
        </c:ser>
        <c:dLbls>
          <c:showLegendKey val="0"/>
          <c:showVal val="0"/>
          <c:showCatName val="0"/>
          <c:showSerName val="0"/>
          <c:showPercent val="0"/>
          <c:showBubbleSize val="0"/>
        </c:dLbls>
        <c:gapWidth val="182"/>
        <c:axId val="1461849551"/>
        <c:axId val="673816687"/>
      </c:barChart>
      <c:catAx>
        <c:axId val="14618495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es-AR"/>
          </a:p>
        </c:txPr>
        <c:crossAx val="673816687"/>
        <c:crosses val="autoZero"/>
        <c:auto val="1"/>
        <c:lblAlgn val="ctr"/>
        <c:lblOffset val="100"/>
        <c:noMultiLvlLbl val="0"/>
      </c:catAx>
      <c:valAx>
        <c:axId val="67381668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46184955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A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300" b="1" i="0" u="none" strike="noStrike" kern="1200" spc="0" baseline="0">
                <a:solidFill>
                  <a:schemeClr val="tx1">
                    <a:lumMod val="65000"/>
                    <a:lumOff val="35000"/>
                  </a:schemeClr>
                </a:solidFill>
                <a:latin typeface="Open Sans" pitchFamily="2" charset="0"/>
                <a:ea typeface="Open Sans" pitchFamily="2" charset="0"/>
                <a:cs typeface="Open Sans" pitchFamily="2" charset="0"/>
              </a:defRPr>
            </a:pPr>
            <a:r>
              <a:rPr lang="es-AR" sz="1300" b="1" i="0" u="none" strike="noStrike" baseline="0">
                <a:effectLst/>
                <a:latin typeface="Open Sans" pitchFamily="2" charset="0"/>
                <a:ea typeface="Open Sans" pitchFamily="2" charset="0"/>
                <a:cs typeface="Open Sans" pitchFamily="2" charset="0"/>
              </a:rPr>
              <a:t>2 - Hit Rate (Top 10) by Artist</a:t>
            </a:r>
            <a:endParaRPr lang="es-AR" sz="1300" b="1">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300" b="1" i="0" u="none" strike="noStrike" kern="1200" spc="0" baseline="0">
              <a:solidFill>
                <a:schemeClr val="tx1">
                  <a:lumMod val="65000"/>
                  <a:lumOff val="35000"/>
                </a:schemeClr>
              </a:solidFill>
              <a:latin typeface="Open Sans" pitchFamily="2" charset="0"/>
              <a:ea typeface="Open Sans" pitchFamily="2" charset="0"/>
              <a:cs typeface="Open Sans" pitchFamily="2" charset="0"/>
            </a:defRPr>
          </a:pPr>
          <a:endParaRPr lang="es-AR"/>
        </a:p>
      </c:txPr>
    </c:title>
    <c:autoTitleDeleted val="0"/>
    <c:plotArea>
      <c:layout/>
      <c:barChart>
        <c:barDir val="bar"/>
        <c:grouping val="clustered"/>
        <c:varyColors val="1"/>
        <c:ser>
          <c:idx val="0"/>
          <c:order val="0"/>
          <c:tx>
            <c:strRef>
              <c:f>'Statistical Summary'!$E$45</c:f>
              <c:strCache>
                <c:ptCount val="1"/>
                <c:pt idx="0">
                  <c:v>Hit Rate</c:v>
                </c:pt>
              </c:strCache>
            </c:strRef>
          </c:tx>
          <c:spPr>
            <a:solidFill>
              <a:srgbClr val="1DB954"/>
            </a:solidFill>
          </c:spPr>
          <c:invertIfNegative val="0"/>
          <c:dPt>
            <c:idx val="0"/>
            <c:invertIfNegative val="0"/>
            <c:bubble3D val="0"/>
            <c:spPr>
              <a:solidFill>
                <a:srgbClr val="1DB954"/>
              </a:solidFill>
              <a:ln>
                <a:noFill/>
              </a:ln>
              <a:effectLst/>
            </c:spPr>
            <c:extLst>
              <c:ext xmlns:c16="http://schemas.microsoft.com/office/drawing/2014/chart" uri="{C3380CC4-5D6E-409C-BE32-E72D297353CC}">
                <c16:uniqueId val="{00000001-8C2D-4333-9F3E-ACC75AE9FDC8}"/>
              </c:ext>
            </c:extLst>
          </c:dPt>
          <c:dPt>
            <c:idx val="1"/>
            <c:invertIfNegative val="0"/>
            <c:bubble3D val="0"/>
            <c:spPr>
              <a:solidFill>
                <a:srgbClr val="1DB954"/>
              </a:solidFill>
              <a:ln>
                <a:noFill/>
              </a:ln>
              <a:effectLst/>
            </c:spPr>
            <c:extLst>
              <c:ext xmlns:c16="http://schemas.microsoft.com/office/drawing/2014/chart" uri="{C3380CC4-5D6E-409C-BE32-E72D297353CC}">
                <c16:uniqueId val="{00000003-8C2D-4333-9F3E-ACC75AE9FDC8}"/>
              </c:ext>
            </c:extLst>
          </c:dPt>
          <c:dPt>
            <c:idx val="2"/>
            <c:invertIfNegative val="0"/>
            <c:bubble3D val="0"/>
            <c:spPr>
              <a:solidFill>
                <a:srgbClr val="1DB954"/>
              </a:solidFill>
              <a:ln>
                <a:noFill/>
              </a:ln>
              <a:effectLst/>
            </c:spPr>
            <c:extLst>
              <c:ext xmlns:c16="http://schemas.microsoft.com/office/drawing/2014/chart" uri="{C3380CC4-5D6E-409C-BE32-E72D297353CC}">
                <c16:uniqueId val="{00000005-8C2D-4333-9F3E-ACC75AE9FDC8}"/>
              </c:ext>
            </c:extLst>
          </c:dPt>
          <c:dPt>
            <c:idx val="3"/>
            <c:invertIfNegative val="0"/>
            <c:bubble3D val="0"/>
            <c:spPr>
              <a:solidFill>
                <a:srgbClr val="1DB954"/>
              </a:solidFill>
              <a:ln>
                <a:noFill/>
              </a:ln>
              <a:effectLst/>
            </c:spPr>
            <c:extLst>
              <c:ext xmlns:c16="http://schemas.microsoft.com/office/drawing/2014/chart" uri="{C3380CC4-5D6E-409C-BE32-E72D297353CC}">
                <c16:uniqueId val="{00000007-8C2D-4333-9F3E-ACC75AE9FDC8}"/>
              </c:ext>
            </c:extLst>
          </c:dPt>
          <c:dPt>
            <c:idx val="4"/>
            <c:invertIfNegative val="0"/>
            <c:bubble3D val="0"/>
            <c:spPr>
              <a:solidFill>
                <a:srgbClr val="1DB954"/>
              </a:solidFill>
              <a:ln>
                <a:noFill/>
              </a:ln>
              <a:effectLst/>
            </c:spPr>
            <c:extLst>
              <c:ext xmlns:c16="http://schemas.microsoft.com/office/drawing/2014/chart" uri="{C3380CC4-5D6E-409C-BE32-E72D297353CC}">
                <c16:uniqueId val="{00000009-8C2D-4333-9F3E-ACC75AE9FDC8}"/>
              </c:ext>
            </c:extLst>
          </c:dPt>
          <c:dPt>
            <c:idx val="5"/>
            <c:invertIfNegative val="0"/>
            <c:bubble3D val="0"/>
            <c:spPr>
              <a:solidFill>
                <a:srgbClr val="1DB954"/>
              </a:solidFill>
              <a:ln>
                <a:noFill/>
              </a:ln>
              <a:effectLst/>
            </c:spPr>
            <c:extLst>
              <c:ext xmlns:c16="http://schemas.microsoft.com/office/drawing/2014/chart" uri="{C3380CC4-5D6E-409C-BE32-E72D297353CC}">
                <c16:uniqueId val="{0000000B-8C2D-4333-9F3E-ACC75AE9FDC8}"/>
              </c:ext>
            </c:extLst>
          </c:dPt>
          <c:dPt>
            <c:idx val="6"/>
            <c:invertIfNegative val="0"/>
            <c:bubble3D val="0"/>
            <c:spPr>
              <a:solidFill>
                <a:srgbClr val="1DB954"/>
              </a:solidFill>
              <a:ln>
                <a:noFill/>
              </a:ln>
              <a:effectLst/>
            </c:spPr>
            <c:extLst>
              <c:ext xmlns:c16="http://schemas.microsoft.com/office/drawing/2014/chart" uri="{C3380CC4-5D6E-409C-BE32-E72D297353CC}">
                <c16:uniqueId val="{0000000D-8C2D-4333-9F3E-ACC75AE9FDC8}"/>
              </c:ext>
            </c:extLst>
          </c:dPt>
          <c:dPt>
            <c:idx val="7"/>
            <c:invertIfNegative val="0"/>
            <c:bubble3D val="0"/>
            <c:spPr>
              <a:solidFill>
                <a:srgbClr val="1DB954"/>
              </a:solidFill>
              <a:ln>
                <a:noFill/>
              </a:ln>
              <a:effectLst/>
            </c:spPr>
            <c:extLst>
              <c:ext xmlns:c16="http://schemas.microsoft.com/office/drawing/2014/chart" uri="{C3380CC4-5D6E-409C-BE32-E72D297353CC}">
                <c16:uniqueId val="{0000000F-8C2D-4333-9F3E-ACC75AE9FDC8}"/>
              </c:ext>
            </c:extLst>
          </c:dPt>
          <c:dPt>
            <c:idx val="8"/>
            <c:invertIfNegative val="0"/>
            <c:bubble3D val="0"/>
            <c:spPr>
              <a:solidFill>
                <a:srgbClr val="1DB954"/>
              </a:solidFill>
              <a:ln>
                <a:noFill/>
              </a:ln>
              <a:effectLst/>
            </c:spPr>
            <c:extLst>
              <c:ext xmlns:c16="http://schemas.microsoft.com/office/drawing/2014/chart" uri="{C3380CC4-5D6E-409C-BE32-E72D297353CC}">
                <c16:uniqueId val="{00000011-8C2D-4333-9F3E-ACC75AE9FDC8}"/>
              </c:ext>
            </c:extLst>
          </c:dPt>
          <c:dPt>
            <c:idx val="9"/>
            <c:invertIfNegative val="0"/>
            <c:bubble3D val="0"/>
            <c:spPr>
              <a:solidFill>
                <a:srgbClr val="1DB954"/>
              </a:solidFill>
              <a:ln>
                <a:noFill/>
              </a:ln>
              <a:effectLst/>
            </c:spPr>
            <c:extLst>
              <c:ext xmlns:c16="http://schemas.microsoft.com/office/drawing/2014/chart" uri="{C3380CC4-5D6E-409C-BE32-E72D297353CC}">
                <c16:uniqueId val="{00000013-8C2D-4333-9F3E-ACC75AE9FDC8}"/>
              </c:ext>
            </c:extLst>
          </c:dPt>
          <c:dPt>
            <c:idx val="10"/>
            <c:invertIfNegative val="0"/>
            <c:bubble3D val="0"/>
            <c:spPr>
              <a:solidFill>
                <a:srgbClr val="1DB954"/>
              </a:solidFill>
              <a:ln>
                <a:noFill/>
              </a:ln>
              <a:effectLst/>
            </c:spPr>
            <c:extLst>
              <c:ext xmlns:c16="http://schemas.microsoft.com/office/drawing/2014/chart" uri="{C3380CC4-5D6E-409C-BE32-E72D297353CC}">
                <c16:uniqueId val="{00000015-8C2D-4333-9F3E-ACC75AE9FDC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A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'Statistical Summary'!$B$46:$B$56</c:f>
              <c:strCache>
                <c:ptCount val="11"/>
                <c:pt idx="0">
                  <c:v>Taylor Swift</c:v>
                </c:pt>
                <c:pt idx="1">
                  <c:v>Bad Bunny</c:v>
                </c:pt>
                <c:pt idx="2">
                  <c:v>BTS</c:v>
                </c:pt>
                <c:pt idx="3">
                  <c:v>Sabrina Carpenter</c:v>
                </c:pt>
                <c:pt idx="4">
                  <c:v>The Weeknd</c:v>
                </c:pt>
                <c:pt idx="5">
                  <c:v>Olivia Rodrigo</c:v>
                </c:pt>
                <c:pt idx="6">
                  <c:v>Ariana Grande</c:v>
                </c:pt>
                <c:pt idx="7">
                  <c:v>Justin Bieber</c:v>
                </c:pt>
                <c:pt idx="8">
                  <c:v>Drake</c:v>
                </c:pt>
                <c:pt idx="9">
                  <c:v>Bruno Mars</c:v>
                </c:pt>
                <c:pt idx="10">
                  <c:v>Harry Styles</c:v>
                </c:pt>
              </c:strCache>
            </c:strRef>
          </c:cat>
          <c:val>
            <c:numRef>
              <c:f>'Statistical Summary'!$E$46:$E$56</c:f>
              <c:numCache>
                <c:formatCode>0.0%</c:formatCode>
                <c:ptCount val="11"/>
                <c:pt idx="0">
                  <c:v>0.73076923076923073</c:v>
                </c:pt>
                <c:pt idx="1">
                  <c:v>0.46875</c:v>
                </c:pt>
                <c:pt idx="2">
                  <c:v>0.625</c:v>
                </c:pt>
                <c:pt idx="3">
                  <c:v>0.375</c:v>
                </c:pt>
                <c:pt idx="4">
                  <c:v>0.34782608695652173</c:v>
                </c:pt>
                <c:pt idx="5">
                  <c:v>0.46666666666666667</c:v>
                </c:pt>
                <c:pt idx="6">
                  <c:v>0.21428571428571427</c:v>
                </c:pt>
                <c:pt idx="7">
                  <c:v>0.16666666666666666</c:v>
                </c:pt>
                <c:pt idx="8">
                  <c:v>0.14634146341463414</c:v>
                </c:pt>
                <c:pt idx="9">
                  <c:v>0.22727272727272727</c:v>
                </c:pt>
                <c:pt idx="10">
                  <c:v>0.26666666666666666</c:v>
                </c:pt>
              </c:numCache>
            </c:numRef>
          </c:val>
          <c:extLst>
            <c:ext xmlns:c16="http://schemas.microsoft.com/office/drawing/2014/chart" uri="{C3380CC4-5D6E-409C-BE32-E72D297353CC}">
              <c16:uniqueId val="{00000000-253E-42C7-B4AA-8FBC08ED6004}"/>
            </c:ext>
          </c:extLst>
        </c:ser>
        <c:dLbls>
          <c:showLegendKey val="0"/>
          <c:showVal val="0"/>
          <c:showCatName val="0"/>
          <c:showSerName val="0"/>
          <c:showPercent val="0"/>
          <c:showBubbleSize val="0"/>
        </c:dLbls>
        <c:gapWidth val="182"/>
        <c:axId val="1462390383"/>
        <c:axId val="673845967"/>
      </c:barChart>
      <c:catAx>
        <c:axId val="146239038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es-AR"/>
          </a:p>
        </c:txPr>
        <c:crossAx val="673845967"/>
        <c:crosses val="autoZero"/>
        <c:auto val="1"/>
        <c:lblAlgn val="ctr"/>
        <c:lblOffset val="100"/>
        <c:noMultiLvlLbl val="0"/>
      </c:catAx>
      <c:valAx>
        <c:axId val="673845967"/>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46239038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300" b="1" i="0" u="none" strike="noStrike" kern="1200" spc="0" baseline="0">
                <a:solidFill>
                  <a:schemeClr val="tx1">
                    <a:lumMod val="65000"/>
                    <a:lumOff val="35000"/>
                  </a:schemeClr>
                </a:solidFill>
                <a:latin typeface="Open Sans" pitchFamily="2" charset="0"/>
                <a:ea typeface="Open Sans" pitchFamily="2" charset="0"/>
                <a:cs typeface="Open Sans" pitchFamily="2" charset="0"/>
              </a:defRPr>
            </a:pPr>
            <a:r>
              <a:rPr lang="es-AR" sz="1300" b="1" i="0" u="none" strike="noStrike" baseline="0">
                <a:effectLst/>
                <a:latin typeface="Open Sans" pitchFamily="2" charset="0"/>
                <a:ea typeface="Open Sans" pitchFamily="2" charset="0"/>
                <a:cs typeface="Open Sans" pitchFamily="2" charset="0"/>
              </a:rPr>
              <a:t>3 - Hit Rate by Genre</a:t>
            </a:r>
            <a:endParaRPr lang="en-US" sz="1300" b="1">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300" b="1" i="0" u="none" strike="noStrike" kern="1200" spc="0" baseline="0">
              <a:solidFill>
                <a:schemeClr val="tx1">
                  <a:lumMod val="65000"/>
                  <a:lumOff val="35000"/>
                </a:schemeClr>
              </a:solidFill>
              <a:latin typeface="Open Sans" pitchFamily="2" charset="0"/>
              <a:ea typeface="Open Sans" pitchFamily="2" charset="0"/>
              <a:cs typeface="Open Sans" pitchFamily="2" charset="0"/>
            </a:defRPr>
          </a:pPr>
          <a:endParaRPr lang="en-US"/>
        </a:p>
      </c:txPr>
    </c:title>
    <c:autoTitleDeleted val="0"/>
    <c:plotArea>
      <c:layout/>
      <c:barChart>
        <c:barDir val="col"/>
        <c:grouping val="clustered"/>
        <c:varyColors val="0"/>
        <c:ser>
          <c:idx val="0"/>
          <c:order val="0"/>
          <c:tx>
            <c:strRef>
              <c:f>'Statistical Summary'!$D$69</c:f>
              <c:strCache>
                <c:ptCount val="1"/>
                <c:pt idx="0">
                  <c:v>Hit Rate</c:v>
                </c:pt>
              </c:strCache>
            </c:strRef>
          </c:tx>
          <c:spPr>
            <a:solidFill>
              <a:srgbClr val="1DB95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'Statistical Summary'!$A$70:$A$79</c:f>
              <c:strCache>
                <c:ptCount val="10"/>
                <c:pt idx="0">
                  <c:v>Pop</c:v>
                </c:pt>
                <c:pt idx="1">
                  <c:v>K-Pop</c:v>
                </c:pt>
                <c:pt idx="2">
                  <c:v>Reggaeton</c:v>
                </c:pt>
                <c:pt idx="3">
                  <c:v>R&amp;B</c:v>
                </c:pt>
                <c:pt idx="4">
                  <c:v>Indie Pop</c:v>
                </c:pt>
                <c:pt idx="5">
                  <c:v>Christmas</c:v>
                </c:pt>
                <c:pt idx="6">
                  <c:v>Hip-Hop/Rap</c:v>
                </c:pt>
                <c:pt idx="7">
                  <c:v>Bollywood</c:v>
                </c:pt>
                <c:pt idx="8">
                  <c:v>Regional Mexicano</c:v>
                </c:pt>
                <c:pt idx="9">
                  <c:v>Funk Brasileiro</c:v>
                </c:pt>
              </c:strCache>
            </c:strRef>
          </c:cat>
          <c:val>
            <c:numRef>
              <c:f>'Statistical Summary'!$D$70:$D$79</c:f>
              <c:numCache>
                <c:formatCode>0.0%</c:formatCode>
                <c:ptCount val="10"/>
                <c:pt idx="0">
                  <c:v>0.2866242038216561</c:v>
                </c:pt>
                <c:pt idx="1">
                  <c:v>0.28571428571428548</c:v>
                </c:pt>
                <c:pt idx="2">
                  <c:v>0.22471910112359558</c:v>
                </c:pt>
                <c:pt idx="3">
                  <c:v>0.16666666666666663</c:v>
                </c:pt>
                <c:pt idx="4">
                  <c:v>0.14634146341463414</c:v>
                </c:pt>
                <c:pt idx="5">
                  <c:v>0.12941176470588237</c:v>
                </c:pt>
                <c:pt idx="6">
                  <c:v>0.12258064516129037</c:v>
                </c:pt>
                <c:pt idx="7">
                  <c:v>0.10526315789473691</c:v>
                </c:pt>
                <c:pt idx="8">
                  <c:v>1.2987012987012988E-2</c:v>
                </c:pt>
                <c:pt idx="9" formatCode="0%">
                  <c:v>0</c:v>
                </c:pt>
              </c:numCache>
            </c:numRef>
          </c:val>
          <c:extLst>
            <c:ext xmlns:c16="http://schemas.microsoft.com/office/drawing/2014/chart" uri="{C3380CC4-5D6E-409C-BE32-E72D297353CC}">
              <c16:uniqueId val="{00000000-4293-430C-BE79-A92CE7B61A6D}"/>
            </c:ext>
          </c:extLst>
        </c:ser>
        <c:dLbls>
          <c:showLegendKey val="0"/>
          <c:showVal val="0"/>
          <c:showCatName val="0"/>
          <c:showSerName val="0"/>
          <c:showPercent val="0"/>
          <c:showBubbleSize val="0"/>
        </c:dLbls>
        <c:gapWidth val="219"/>
        <c:overlap val="-27"/>
        <c:axId val="1462465551"/>
        <c:axId val="673761007"/>
      </c:barChart>
      <c:catAx>
        <c:axId val="14624655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AR"/>
          </a:p>
        </c:txPr>
        <c:crossAx val="673761007"/>
        <c:crosses val="autoZero"/>
        <c:auto val="1"/>
        <c:lblAlgn val="ctr"/>
        <c:lblOffset val="100"/>
        <c:noMultiLvlLbl val="0"/>
      </c:catAx>
      <c:valAx>
        <c:axId val="673761007"/>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es-AR"/>
          </a:p>
        </c:txPr>
        <c:crossAx val="14624655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300" b="1" i="0" u="none" strike="noStrike" kern="1200" spc="0" baseline="0">
                <a:solidFill>
                  <a:schemeClr val="tx1">
                    <a:lumMod val="65000"/>
                    <a:lumOff val="35000"/>
                  </a:schemeClr>
                </a:solidFill>
                <a:latin typeface="Open Sans" pitchFamily="2" charset="0"/>
                <a:ea typeface="Open Sans" pitchFamily="2" charset="0"/>
                <a:cs typeface="Open Sans" pitchFamily="2" charset="0"/>
              </a:defRPr>
            </a:pPr>
            <a:r>
              <a:rPr lang="es-AR" sz="1300" b="1" i="0" u="none" strike="noStrike" baseline="0">
                <a:effectLst/>
                <a:latin typeface="Open Sans" pitchFamily="2" charset="0"/>
                <a:ea typeface="Open Sans" pitchFamily="2" charset="0"/>
                <a:cs typeface="Open Sans" pitchFamily="2" charset="0"/>
              </a:rPr>
              <a:t>4 - Correlation with Peak Rank</a:t>
            </a:r>
            <a:endParaRPr lang="en-US" sz="1300" b="1">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300" b="1" i="0" u="none" strike="noStrike" kern="1200" spc="0" baseline="0">
              <a:solidFill>
                <a:schemeClr val="tx1">
                  <a:lumMod val="65000"/>
                  <a:lumOff val="35000"/>
                </a:schemeClr>
              </a:solidFill>
              <a:latin typeface="Open Sans" pitchFamily="2" charset="0"/>
              <a:ea typeface="Open Sans" pitchFamily="2" charset="0"/>
              <a:cs typeface="Open Sans" pitchFamily="2" charset="0"/>
            </a:defRPr>
          </a:pPr>
          <a:endParaRPr lang="en-US"/>
        </a:p>
      </c:txPr>
    </c:title>
    <c:autoTitleDeleted val="0"/>
    <c:plotArea>
      <c:layout/>
      <c:barChart>
        <c:barDir val="bar"/>
        <c:grouping val="clustered"/>
        <c:varyColors val="0"/>
        <c:ser>
          <c:idx val="0"/>
          <c:order val="0"/>
          <c:tx>
            <c:strRef>
              <c:f>'Statistical Summary'!$B$105</c:f>
              <c:strCache>
                <c:ptCount val="1"/>
                <c:pt idx="0">
                  <c:v>Correlation</c:v>
                </c:pt>
              </c:strCache>
            </c:strRef>
          </c:tx>
          <c:spPr>
            <a:solidFill>
              <a:srgbClr val="1DB954"/>
            </a:solidFill>
            <a:ln>
              <a:noFill/>
            </a:ln>
            <a:effectLst/>
          </c:spPr>
          <c:invertIfNegative val="1"/>
          <c:cat>
            <c:strRef>
              <c:f>'Statistical Summary'!$A$106:$A$114</c:f>
              <c:strCache>
                <c:ptCount val="9"/>
                <c:pt idx="0">
                  <c:v>Danceability</c:v>
                </c:pt>
                <c:pt idx="1">
                  <c:v>Energy</c:v>
                </c:pt>
                <c:pt idx="2">
                  <c:v>Loudness</c:v>
                </c:pt>
                <c:pt idx="3">
                  <c:v>Speechiness</c:v>
                </c:pt>
                <c:pt idx="4">
                  <c:v>Acousticness</c:v>
                </c:pt>
                <c:pt idx="5">
                  <c:v>Instrumentalness</c:v>
                </c:pt>
                <c:pt idx="6">
                  <c:v>Liveness</c:v>
                </c:pt>
                <c:pt idx="7">
                  <c:v>Valence</c:v>
                </c:pt>
                <c:pt idx="8">
                  <c:v>Tempo</c:v>
                </c:pt>
              </c:strCache>
            </c:strRef>
          </c:cat>
          <c:val>
            <c:numRef>
              <c:f>'Statistical Summary'!$B$106:$B$114</c:f>
              <c:numCache>
                <c:formatCode>0.00</c:formatCode>
                <c:ptCount val="9"/>
                <c:pt idx="0">
                  <c:v>3.3714429816481921E-2</c:v>
                </c:pt>
                <c:pt idx="1">
                  <c:v>6.3813993249365875E-2</c:v>
                </c:pt>
                <c:pt idx="2">
                  <c:v>-0.11661791646382896</c:v>
                </c:pt>
                <c:pt idx="3">
                  <c:v>-9.6685203688344368E-3</c:v>
                </c:pt>
                <c:pt idx="4">
                  <c:v>2.8429936158606221E-2</c:v>
                </c:pt>
                <c:pt idx="5">
                  <c:v>-6.0528386456497267E-2</c:v>
                </c:pt>
                <c:pt idx="6">
                  <c:v>9.4695427038962738E-3</c:v>
                </c:pt>
                <c:pt idx="7">
                  <c:v>9.01665246981177E-2</c:v>
                </c:pt>
                <c:pt idx="8">
                  <c:v>1.2007403205768381E-2</c:v>
                </c:pt>
              </c:numCache>
            </c:numRef>
          </c:val>
          <c:extLst>
            <c:ext xmlns:c14="http://schemas.microsoft.com/office/drawing/2007/8/2/chart" uri="{6F2FDCE9-48DA-4B69-8628-5D25D57E5C99}">
              <c14:invertSolidFillFmt>
                <c14:spPr xmlns:c14="http://schemas.microsoft.com/office/drawing/2007/8/2/chart">
                  <a:solidFill>
                    <a:srgbClr val="E97132"/>
                  </a:solidFill>
                  <a:ln>
                    <a:noFill/>
                  </a:ln>
                  <a:effectLst/>
                </c14:spPr>
              </c14:invertSolidFillFmt>
            </c:ext>
            <c:ext xmlns:c16="http://schemas.microsoft.com/office/drawing/2014/chart" uri="{C3380CC4-5D6E-409C-BE32-E72D297353CC}">
              <c16:uniqueId val="{00000000-AB79-451D-A278-7C2F41BC6390}"/>
            </c:ext>
          </c:extLst>
        </c:ser>
        <c:dLbls>
          <c:showLegendKey val="0"/>
          <c:showVal val="0"/>
          <c:showCatName val="0"/>
          <c:showSerName val="0"/>
          <c:showPercent val="0"/>
          <c:showBubbleSize val="0"/>
        </c:dLbls>
        <c:gapWidth val="182"/>
        <c:axId val="1461806399"/>
        <c:axId val="673856527"/>
      </c:barChart>
      <c:catAx>
        <c:axId val="146180639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es-AR"/>
          </a:p>
        </c:txPr>
        <c:crossAx val="673856527"/>
        <c:crosses val="autoZero"/>
        <c:auto val="1"/>
        <c:lblAlgn val="ctr"/>
        <c:lblOffset val="100"/>
        <c:noMultiLvlLbl val="0"/>
      </c:catAx>
      <c:valAx>
        <c:axId val="673856527"/>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AR"/>
          </a:p>
        </c:txPr>
        <c:crossAx val="146180639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300" b="1" i="0" u="none" strike="noStrike" kern="1200" spc="0" baseline="0">
                <a:solidFill>
                  <a:schemeClr val="tx1">
                    <a:lumMod val="65000"/>
                    <a:lumOff val="35000"/>
                  </a:schemeClr>
                </a:solidFill>
                <a:latin typeface="Open Sans" pitchFamily="2" charset="0"/>
                <a:ea typeface="Open Sans" pitchFamily="2" charset="0"/>
                <a:cs typeface="Open Sans" pitchFamily="2" charset="0"/>
              </a:defRPr>
            </a:pPr>
            <a:r>
              <a:rPr lang="es-AR" sz="1300" b="1" i="0" u="none" strike="noStrike" baseline="0">
                <a:effectLst/>
                <a:latin typeface="Open Sans" pitchFamily="2" charset="0"/>
                <a:ea typeface="Open Sans" pitchFamily="2" charset="0"/>
                <a:cs typeface="Open Sans" pitchFamily="2" charset="0"/>
              </a:rPr>
              <a:t>6 - Explicit Content: Hits vs Artists</a:t>
            </a:r>
            <a:endParaRPr lang="es-AR" sz="1300" b="1">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300" b="1" i="0" u="none" strike="noStrike" kern="1200" spc="0" baseline="0">
              <a:solidFill>
                <a:schemeClr val="tx1">
                  <a:lumMod val="65000"/>
                  <a:lumOff val="35000"/>
                </a:schemeClr>
              </a:solidFill>
              <a:latin typeface="Open Sans" pitchFamily="2" charset="0"/>
              <a:ea typeface="Open Sans" pitchFamily="2" charset="0"/>
              <a:cs typeface="Open Sans" pitchFamily="2" charset="0"/>
            </a:defRPr>
          </a:pPr>
          <a:endParaRPr lang="es-AR"/>
        </a:p>
      </c:txPr>
    </c:title>
    <c:autoTitleDeleted val="0"/>
    <c:plotArea>
      <c:layout/>
      <c:barChart>
        <c:barDir val="bar"/>
        <c:grouping val="clustered"/>
        <c:varyColors val="0"/>
        <c:ser>
          <c:idx val="0"/>
          <c:order val="0"/>
          <c:tx>
            <c:strRef>
              <c:f>'Statistical Summary'!$B$95:$B$97</c:f>
              <c:strCache>
                <c:ptCount val="3"/>
                <c:pt idx="0">
                  <c:v>7) EXPLICIT CONTENT</c:v>
                </c:pt>
                <c:pt idx="2">
                  <c:v>Explicit Songs</c:v>
                </c:pt>
              </c:strCache>
            </c:strRef>
          </c:tx>
          <c:spPr>
            <a:solidFill>
              <a:srgbClr val="1DB954"/>
            </a:solidFill>
            <a:ln>
              <a:noFill/>
            </a:ln>
            <a:effectLst/>
          </c:spPr>
          <c:invertIfNegative val="0"/>
          <c:cat>
            <c:strRef>
              <c:f>'Statistical Summary'!$A$98:$A$101</c:f>
              <c:strCache>
                <c:ptCount val="4"/>
                <c:pt idx="0">
                  <c:v>Top 10  Hits</c:v>
                </c:pt>
                <c:pt idx="1">
                  <c:v>Minor Hits (51-200)</c:v>
                </c:pt>
                <c:pt idx="2">
                  <c:v>Top 20 Artists</c:v>
                </c:pt>
                <c:pt idx="3">
                  <c:v>Other Artists</c:v>
                </c:pt>
              </c:strCache>
            </c:strRef>
          </c:cat>
          <c:val>
            <c:numRef>
              <c:f>'Statistical Summary'!$B$98:$B$101</c:f>
              <c:numCache>
                <c:formatCode>General</c:formatCode>
                <c:ptCount val="4"/>
                <c:pt idx="0">
                  <c:v>57</c:v>
                </c:pt>
                <c:pt idx="1">
                  <c:v>231</c:v>
                </c:pt>
                <c:pt idx="2">
                  <c:v>197</c:v>
                </c:pt>
                <c:pt idx="3">
                  <c:v>510</c:v>
                </c:pt>
              </c:numCache>
            </c:numRef>
          </c:val>
          <c:extLst>
            <c:ext xmlns:c16="http://schemas.microsoft.com/office/drawing/2014/chart" uri="{C3380CC4-5D6E-409C-BE32-E72D297353CC}">
              <c16:uniqueId val="{00000000-2E3A-416C-9EAE-045290F12307}"/>
            </c:ext>
          </c:extLst>
        </c:ser>
        <c:ser>
          <c:idx val="1"/>
          <c:order val="1"/>
          <c:tx>
            <c:strRef>
              <c:f>'Statistical Summary'!$C$95:$C$97</c:f>
              <c:strCache>
                <c:ptCount val="3"/>
                <c:pt idx="0">
                  <c:v>7) EXPLICIT CONTENT</c:v>
                </c:pt>
                <c:pt idx="2">
                  <c:v>Total Songs</c:v>
                </c:pt>
              </c:strCache>
            </c:strRef>
          </c:tx>
          <c:spPr>
            <a:solidFill>
              <a:schemeClr val="accent2"/>
            </a:solidFill>
            <a:ln>
              <a:noFill/>
            </a:ln>
            <a:effectLst/>
          </c:spPr>
          <c:invertIfNegative val="0"/>
          <c:cat>
            <c:strRef>
              <c:f>'Statistical Summary'!$A$98:$A$101</c:f>
              <c:strCache>
                <c:ptCount val="4"/>
                <c:pt idx="0">
                  <c:v>Top 10  Hits</c:v>
                </c:pt>
                <c:pt idx="1">
                  <c:v>Minor Hits (51-200)</c:v>
                </c:pt>
                <c:pt idx="2">
                  <c:v>Top 20 Artists</c:v>
                </c:pt>
                <c:pt idx="3">
                  <c:v>Other Artists</c:v>
                </c:pt>
              </c:strCache>
            </c:strRef>
          </c:cat>
          <c:val>
            <c:numRef>
              <c:f>'Statistical Summary'!$C$98:$C$101</c:f>
              <c:numCache>
                <c:formatCode>General</c:formatCode>
                <c:ptCount val="4"/>
                <c:pt idx="0">
                  <c:v>214</c:v>
                </c:pt>
                <c:pt idx="1">
                  <c:v>682</c:v>
                </c:pt>
                <c:pt idx="2">
                  <c:v>448</c:v>
                </c:pt>
                <c:pt idx="3">
                  <c:v>824.00000000000023</c:v>
                </c:pt>
              </c:numCache>
            </c:numRef>
          </c:val>
          <c:extLst>
            <c:ext xmlns:c16="http://schemas.microsoft.com/office/drawing/2014/chart" uri="{C3380CC4-5D6E-409C-BE32-E72D297353CC}">
              <c16:uniqueId val="{00000001-2E3A-416C-9EAE-045290F12307}"/>
            </c:ext>
          </c:extLst>
        </c:ser>
        <c:dLbls>
          <c:showLegendKey val="0"/>
          <c:showVal val="0"/>
          <c:showCatName val="0"/>
          <c:showSerName val="0"/>
          <c:showPercent val="0"/>
          <c:showBubbleSize val="0"/>
        </c:dLbls>
        <c:gapWidth val="182"/>
        <c:axId val="1542486895"/>
        <c:axId val="673734127"/>
      </c:barChart>
      <c:catAx>
        <c:axId val="154248689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es-AR"/>
          </a:p>
        </c:txPr>
        <c:crossAx val="673734127"/>
        <c:crosses val="autoZero"/>
        <c:auto val="1"/>
        <c:lblAlgn val="ctr"/>
        <c:lblOffset val="100"/>
        <c:noMultiLvlLbl val="0"/>
      </c:catAx>
      <c:valAx>
        <c:axId val="67373412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AR"/>
          </a:p>
        </c:txPr>
        <c:crossAx val="154248689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A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300" b="1" i="0" u="none" strike="noStrike" kern="1200" spc="0" baseline="0">
                <a:solidFill>
                  <a:schemeClr val="tx1">
                    <a:lumMod val="65000"/>
                    <a:lumOff val="35000"/>
                  </a:schemeClr>
                </a:solidFill>
                <a:latin typeface="Open Sans" pitchFamily="2" charset="0"/>
                <a:ea typeface="Open Sans" pitchFamily="2" charset="0"/>
                <a:cs typeface="Open Sans" pitchFamily="2" charset="0"/>
              </a:defRPr>
            </a:pPr>
            <a:r>
              <a:rPr lang="es-AR" sz="1300" b="1" i="0" u="none" strike="noStrike" baseline="0">
                <a:effectLst/>
                <a:latin typeface="Open Sans" pitchFamily="2" charset="0"/>
                <a:ea typeface="Open Sans" pitchFamily="2" charset="0"/>
                <a:cs typeface="Open Sans" pitchFamily="2" charset="0"/>
              </a:rPr>
              <a:t>5 - Artist Concentration: Songs vs Hits</a:t>
            </a:r>
            <a:endParaRPr lang="es-AR" sz="1300" b="1">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300" b="1" i="0" u="none" strike="noStrike" kern="1200" spc="0" baseline="0">
              <a:solidFill>
                <a:schemeClr val="tx1">
                  <a:lumMod val="65000"/>
                  <a:lumOff val="35000"/>
                </a:schemeClr>
              </a:solidFill>
              <a:latin typeface="Open Sans" pitchFamily="2" charset="0"/>
              <a:ea typeface="Open Sans" pitchFamily="2" charset="0"/>
              <a:cs typeface="Open Sans" pitchFamily="2" charset="0"/>
            </a:defRPr>
          </a:pPr>
          <a:endParaRPr lang="es-AR"/>
        </a:p>
      </c:txPr>
    </c:title>
    <c:autoTitleDeleted val="0"/>
    <c:plotArea>
      <c:layout/>
      <c:barChart>
        <c:barDir val="bar"/>
        <c:grouping val="clustered"/>
        <c:varyColors val="0"/>
        <c:ser>
          <c:idx val="0"/>
          <c:order val="0"/>
          <c:tx>
            <c:strRef>
              <c:f>Analytics!$B$50</c:f>
              <c:strCache>
                <c:ptCount val="1"/>
                <c:pt idx="0">
                  <c:v>Songs</c:v>
                </c:pt>
              </c:strCache>
            </c:strRef>
          </c:tx>
          <c:spPr>
            <a:solidFill>
              <a:srgbClr val="1DB95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Analytics!$C$49:$D$49</c:f>
              <c:strCache>
                <c:ptCount val="2"/>
                <c:pt idx="0">
                  <c:v>Top 20</c:v>
                </c:pt>
                <c:pt idx="1">
                  <c:v>Rest</c:v>
                </c:pt>
              </c:strCache>
            </c:strRef>
          </c:cat>
          <c:val>
            <c:numRef>
              <c:f>Analytics!$C$50:$D$50</c:f>
              <c:numCache>
                <c:formatCode>0.0%</c:formatCode>
                <c:ptCount val="2"/>
                <c:pt idx="0">
                  <c:v>0.35199999999999998</c:v>
                </c:pt>
                <c:pt idx="1">
                  <c:v>0.64800000000000002</c:v>
                </c:pt>
              </c:numCache>
            </c:numRef>
          </c:val>
          <c:extLst>
            <c:ext xmlns:c16="http://schemas.microsoft.com/office/drawing/2014/chart" uri="{C3380CC4-5D6E-409C-BE32-E72D297353CC}">
              <c16:uniqueId val="{00000000-2956-4A3B-9B13-8F08D6AC5448}"/>
            </c:ext>
          </c:extLst>
        </c:ser>
        <c:ser>
          <c:idx val="1"/>
          <c:order val="1"/>
          <c:tx>
            <c:strRef>
              <c:f>Analytics!$B$51</c:f>
              <c:strCache>
                <c:ptCount val="1"/>
                <c:pt idx="0">
                  <c:v>Hits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Analytics!$C$49:$D$49</c:f>
              <c:strCache>
                <c:ptCount val="2"/>
                <c:pt idx="0">
                  <c:v>Top 20</c:v>
                </c:pt>
                <c:pt idx="1">
                  <c:v>Rest</c:v>
                </c:pt>
              </c:strCache>
            </c:strRef>
          </c:cat>
          <c:val>
            <c:numRef>
              <c:f>Analytics!$C$51:$D$51</c:f>
              <c:numCache>
                <c:formatCode>0.0%</c:formatCode>
                <c:ptCount val="2"/>
                <c:pt idx="0">
                  <c:v>0.44400000000000001</c:v>
                </c:pt>
                <c:pt idx="1">
                  <c:v>0.55600000000000005</c:v>
                </c:pt>
              </c:numCache>
            </c:numRef>
          </c:val>
          <c:extLst>
            <c:ext xmlns:c16="http://schemas.microsoft.com/office/drawing/2014/chart" uri="{C3380CC4-5D6E-409C-BE32-E72D297353CC}">
              <c16:uniqueId val="{00000001-2956-4A3B-9B13-8F08D6AC5448}"/>
            </c:ext>
          </c:extLst>
        </c:ser>
        <c:dLbls>
          <c:showLegendKey val="0"/>
          <c:showVal val="0"/>
          <c:showCatName val="0"/>
          <c:showSerName val="0"/>
          <c:showPercent val="0"/>
          <c:showBubbleSize val="0"/>
        </c:dLbls>
        <c:gapWidth val="182"/>
        <c:axId val="406737152"/>
        <c:axId val="408348464"/>
      </c:barChart>
      <c:catAx>
        <c:axId val="406737152"/>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es-AR"/>
          </a:p>
        </c:txPr>
        <c:crossAx val="408348464"/>
        <c:crosses val="autoZero"/>
        <c:auto val="1"/>
        <c:lblAlgn val="ctr"/>
        <c:lblOffset val="100"/>
        <c:noMultiLvlLbl val="0"/>
      </c:catAx>
      <c:valAx>
        <c:axId val="4083484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AR"/>
          </a:p>
        </c:txPr>
        <c:crossAx val="406737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A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300" b="1" i="0" u="none" strike="noStrike" kern="1200" spc="0" baseline="0">
                <a:solidFill>
                  <a:schemeClr val="tx1">
                    <a:lumMod val="65000"/>
                    <a:lumOff val="35000"/>
                  </a:schemeClr>
                </a:solidFill>
                <a:latin typeface="Open Sans" pitchFamily="2" charset="0"/>
                <a:ea typeface="Open Sans" pitchFamily="2" charset="0"/>
                <a:cs typeface="Open Sans" pitchFamily="2" charset="0"/>
              </a:defRPr>
            </a:pPr>
            <a:r>
              <a:rPr lang="es-AR" sz="1300" b="1">
                <a:latin typeface="Open Sans" pitchFamily="2" charset="0"/>
                <a:ea typeface="Open Sans" pitchFamily="2" charset="0"/>
                <a:cs typeface="Open Sans" pitchFamily="2" charset="0"/>
              </a:rPr>
              <a:t>6 -</a:t>
            </a:r>
            <a:r>
              <a:rPr lang="es-AR" sz="1300" b="1" baseline="0">
                <a:latin typeface="Open Sans" pitchFamily="2" charset="0"/>
                <a:ea typeface="Open Sans" pitchFamily="2" charset="0"/>
                <a:cs typeface="Open Sans" pitchFamily="2" charset="0"/>
              </a:rPr>
              <a:t> </a:t>
            </a:r>
            <a:r>
              <a:rPr lang="es-AR" sz="1300" b="1">
                <a:latin typeface="Open Sans" pitchFamily="2" charset="0"/>
                <a:ea typeface="Open Sans" pitchFamily="2" charset="0"/>
                <a:cs typeface="Open Sans" pitchFamily="2" charset="0"/>
              </a:rPr>
              <a:t>Explicit Content by Group</a:t>
            </a:r>
          </a:p>
          <a:p>
            <a:pPr>
              <a:defRPr sz="1300" b="1">
                <a:latin typeface="Open Sans" pitchFamily="2" charset="0"/>
                <a:ea typeface="Open Sans" pitchFamily="2" charset="0"/>
                <a:cs typeface="Open Sans" pitchFamily="2" charset="0"/>
              </a:defRPr>
            </a:pPr>
            <a:endParaRPr lang="es-AR" sz="1300" b="1">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300" b="1" i="0" u="none" strike="noStrike" kern="1200" spc="0" baseline="0">
              <a:solidFill>
                <a:schemeClr val="tx1">
                  <a:lumMod val="65000"/>
                  <a:lumOff val="35000"/>
                </a:schemeClr>
              </a:solidFill>
              <a:latin typeface="Open Sans" pitchFamily="2" charset="0"/>
              <a:ea typeface="Open Sans" pitchFamily="2" charset="0"/>
              <a:cs typeface="Open Sans" pitchFamily="2" charset="0"/>
            </a:defRPr>
          </a:pPr>
          <a:endParaRPr lang="es-AR"/>
        </a:p>
      </c:txPr>
    </c:title>
    <c:autoTitleDeleted val="0"/>
    <c:plotArea>
      <c:layout/>
      <c:barChart>
        <c:barDir val="col"/>
        <c:grouping val="clustered"/>
        <c:varyColors val="0"/>
        <c:ser>
          <c:idx val="0"/>
          <c:order val="0"/>
          <c:spPr>
            <a:solidFill>
              <a:srgbClr val="1DB954"/>
            </a:solidFill>
            <a:ln>
              <a:noFill/>
            </a:ln>
            <a:effectLst/>
          </c:spPr>
          <c:invertIfNegative val="0"/>
          <c:dPt>
            <c:idx val="2"/>
            <c:invertIfNegative val="0"/>
            <c:bubble3D val="0"/>
            <c:spPr>
              <a:solidFill>
                <a:schemeClr val="accent2"/>
              </a:solidFill>
              <a:ln>
                <a:noFill/>
              </a:ln>
              <a:effectLst/>
            </c:spPr>
            <c:extLst>
              <c:ext xmlns:c16="http://schemas.microsoft.com/office/drawing/2014/chart" uri="{C3380CC4-5D6E-409C-BE32-E72D297353CC}">
                <c16:uniqueId val="{00000001-C144-4512-BACC-A9F2AA666FFD}"/>
              </c:ext>
            </c:extLst>
          </c:dPt>
          <c:dPt>
            <c:idx val="3"/>
            <c:invertIfNegative val="0"/>
            <c:bubble3D val="0"/>
            <c:spPr>
              <a:solidFill>
                <a:schemeClr val="accent2"/>
              </a:solidFill>
              <a:ln>
                <a:noFill/>
              </a:ln>
              <a:effectLst/>
            </c:spPr>
            <c:extLst>
              <c:ext xmlns:c16="http://schemas.microsoft.com/office/drawing/2014/chart" uri="{C3380CC4-5D6E-409C-BE32-E72D297353CC}">
                <c16:uniqueId val="{00000002-C144-4512-BACC-A9F2AA666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'Statistical Summary'!$A$98:$A$101</c:f>
              <c:strCache>
                <c:ptCount val="4"/>
                <c:pt idx="0">
                  <c:v>Top 10  Hits</c:v>
                </c:pt>
                <c:pt idx="1">
                  <c:v>Minor Hits (51-200)</c:v>
                </c:pt>
                <c:pt idx="2">
                  <c:v>Top 20 Artists</c:v>
                </c:pt>
                <c:pt idx="3">
                  <c:v>Other Artists</c:v>
                </c:pt>
              </c:strCache>
            </c:strRef>
          </c:cat>
          <c:val>
            <c:numRef>
              <c:f>'Statistical Summary'!$D$98:$D$101</c:f>
              <c:numCache>
                <c:formatCode>0%</c:formatCode>
                <c:ptCount val="4"/>
                <c:pt idx="0">
                  <c:v>0.26635514018691586</c:v>
                </c:pt>
                <c:pt idx="1">
                  <c:v>0.33870967741935482</c:v>
                </c:pt>
                <c:pt idx="2">
                  <c:v>0.43973214285714285</c:v>
                </c:pt>
                <c:pt idx="3">
                  <c:v>0.61893203883495129</c:v>
                </c:pt>
              </c:numCache>
            </c:numRef>
          </c:val>
          <c:extLst>
            <c:ext xmlns:c16="http://schemas.microsoft.com/office/drawing/2014/chart" uri="{C3380CC4-5D6E-409C-BE32-E72D297353CC}">
              <c16:uniqueId val="{00000000-C144-4512-BACC-A9F2AA666FFD}"/>
            </c:ext>
          </c:extLst>
        </c:ser>
        <c:dLbls>
          <c:showLegendKey val="0"/>
          <c:showVal val="0"/>
          <c:showCatName val="0"/>
          <c:showSerName val="0"/>
          <c:showPercent val="0"/>
          <c:showBubbleSize val="0"/>
        </c:dLbls>
        <c:gapWidth val="219"/>
        <c:overlap val="-27"/>
        <c:axId val="191442416"/>
        <c:axId val="231532720"/>
      </c:barChart>
      <c:catAx>
        <c:axId val="191442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es-AR"/>
          </a:p>
        </c:txPr>
        <c:crossAx val="231532720"/>
        <c:crosses val="autoZero"/>
        <c:auto val="1"/>
        <c:lblAlgn val="ctr"/>
        <c:lblOffset val="100"/>
        <c:noMultiLvlLbl val="0"/>
      </c:catAx>
      <c:valAx>
        <c:axId val="23153272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AR"/>
          </a:p>
        </c:txPr>
        <c:crossAx val="1914424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50196"/>
        </a:schemeClr>
      </a:solidFill>
      <a:ln w="25400">
        <a:solidFill>
          <a:schemeClr val="phClr"/>
        </a:solidFill>
        <a:prstDash val="sysDot"/>
      </a:ln>
    </cs:spPr>
  </cs:dataPoint>
  <cs:dataPoint3D>
    <cs:lnRef idx="0">
      <cs:styleClr val="auto"/>
    </cs:lnRef>
    <cs:fillRef idx="0">
      <cs:styleClr val="auto"/>
    </cs:fillRef>
    <cs:effectRef idx="0"/>
    <cs:fontRef idx="minor">
      <a:schemeClr val="tx1"/>
    </cs:fontRef>
    <cs:spPr>
      <a:solidFill>
        <a:schemeClr val="phClr">
          <a:alpha val="50196"/>
        </a:schemeClr>
      </a:solidFill>
      <a:ln w="25400">
        <a:solidFill>
          <a:schemeClr val="phClr"/>
        </a:solidFill>
        <a:prstDash val="sysDot"/>
      </a:ln>
    </cs:spPr>
  </cs:dataPoint3D>
  <cs:dataPointLine>
    <cs:lnRef idx="0">
      <cs:styleClr val="auto"/>
    </cs:lnRef>
    <cs:fillRef idx="0"/>
    <cs:effectRef idx="0"/>
    <cs:fontRef idx="minor">
      <a:schemeClr val="tx1"/>
    </cs:fontRef>
    <cs:spPr>
      <a:ln w="25400" cap="rnd" cmpd="sng" algn="ctr">
        <a:solidFill>
          <a:schemeClr val="phClr"/>
        </a:solidFill>
        <a:prstDash val="sysDot"/>
        <a:round/>
      </a:ln>
    </cs:spPr>
  </cs:dataPointLine>
  <cs:dataPointMarker>
    <cs:lnRef idx="0">
      <cs:styleClr val="auto"/>
    </cs:lnRef>
    <cs:fillRef idx="0">
      <cs:styleClr val="auto"/>
    </cs:fillRef>
    <cs:effectRef idx="0"/>
    <cs:fontRef idx="minor">
      <a:schemeClr val="tx1"/>
    </cs:fontRef>
    <cs:spPr>
      <a:solidFill>
        <a:schemeClr val="phClr"/>
      </a:solidFill>
    </cs:spPr>
  </cs:dataPointMarker>
  <cs:dataPointMarkerLayout symbol="circle" size="6"/>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7" Type="http://schemas.openxmlformats.org/officeDocument/2006/relationships/chart" Target="../charts/chart9.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1</xdr:col>
      <xdr:colOff>523614</xdr:colOff>
      <xdr:row>23</xdr:row>
      <xdr:rowOff>217056</xdr:rowOff>
    </xdr:from>
    <xdr:to>
      <xdr:col>5</xdr:col>
      <xdr:colOff>727873</xdr:colOff>
      <xdr:row>36</xdr:row>
      <xdr:rowOff>181338</xdr:rowOff>
    </xdr:to>
    <xdr:graphicFrame macro="">
      <xdr:nvGraphicFramePr>
        <xdr:cNvPr id="4" name="Chart 3">
          <a:extLst>
            <a:ext uri="{FF2B5EF4-FFF2-40B4-BE49-F238E27FC236}">
              <a16:creationId xmlns:a16="http://schemas.microsoft.com/office/drawing/2014/main" id="{E07FB585-DD02-3FDD-71DD-072448EFDA4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804901</xdr:colOff>
      <xdr:row>23</xdr:row>
      <xdr:rowOff>210306</xdr:rowOff>
    </xdr:from>
    <xdr:to>
      <xdr:col>6</xdr:col>
      <xdr:colOff>2913631</xdr:colOff>
      <xdr:row>36</xdr:row>
      <xdr:rowOff>172206</xdr:rowOff>
    </xdr:to>
    <xdr:graphicFrame macro="">
      <xdr:nvGraphicFramePr>
        <xdr:cNvPr id="6" name="Chart 5">
          <a:extLst>
            <a:ext uri="{FF2B5EF4-FFF2-40B4-BE49-F238E27FC236}">
              <a16:creationId xmlns:a16="http://schemas.microsoft.com/office/drawing/2014/main" id="{7F6E5194-B6C9-A686-7FB1-FCB399FA8EF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5213</xdr:colOff>
      <xdr:row>2</xdr:row>
      <xdr:rowOff>56970</xdr:rowOff>
    </xdr:from>
    <xdr:to>
      <xdr:col>9</xdr:col>
      <xdr:colOff>9524</xdr:colOff>
      <xdr:row>18</xdr:row>
      <xdr:rowOff>148087</xdr:rowOff>
    </xdr:to>
    <xdr:graphicFrame macro="">
      <xdr:nvGraphicFramePr>
        <xdr:cNvPr id="2" name="Chart 1">
          <a:extLst>
            <a:ext uri="{FF2B5EF4-FFF2-40B4-BE49-F238E27FC236}">
              <a16:creationId xmlns:a16="http://schemas.microsoft.com/office/drawing/2014/main" id="{ECE88F09-0187-4198-84AE-255712F142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14198</xdr:colOff>
      <xdr:row>2</xdr:row>
      <xdr:rowOff>26778</xdr:rowOff>
    </xdr:from>
    <xdr:to>
      <xdr:col>18</xdr:col>
      <xdr:colOff>676276</xdr:colOff>
      <xdr:row>18</xdr:row>
      <xdr:rowOff>154916</xdr:rowOff>
    </xdr:to>
    <xdr:graphicFrame macro="">
      <xdr:nvGraphicFramePr>
        <xdr:cNvPr id="3" name="Chart 2">
          <a:extLst>
            <a:ext uri="{FF2B5EF4-FFF2-40B4-BE49-F238E27FC236}">
              <a16:creationId xmlns:a16="http://schemas.microsoft.com/office/drawing/2014/main" id="{5C234038-8879-4763-AA0E-1CB3CB633D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18510</xdr:colOff>
      <xdr:row>23</xdr:row>
      <xdr:rowOff>21206</xdr:rowOff>
    </xdr:from>
    <xdr:to>
      <xdr:col>8</xdr:col>
      <xdr:colOff>664951</xdr:colOff>
      <xdr:row>40</xdr:row>
      <xdr:rowOff>125802</xdr:rowOff>
    </xdr:to>
    <xdr:graphicFrame macro="">
      <xdr:nvGraphicFramePr>
        <xdr:cNvPr id="4" name="Chart 3">
          <a:extLst>
            <a:ext uri="{FF2B5EF4-FFF2-40B4-BE49-F238E27FC236}">
              <a16:creationId xmlns:a16="http://schemas.microsoft.com/office/drawing/2014/main" id="{AC1A6BD5-1FAD-4509-9E10-21516F94B09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38279</xdr:colOff>
      <xdr:row>23</xdr:row>
      <xdr:rowOff>47625</xdr:rowOff>
    </xdr:from>
    <xdr:to>
      <xdr:col>18</xdr:col>
      <xdr:colOff>647701</xdr:colOff>
      <xdr:row>40</xdr:row>
      <xdr:rowOff>142875</xdr:rowOff>
    </xdr:to>
    <xdr:graphicFrame macro="">
      <xdr:nvGraphicFramePr>
        <xdr:cNvPr id="6" name="Chart 5">
          <a:extLst>
            <a:ext uri="{FF2B5EF4-FFF2-40B4-BE49-F238E27FC236}">
              <a16:creationId xmlns:a16="http://schemas.microsoft.com/office/drawing/2014/main" id="{DCDD04DB-5B79-456C-ACDB-864931BE93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28575</xdr:colOff>
      <xdr:row>46</xdr:row>
      <xdr:rowOff>57150</xdr:rowOff>
    </xdr:from>
    <xdr:to>
      <xdr:col>19</xdr:col>
      <xdr:colOff>9525</xdr:colOff>
      <xdr:row>64</xdr:row>
      <xdr:rowOff>38100</xdr:rowOff>
    </xdr:to>
    <xdr:graphicFrame macro="">
      <xdr:nvGraphicFramePr>
        <xdr:cNvPr id="7" name="Chart 6">
          <a:extLst>
            <a:ext uri="{FF2B5EF4-FFF2-40B4-BE49-F238E27FC236}">
              <a16:creationId xmlns:a16="http://schemas.microsoft.com/office/drawing/2014/main" id="{E97BDF34-F537-45AB-92EA-15E37B03FB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4761</xdr:colOff>
      <xdr:row>46</xdr:row>
      <xdr:rowOff>47624</xdr:rowOff>
    </xdr:from>
    <xdr:to>
      <xdr:col>8</xdr:col>
      <xdr:colOff>674477</xdr:colOff>
      <xdr:row>63</xdr:row>
      <xdr:rowOff>180975</xdr:rowOff>
    </xdr:to>
    <xdr:graphicFrame macro="">
      <xdr:nvGraphicFramePr>
        <xdr:cNvPr id="10" name="Chart 9">
          <a:extLst>
            <a:ext uri="{FF2B5EF4-FFF2-40B4-BE49-F238E27FC236}">
              <a16:creationId xmlns:a16="http://schemas.microsoft.com/office/drawing/2014/main" id="{DD636EA4-0404-65CE-A727-6F404F21F1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19050</xdr:colOff>
      <xdr:row>46</xdr:row>
      <xdr:rowOff>57150</xdr:rowOff>
    </xdr:from>
    <xdr:to>
      <xdr:col>19</xdr:col>
      <xdr:colOff>0</xdr:colOff>
      <xdr:row>64</xdr:row>
      <xdr:rowOff>38100</xdr:rowOff>
    </xdr:to>
    <xdr:graphicFrame macro="">
      <xdr:nvGraphicFramePr>
        <xdr:cNvPr id="5" name="Chart 4">
          <a:extLst>
            <a:ext uri="{FF2B5EF4-FFF2-40B4-BE49-F238E27FC236}">
              <a16:creationId xmlns:a16="http://schemas.microsoft.com/office/drawing/2014/main" id="{F7141A50-E41A-4BEF-8F0E-01D6E8DC53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6299.779931365738" createdVersion="8" refreshedVersion="8" minRefreshableVersion="3" recordCount="1869" xr:uid="{C512C696-FB49-43D7-9BE6-0C2EF56176F5}">
  <cacheSource type="worksheet">
    <worksheetSource name="Raw_Data"/>
  </cacheSource>
  <cacheFields count="22">
    <cacheField name="id" numFmtId="0">
      <sharedItems containsSemiMixedTypes="0" containsString="0" containsNumber="1" containsInteger="1" minValue="1" maxValue="1395"/>
    </cacheField>
    <cacheField name="uri" numFmtId="0">
      <sharedItems/>
    </cacheField>
    <cacheField name="artist_names" numFmtId="0">
      <sharedItems count="823">
        <s v="The Killers"/>
        <s v="Playboi Carti"/>
        <s v="Justin Bieber"/>
        <s v="Jack Harlow"/>
        <s v="Jung Kook"/>
        <s v="Harry Styles"/>
        <s v="Doja Cat"/>
        <s v="Don Toliver"/>
        <s v="F1 The Album"/>
        <s v="ADÉLA"/>
        <s v="Lady Gaga"/>
        <s v="Morgan Wallen"/>
        <s v="Andrew Choi"/>
        <s v="Danny Chung"/>
        <s v="KEVIN WOO"/>
        <s v="KPop Demon Hunters Cast"/>
        <s v="Neckwav"/>
        <s v="Saja Boys"/>
        <s v="samUIL Lee"/>
        <s v="Taylor Swift"/>
        <s v="SZA"/>
        <s v="a-ha"/>
        <s v="KAROL G"/>
        <s v="Tate McRae"/>
        <s v="Bing Crosby"/>
        <s v="The Andrews Sisters"/>
        <s v="sombr"/>
        <s v="Alex Krack"/>
        <s v="Jombriel"/>
        <s v="Jøtta"/>
        <s v="Neton Vega"/>
        <s v="Tito Double P"/>
        <s v="NDS"/>
        <s v="Rippy Grewal"/>
        <s v="Talwiinder"/>
        <s v="Nakama"/>
        <s v="ΣP"/>
        <s v="Noah Kahan"/>
        <s v="Michael Jackson"/>
        <s v="Bruno Mars"/>
        <s v="Coldplay"/>
        <s v="Dj Lc da Roça"/>
        <s v="MC K9"/>
        <s v="mc pl alves"/>
        <s v="Mc Rodrigo do CN"/>
        <s v="MC Tuto"/>
        <s v="Oruam"/>
        <s v="Zé Felipe"/>
        <s v="Evanescence"/>
        <s v="Flo Milli"/>
        <s v="DFZM"/>
        <s v="Banjaare"/>
        <s v="Roni"/>
        <s v="Drake"/>
        <s v="PARTYNEXTDOOR"/>
        <s v="The Weeknd"/>
        <s v="Ed Sheeran"/>
        <s v="ABBA"/>
        <s v="Michael Bublé"/>
        <s v="Gael Valenzuela"/>
        <s v="Junior H"/>
        <s v="Peso Pluma"/>
        <s v="Idina Menzel"/>
        <s v="The Long Faces"/>
        <s v="The Marías"/>
        <s v="Billie Eilish"/>
        <s v="Charli xcx"/>
        <s v="Miguel"/>
        <s v="Twenty One Pilots"/>
        <s v="BTS"/>
        <s v="Clave Especial"/>
        <s v="Edgardo Nuñez"/>
        <s v="Toby Keith"/>
        <s v="AUDREY NUNA"/>
        <s v="EJAE"/>
        <s v="HUNTR/X"/>
        <s v="REI AMI"/>
        <s v="Olivia Dean"/>
        <s v="Sam Fender"/>
        <s v="Gabito Ballesteros"/>
        <s v="Natanael Cano"/>
        <s v="Alef Donk"/>
        <s v="J. Eskine"/>
        <s v="Yebba"/>
        <s v="Chino Pacas"/>
        <s v="Grupo Firme"/>
        <s v="Grupo Frontera"/>
        <s v="Justin Timberlake"/>
        <s v="Timbaland"/>
        <s v="Irshad Kamil"/>
        <s v="Parampara Tandon"/>
        <s v="Prashant Pandey"/>
        <s v="Sachet Tandon"/>
        <s v="Sachet-Parampara"/>
        <s v="MOLIY"/>
        <s v="Shenseea"/>
        <s v="Silent Addy"/>
        <s v="Skillibeng"/>
        <s v="Ariana Grande"/>
        <s v="Post Malone"/>
        <s v="Swae Lee"/>
        <s v="Ozzy Osbourne"/>
        <s v="Lenin Ramírez"/>
        <s v="Bad Bunny"/>
        <s v="De La Rose"/>
        <s v="Omar Courtz"/>
        <s v="Melanie Thornton"/>
        <s v="Elvis Crespo"/>
        <s v="Quevedo"/>
        <s v="ENHYPEN"/>
        <s v="Rihanna"/>
        <s v="Bleachers"/>
        <s v="HUGEL"/>
        <s v="SOLTO (FR)"/>
        <s v="Hearts2Hearts"/>
        <s v="Chappell Roan"/>
        <s v="The Outfield"/>
        <s v="Hans Zimmer"/>
        <s v="RAYE"/>
        <s v="Chris Grey"/>
        <s v="Britney Spears"/>
        <s v="Kendrick Lamar"/>
        <s v="Lefty Gunplay"/>
        <s v="d4vd"/>
        <s v="Sabrina Carpenter"/>
        <s v="Mariah Carey"/>
        <s v="Kehlani"/>
        <s v="The Neighbourhood"/>
        <s v="Ikky"/>
        <s v="Karan Aujla"/>
        <s v="Avicii"/>
        <s v="De La Soul"/>
        <s v="Gorillaz"/>
        <s v="Olivia Rodrigo"/>
        <s v="Malcolm Todd"/>
        <s v="Aditya Rikhari"/>
        <s v="54 Ultra"/>
        <s v="ANOTR"/>
        <s v="Bon Jovi"/>
        <s v="Victor Mendivil"/>
        <s v="Oliver Tree"/>
        <s v="JENNIE"/>
        <s v="Anuel AA"/>
        <s v="Blessd"/>
        <s v="Ovy On The Drums"/>
        <s v="J Balvin"/>
        <s v="Nirvana"/>
        <s v="ROSALÍA"/>
        <s v="i wanna be a jack-o-lantern"/>
        <s v="wifiskeleton"/>
        <s v="Elton John"/>
        <s v="4 Non Blondes"/>
        <s v="Burna Boy"/>
        <s v="Shakira"/>
        <s v="Rauw Alejandro"/>
        <s v="David Guetta"/>
        <s v="Sia"/>
        <s v="Meghan Trainor"/>
        <s v="DJ Snake"/>
        <s v="Keane"/>
        <s v="She &amp; Him"/>
        <s v="Feid"/>
        <s v="Kings of Leon"/>
        <s v="Fleetwood Mac"/>
        <s v="Katy Perry"/>
        <s v="Imagine Dragons"/>
        <s v="benny blanco"/>
        <s v="Myke Towers"/>
        <s v="Nadhif Basalamah"/>
        <s v="Alex Warren"/>
        <s v="Jelly Roll"/>
        <s v="Nat King Cole"/>
        <s v="Jhené Aiko"/>
        <s v="Empire Of The Sun"/>
        <s v="Mark Ambor"/>
        <s v="Dominic Fike"/>
        <s v="Khalid"/>
        <s v="Lorde"/>
        <s v="Jon"/>
        <s v="Kato"/>
        <s v="Anitta"/>
        <s v="Grelo"/>
        <s v="João Gustavo e Murilo"/>
        <s v="Bobby &quot;Boris&quot; Pickett, The Crypt-Kickers"/>
        <s v="Cigarettes After Sex"/>
        <s v="Sleep Token"/>
        <s v="Travis Scott"/>
        <s v="Radiohead"/>
        <s v="JISOO"/>
        <s v="Gracie Abrams"/>
        <s v="Ella Langley"/>
        <s v="Bombay Rockers"/>
        <s v="Jasmine Sandlas"/>
        <s v="Khan Saab"/>
        <s v="Reble"/>
        <s v="Shashwat Sachdev"/>
        <s v="Sudhir Yaduvanshi"/>
        <s v="Token"/>
        <s v="Eminem"/>
        <s v="*NSYNC"/>
        <s v="Benson Boone"/>
        <s v="Joji"/>
        <s v="Teddy Swims"/>
        <s v="TWICE"/>
        <s v="Cher"/>
        <s v="Hozier"/>
        <s v="A$AP Rocky"/>
        <s v="Adam Port"/>
        <s v="Keinemusik"/>
        <s v="Malachiii"/>
        <s v="Orso"/>
        <s v="Stryv"/>
        <s v="Corey Taylor"/>
        <s v="Falling In Reverse"/>
        <s v="Serj Tankian"/>
        <s v="Beéle"/>
        <s v="Luis R Conriquez"/>
        <s v="Tyla"/>
        <s v="Arslan Nizami"/>
        <s v="Faheem Abdullah"/>
        <s v="Tanishk Bagchi"/>
        <s v="Coolio"/>
        <s v="L.V."/>
        <s v="Selena Gomez"/>
        <s v="PinkPantheress"/>
        <s v="Zara Larsson"/>
        <s v="Sal Priadi"/>
        <s v="Linkin Park"/>
        <s v="Lana Del Rey"/>
        <s v="Blumengarten"/>
        <s v="KITSCHKRIEG"/>
        <s v="Shirin David"/>
        <s v="Red Hot Chili Peppers"/>
        <s v="Arijit Singh"/>
        <s v="Mithoon"/>
        <s v="Stray Kids"/>
        <s v="Dj Guuga"/>
        <s v="Mc Livinho"/>
        <s v="Tyler, The Creator"/>
        <s v="Andy Williams"/>
        <s v="The Police"/>
        <s v="Mc Gw"/>
        <s v="Mc Jhey"/>
        <s v="MC Nito"/>
        <s v="PEDRO SAMPAIO"/>
        <s v="Ceren"/>
        <s v="Pashanim"/>
        <s v="TLC"/>
        <s v="Avery Anna"/>
        <s v="Sam Barber"/>
        <s v="Mazzy Star"/>
        <s v="j-hope"/>
        <s v="Pharrell Williams"/>
        <s v="Speedy"/>
        <s v="Tame Impala"/>
        <s v="GIVĒON"/>
        <s v="Fuerza Regida"/>
        <s v="Kate Bush"/>
        <s v="Daniel Caesar"/>
        <s v="H.E.R."/>
        <s v="RaiNao"/>
        <s v="The Cure"/>
        <s v="ATLXS"/>
        <s v="MXZI"/>
        <s v="Repsaj"/>
        <s v="BLOK3"/>
        <s v="Paul McCartney"/>
        <s v="Annie Lennox"/>
        <s v="Dave Stewart"/>
        <s v="Eurythmics"/>
        <s v="NIKI"/>
        <s v="LISA"/>
        <s v="The Cranberries"/>
        <s v="El Bogueto"/>
        <s v="Yung Beef"/>
        <s v="HAVEN."/>
        <s v="Kaitlin Aragon"/>
        <s v="The Kid LAROI"/>
        <s v="Maroon 5"/>
        <s v="Wiz Khalifa"/>
        <s v="Black Sabbath"/>
        <s v="Ñengo Flow"/>
        <s v="Romeo Santos"/>
        <s v="Anuv Jain"/>
        <s v="Oscar Maydon"/>
        <s v="C. Tangana"/>
        <s v="Mora"/>
        <s v="Colby O'Donis"/>
        <s v="Doechii"/>
        <s v="Addison Rae"/>
        <s v="The 1975"/>
        <s v="Eartha Kitt"/>
        <s v="Henri René and His Orchestra"/>
        <s v="Jemsii"/>
        <s v="Naykilla"/>
        <s v="Tenxi"/>
        <s v="Ati242"/>
        <s v="aespa"/>
        <s v="KATSEYE"/>
        <s v="ILLIT"/>
        <s v="EsDeeKid"/>
        <s v="Lil Tecca"/>
        <s v="Fred again.."/>
        <s v="PlaqueBoyMax"/>
        <s v="Skepta"/>
        <s v="ROSÉ"/>
        <s v="Wizzard"/>
        <s v="Nate Ruess"/>
        <s v="P!nk"/>
        <s v="$HUPE"/>
        <s v="Angel Almaguer"/>
        <s v="Omar Camacho"/>
        <s v="Gotye"/>
        <s v="Kimbra"/>
        <s v="Gunna"/>
        <s v="Raim Laode"/>
        <s v="Shreya Ghoshal"/>
        <s v="Prince"/>
        <s v="Adrian Khalif"/>
        <s v="Rizky Febian"/>
        <s v="Jeninho"/>
        <s v="Mariana Fagundes"/>
        <s v="Robin Schulz"/>
        <s v="Kyla"/>
        <s v="Wizkid"/>
        <s v="Pamungkas"/>
        <s v="Calvin Harris"/>
        <s v="Carly Rae Jepsen"/>
        <s v="Gigi Perez"/>
        <s v="Future"/>
        <s v="Steve Lacy"/>
        <s v="bees &amp; honey"/>
        <s v="WizTheMc"/>
        <s v="Macklemore"/>
        <s v="Macklemore &amp; Ryan Lewis"/>
        <s v="Ray Dalton"/>
        <s v="Ryan Lewis"/>
        <s v="TOTO"/>
        <s v="Flipperachi"/>
        <s v="manifest"/>
        <s v="LE SSERAFIM"/>
        <s v="Achille Lauro"/>
        <s v="Gene Autry"/>
        <s v="The Lantis"/>
        <s v="John Lennon"/>
        <s v="Yoko Ono"/>
        <s v="Chris Rea"/>
        <s v="Jin"/>
        <s v="Acertei"/>
        <s v="Léo Foguete"/>
        <s v="Juice WRLD"/>
        <s v="Juan Duque"/>
        <s v="Miguel Bueno"/>
        <s v="Jowell &amp; Randy"/>
        <s v="Earl Agustin"/>
        <s v="System Of A Down"/>
        <s v="Brenda Lee"/>
        <s v="Yeat"/>
        <s v="Chrystal"/>
        <s v="NOTION"/>
        <s v="Frank Sinatra"/>
        <s v="Wham!"/>
        <s v="Miley Cyrus"/>
        <s v="DJ Javi26"/>
        <s v="Dj Samir"/>
        <s v="BIN"/>
        <s v="Felipe Amorim"/>
        <s v="Malibu"/>
        <s v="Vitão"/>
        <s v="GloRilla"/>
        <s v="Latto"/>
        <s v="Jay Rock"/>
        <s v="Motive"/>
        <s v="UZI"/>
        <s v="Alemán"/>
        <s v="Laufey"/>
        <s v="Dean Martin"/>
        <s v="F3miii"/>
        <s v="Creedence Clearwater Revival"/>
        <s v="Bee Gees"/>
        <s v="Kelly Clarkson"/>
        <s v="Blake Shelton"/>
        <s v="Gwen Stefani"/>
        <s v="Mac Miller"/>
        <s v="STELLA LEFTY"/>
        <s v="Dexter and The Moonrocks"/>
        <s v="Andre Troutman"/>
        <s v="Kanye West"/>
        <s v="Ye"/>
        <s v="Manuel Turizo"/>
        <s v="Xavi"/>
        <s v="El De Las R's"/>
        <s v="Björk"/>
        <s v="Yves Tumor"/>
        <s v="Shakin' Stevens"/>
        <s v="AZ Chike"/>
        <s v="Bradley Cooper"/>
        <s v="Black Eyed Peas"/>
        <s v="Tears For Fears"/>
        <s v="Gangsta"/>
        <s v="Kapo"/>
        <s v="Ryan Castro"/>
        <s v="Don Omar"/>
        <s v="Lucenzo"/>
        <s v="Fetty Wap"/>
        <s v="Robert Smith"/>
        <s v="Ruth B."/>
        <s v="Emilia"/>
        <s v="Nicki Nicole"/>
        <s v="TINI"/>
        <s v="Cris MJ"/>
        <s v="FloyyMenor"/>
        <s v="CORTIS"/>
        <s v="SIENNA SPIRO"/>
        <s v="Nelly Furtado"/>
        <s v="Shania Twain"/>
        <s v="Aaron Modesto"/>
        <s v="Dj Aladin GDB"/>
        <s v="DU'L"/>
        <s v="Mc Iguinho Ct"/>
        <s v="Mc Negão Original"/>
        <s v="MC Willian"/>
        <s v="Oldilla"/>
        <s v="Florence + The Machine"/>
        <s v="Alicia Keys"/>
        <s v="JAŸ-Z"/>
        <s v="Zach Bryan"/>
        <s v="Eric Land"/>
        <s v="Natanzinho Lima"/>
        <s v="Ty Dolla $ign"/>
        <s v="Kreamly"/>
        <s v="Young Cister"/>
        <s v="Asake"/>
        <s v="Alyssa Grace"/>
        <s v="Chuck Berry"/>
        <s v="Chill77"/>
        <s v="mikeeysmind"/>
        <s v="Unjaps"/>
        <s v="Mauvais djo"/>
        <s v="Lil B"/>
        <s v="OneRepublic"/>
        <s v="Metro Boomin"/>
        <s v="Kali Uchis"/>
        <s v="Bizarrap"/>
        <s v="Daddy Yankee"/>
        <s v="Vance Joy"/>
        <s v="Dasha"/>
        <s v="Leon Thomas"/>
        <s v="Don Miguelo"/>
        <s v="Queen"/>
        <s v="Brent Faiyaz"/>
        <s v="Chris Isaak"/>
        <s v="ARJN"/>
        <s v="FIFTY4"/>
        <s v="KDS"/>
        <s v="AC/DC"/>
        <s v="Dionela"/>
        <s v="JJ"/>
        <s v="Mark Ronson"/>
        <s v="Young Miko"/>
        <s v="Sidney Gish"/>
        <s v="Fall Out Boy"/>
        <s v="Lola Young"/>
        <s v="Cazzu"/>
        <s v="Grupo Menos É Mais"/>
        <s v="Simone Mendes"/>
        <s v="21 Savage"/>
        <s v="The Clash"/>
        <s v="Madison Beer"/>
        <s v="French Montana"/>
        <s v="Jennifer Lopez"/>
        <s v="Pitbull"/>
        <s v="Molly Santana"/>
        <s v="Metallica"/>
        <s v="Lil Baby"/>
        <s v="Young Thug"/>
        <s v="BLACKPINK"/>
        <s v="Sleepy Hallow"/>
        <s v="NF"/>
        <s v="Artemas"/>
        <s v="Demet Akalın"/>
        <s v="Sefo"/>
        <s v="AP Dhillon"/>
        <s v="Dolly Parton"/>
        <s v="Kenny Rogers"/>
        <s v="Jimin"/>
        <s v="Chase Atlantic"/>
        <s v="Marino"/>
        <s v="Shawn Mendes"/>
        <s v="Eagles"/>
        <s v="Elvis Presley"/>
        <s v="Burl Ives"/>
        <s v="John Legend"/>
        <s v="Natasha Bedingfield"/>
        <s v="Glass Animals"/>
        <s v="Kirsty MacColl"/>
        <s v="The Pogues"/>
        <s v="Myles Smith"/>
        <s v="Cash Cobain"/>
        <s v="Eddie Benjamin"/>
        <s v="John Scott Trotter &amp; His Orchestra"/>
        <s v="Ken Darby Singers"/>
        <s v="Freshlyground"/>
        <s v="Wyclef Jean"/>
        <s v="mgk"/>
        <s v="Vince Guaraldi Trio"/>
        <s v="yung kai"/>
        <s v="Kesha"/>
        <s v="Disco Lines"/>
        <s v="Tinashe"/>
        <s v="Marco Antonio Solís"/>
        <s v="Pierce The Veil"/>
        <s v="Dua Lipa"/>
        <s v="Judeline"/>
        <s v="rusowsky"/>
        <s v="Dougie F"/>
        <s v="Lord Huron"/>
        <s v="Hotel Ugly"/>
        <s v="Los Dareyes De La Sierra"/>
        <s v="MC Meno K"/>
        <s v="Melody"/>
        <s v="Clams Casino"/>
        <s v="Imogen Heap"/>
        <s v="Bomba Estéreo"/>
        <s v="Earth, Wind &amp; Fire"/>
        <s v="The Jackson 5"/>
        <s v="The Puppini Sisters"/>
        <s v="The Script"/>
        <s v="Qendresa"/>
        <s v="Dave"/>
        <s v="Tems"/>
        <s v="Diana Ross"/>
        <s v="José Feliciano"/>
        <s v="Djo"/>
        <s v="Jay Wheeler"/>
        <s v="Lil Uzi Vert"/>
        <s v="Lil Wayne"/>
        <s v="Sexyy Red"/>
        <s v="Amarabha Banerjee"/>
        <s v="Anurag Saikia"/>
        <s v="Madhubanti Bagchi"/>
        <s v="Mismatched - Cast"/>
        <s v="Raj Shekhar"/>
        <s v="Romy"/>
        <s v="Varun Jain"/>
        <s v="Disney"/>
        <s v="Mitski"/>
        <s v="Naughty Boy"/>
        <s v="Sam Smith"/>
        <s v="Frank Ocean"/>
        <s v="Ashe"/>
        <s v="fitterkarma"/>
        <s v="Mitta Ror"/>
        <s v="Swara Verma"/>
        <s v="bôa"/>
        <s v="Nueva H"/>
        <s v="LOS DOS DE TAMAULIPAS"/>
        <s v="Madison McFerrin"/>
        <s v="Adele"/>
        <s v="Tainy"/>
        <s v="Julia Wolf"/>
        <s v="Jere Klein"/>
        <s v="Katteyes"/>
        <s v="Mateo on the Beatz"/>
        <s v="Darlene Love"/>
        <s v="Sean Paul"/>
        <s v="Ariis"/>
        <s v="MC PR"/>
        <s v="Yb Wasg'ood"/>
        <s v="Alleh"/>
        <s v="Yorghaki"/>
        <s v="DJ DAVI DOGDOG"/>
        <s v="DJ Japa NK"/>
        <s v="Mc Jacaré"/>
        <s v="MC Ryan SP"/>
        <s v="DG e Batidão Stronda"/>
        <s v="Mc Davi"/>
        <s v="MC G15"/>
        <s v="Afusic"/>
        <s v="AliSoomroMusic"/>
        <s v="Lauv"/>
        <s v="JHAYCO"/>
        <s v="Carín León"/>
        <s v="Herencia De Grandes"/>
        <s v="AFROJACK"/>
        <s v="Nayer"/>
        <s v="Ne-Yo"/>
        <s v="Tulus"/>
        <s v="Plain White T's"/>
        <s v="Vitinho Imperador"/>
        <s v="The Walters"/>
        <s v="MJ Records"/>
        <s v="Panda"/>
        <s v="ZAYN"/>
        <s v="Ravyn Lenae"/>
        <s v="Major Lazer"/>
        <s v="MØ"/>
        <s v=".Feast"/>
        <s v="Annural Khalid"/>
        <s v="Maanu"/>
        <s v="Band Aid"/>
        <s v="Rema"/>
        <s v="Beyoncé"/>
        <s v="t.A.T.u."/>
        <s v="Pimmie"/>
        <s v="Charita Utami"/>
        <s v="Fourtwnty"/>
        <s v="Bella Kay"/>
        <s v="CXSPER"/>
        <s v="Tkandz"/>
        <s v="Stevie Wonder"/>
        <s v="Lil Peep"/>
        <s v="rainy bear"/>
        <s v="B. Swanson Quartet"/>
        <s v="Abor &amp; Tynna"/>
        <s v="Yahritza Y Su Esencia"/>
        <s v="Gesaffelstein"/>
        <s v="DJ Di Marques"/>
        <s v="FamousKyo"/>
        <s v="Mc Paiva ZS"/>
        <s v="Nilo"/>
        <s v="Tropa da W&amp;S"/>
        <s v="Central Cee"/>
        <s v="Temper City"/>
        <s v="Henry Freitas"/>
        <s v="Kadu Martins"/>
        <s v="Nuzio Medeiros"/>
        <s v="John Williams"/>
        <s v="Bebe Rexha"/>
        <s v="Ella Fitzgerald"/>
        <s v="Dj Andrabeat"/>
        <s v="MC GP"/>
        <s v="Mc Lele JP"/>
        <s v="Aditya Sharma"/>
        <s v="Jasleen Royal"/>
        <s v="Priya Saraiya"/>
        <s v="Radhikka Madan"/>
        <s v="Stebin Ben"/>
        <s v="Vijay Deverakonda"/>
        <s v="Dijon"/>
        <s v="Kausar Munir"/>
        <s v="Imael Angel"/>
        <s v="Ultra Naté"/>
        <s v="Sean Kingston"/>
        <s v="Oimara"/>
        <s v="Ari Lesmana"/>
        <s v="eńau"/>
        <s v="Conan Gray"/>
        <s v="Danny Ocean"/>
        <s v="Tommy Cash"/>
        <s v="Charlie Puth"/>
        <s v="Pentatonix"/>
        <s v="Ray Parker Jr."/>
        <s v="J. Cole"/>
        <s v="Rico Ace"/>
        <s v="Faris Adam"/>
        <s v="Arctic Monkeys"/>
        <s v="Cardi B"/>
        <s v="B.o.B"/>
        <s v="Kenshi Yonezu"/>
        <s v="Tommy Richman"/>
        <s v="LATIN MAFIA"/>
        <s v="Ozuna"/>
        <s v="Jinu"/>
        <s v="Rumi"/>
        <s v="Sech"/>
        <s v="Connie Francis"/>
        <s v="Jaden"/>
        <s v="Calle 24"/>
        <s v="Chuyin"/>
        <s v="Jorsshh"/>
        <s v="Armaan Khan"/>
        <s v="Jonas Brothers"/>
        <s v="Dj Caio Vieira"/>
        <s v="One Direction"/>
        <s v="Druski"/>
        <s v="LENCHO"/>
        <s v="Journey"/>
        <s v="Prince Royce"/>
        <s v="Dwele"/>
        <s v="Bharath"/>
        <s v="Kushagra"/>
        <s v="Saaheal"/>
        <s v="Shubh"/>
        <s v="Chuwi"/>
        <s v="Hindia"/>
        <s v="Chezile"/>
        <s v="Justice"/>
        <s v="Shaboozey"/>
        <s v="Keyshia Cole"/>
        <s v="Arash"/>
        <s v="Daecolm"/>
        <s v="Topic"/>
        <s v="GELO"/>
        <s v="Cynthia Erivo"/>
        <s v="Juli"/>
        <s v="Olly"/>
        <s v="Oasis"/>
        <s v="Lucio Corsi"/>
        <s v="Giorgia"/>
        <s v="Piche Kota"/>
        <s v="Cup of Joe"/>
        <s v="James Arthur"/>
        <s v="Babu Singh Maan"/>
        <s v="Charanjit Ahuja"/>
        <s v="Hanumankind"/>
        <s v="Muhammad Sadiq"/>
        <s v="Ranjit Kaur"/>
        <s v="The Beach Boys"/>
        <s v="The Citizens of Halloween"/>
        <s v="Idgitaf"/>
        <s v="Diplo"/>
        <s v="Jack Ü"/>
        <s v="Skrillex"/>
        <s v="Ovi"/>
        <s v="Régulo Molina"/>
        <s v="Dj Honda"/>
        <s v="Helabusador"/>
        <s v="JipMusic Global"/>
        <s v="Rey Tony"/>
        <s v="Ya Ice Dilan"/>
        <s v="NATTAN"/>
        <s v="Arcane"/>
        <s v="Pomme"/>
        <s v="Stromae"/>
        <s v="Arcángel"/>
        <s v="DJ Luian"/>
        <s v="Farruko"/>
        <s v="Mambo Kingz"/>
        <s v="pupsies"/>
        <s v="Diego &amp; Victor Hugo"/>
        <s v="Hansika Pareek"/>
        <s v="Vishal Mishra"/>
        <s v="Sheck Wes"/>
        <s v="Childish Gambino"/>
        <s v="girl in red"/>
        <s v="Mitchell Ayres &amp; His Orchestra"/>
        <s v="Perry Como"/>
        <s v="The Fontane Sisters"/>
        <s v="Diva Aurel"/>
        <s v="Jacson Seran"/>
        <s v="Juan Reza"/>
        <s v="Silet Open Up"/>
        <s v="Nicky Jam"/>
        <s v="Zacari"/>
        <s v="Nicki Minaj"/>
        <s v="The Goo Goo Dolls"/>
        <s v="The Chainsmokers"/>
        <s v="Brenno &amp; Matheus"/>
        <s v="DJ Ari SL"/>
        <s v="Chencho Corleone"/>
        <s v="DARA"/>
        <s v="Los Pleneros de la Cresta"/>
        <s v="Fedez"/>
        <s v="Chance the Rapper"/>
        <s v="TV Girl"/>
        <s v="KAJ"/>
        <s v="Ludacris"/>
        <s v="Andmesh"/>
        <s v="Aitana"/>
        <s v="W Sound"/>
        <s v="T-Pain"/>
        <s v="Richy Mitch &amp; The Coal Miners"/>
        <s v="DJ Gu"/>
        <s v="Mc Dkziin"/>
        <s v="MC Fr da Norte"/>
        <s v="MC Joãozinho VT"/>
        <s v="MC Vine7"/>
        <s v="Daryl Hall &amp; John Oates"/>
        <s v="Emmanuel Cortes"/>
        <s v="DJ Glenner"/>
        <s v="Bruce Springsteen"/>
        <s v="Rels B"/>
        <s v="Esau Ortiz"/>
        <s v="JR Torres"/>
        <s v="Victor Valverde"/>
        <s v="Satinder Sartaaj"/>
        <s v="slxughter"/>
        <s v="ZXKAI"/>
        <s v="Dysbit"/>
        <s v="Easykid"/>
        <s v="Bailey Zimmerman"/>
        <s v="BigXthaPlug"/>
        <s v="Sixpence None The Richer"/>
        <s v="Clementine Douglas"/>
        <s v="Leona Lewis"/>
        <s v="Ifan Seventeen"/>
        <s v="Halsey"/>
        <s v="Jubin Nautiyal"/>
        <s v="The Rish"/>
        <s v="Lily-Rose Depp"/>
        <s v="Park Hyo Shin"/>
        <s v="V"/>
        <s v="Mc Th"/>
        <s v="Bryan Adams"/>
        <s v="Donny Hathaway"/>
        <s v="Daft Punk"/>
        <s v="Ellie Goulding"/>
        <s v="Luke Combs"/>
        <s v="ATL Jacob"/>
        <s v="Tove Lo"/>
        <s v="Dei V"/>
        <s v="Lynyrd Skynyrd"/>
        <s v="The Ronettes"/>
        <s v="Tom Odell"/>
        <s v="Kylie Minogue"/>
        <s v="Kris R."/>
        <s v="Luar La L"/>
        <s v="ROA"/>
        <s v="Yan Block"/>
        <s v="Estrella Morente"/>
        <s v="Sílvia Pérez Cruz"/>
        <s v="Fat Papi"/>
        <s v="prodshushy"/>
        <s v="Lewis Capaldi"/>
        <s v="Guns N' Roses"/>
        <s v="Jessie Murph"/>
        <s v="Kid Cudi"/>
        <s v="Bobby Helms"/>
        <s v="Bonnie Tyler"/>
        <s v="Poizi"/>
        <s v="Supernova Ent"/>
        <s v="Veigh"/>
      </sharedItems>
    </cacheField>
    <cacheField name="track_name" numFmtId="0">
      <sharedItems/>
    </cacheField>
    <cacheField name="source" numFmtId="0">
      <sharedItems/>
    </cacheField>
    <cacheField name="peak_rank" numFmtId="0">
      <sharedItems containsSemiMixedTypes="0" containsString="0" containsNumber="1" containsInteger="1" minValue="1" maxValue="200"/>
    </cacheField>
    <cacheField name="weeks_on_chart" numFmtId="0">
      <sharedItems containsSemiMixedTypes="0" containsString="0" containsNumber="1" containsInteger="1" minValue="1" maxValue="467"/>
    </cacheField>
    <cacheField name="duration" numFmtId="164">
      <sharedItems containsDate="1" containsMixedTypes="1" minDate="1899-12-30T01:12:00" maxDate="1899-12-30T08:41:00"/>
    </cacheField>
    <cacheField name="explicit" numFmtId="0">
      <sharedItems/>
    </cacheField>
    <cacheField name="danceability" numFmtId="0">
      <sharedItems containsSemiMixedTypes="0" containsString="0" containsNumber="1" containsInteger="1" minValue="9" maxValue="97"/>
    </cacheField>
    <cacheField name="energy" numFmtId="0">
      <sharedItems containsSemiMixedTypes="0" containsString="0" containsNumber="1" containsInteger="1" minValue="0" maxValue="98"/>
    </cacheField>
    <cacheField name="loudness" numFmtId="0">
      <sharedItems containsSemiMixedTypes="0" containsString="0" containsNumber="1" containsInteger="1" minValue="9" maxValue="100"/>
    </cacheField>
    <cacheField name="speechiness" numFmtId="0">
      <sharedItems containsSemiMixedTypes="0" containsString="0" containsNumber="1" containsInteger="1" minValue="2" maxValue="60"/>
    </cacheField>
    <cacheField name="acousticness" numFmtId="0">
      <sharedItems containsSemiMixedTypes="0" containsString="0" containsNumber="1" containsInteger="1" minValue="0" maxValue="100"/>
    </cacheField>
    <cacheField name="instrumentalness" numFmtId="0">
      <sharedItems containsSemiMixedTypes="0" containsString="0" containsNumber="1" containsInteger="1" minValue="0" maxValue="100"/>
    </cacheField>
    <cacheField name="liveness" numFmtId="0">
      <sharedItems containsSemiMixedTypes="0" containsString="0" containsNumber="1" containsInteger="1" minValue="2" maxValue="89"/>
    </cacheField>
    <cacheField name="valence" numFmtId="0">
      <sharedItems containsSemiMixedTypes="0" containsString="0" containsNumber="1" containsInteger="1" minValue="0" maxValue="98"/>
    </cacheField>
    <cacheField name="tempo" numFmtId="0">
      <sharedItems containsSemiMixedTypes="0" containsString="0" containsNumber="1" containsInteger="1" minValue="62" maxValue="208"/>
    </cacheField>
    <cacheField name="genre" numFmtId="0">
      <sharedItems/>
    </cacheField>
    <cacheField name="release_date" numFmtId="14">
      <sharedItems containsDate="1" containsMixedTypes="1" minDate="1946-11-01T00:00:00" maxDate="2025-05-17T00:00:00"/>
    </cacheField>
    <cacheField name="cover_url" numFmtId="0">
      <sharedItems/>
    </cacheField>
    <cacheField name="is_christmas"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69">
  <r>
    <n v="1"/>
    <s v="spotify:track:003vvx7Niy0yvhvHt4a68B"/>
    <x v="0"/>
    <s v="Mr. Brightside"/>
    <s v="Island Records"/>
    <n v="26"/>
    <n v="240"/>
    <d v="1899-12-30T03:42:00"/>
    <b v="0"/>
    <n v="35"/>
    <n v="91"/>
    <n v="91"/>
    <n v="7"/>
    <n v="0"/>
    <n v="0"/>
    <n v="10"/>
    <n v="24"/>
    <n v="148"/>
    <s v="Alternative Rock"/>
    <d v="2004-09-07T00:00:00"/>
    <s v="https://image-cdn-ak.spotifycdn.com/image/ab67616d00001e02ccdddd46119a4ff53eaf1f5d"/>
    <b v="0"/>
  </r>
  <r>
    <n v="2"/>
    <s v="spotify:track:00iLTetTLAeImmBlh6jOJh"/>
    <x v="1"/>
    <s v="K POP"/>
    <s v="AWGE/Interscope Records"/>
    <n v="42"/>
    <n v="1"/>
    <d v="1899-12-30T02:38:00"/>
    <b v="1"/>
    <n v="64"/>
    <n v="69"/>
    <n v="90"/>
    <n v="4"/>
    <n v="1"/>
    <n v="0"/>
    <n v="7"/>
    <n v="15"/>
    <n v="144"/>
    <s v="Hip-Hop/Rap"/>
    <d v="2025-03-14T00:00:00"/>
    <s v="https://image-cdn-ak.spotifycdn.com/image/ab67616d00001e026b219c8d8462bfe254a20469"/>
    <b v="0"/>
  </r>
  <r>
    <n v="3"/>
    <s v="spotify:track:01p5urrGw5fuFCcfT7PBgc"/>
    <x v="2"/>
    <s v="GO BABY"/>
    <s v="JRC Entertainment, LLC / ILH Production Co. LLC / Def Jam Recordings"/>
    <n v="15"/>
    <n v="3"/>
    <s v="03:12:00"/>
    <b v="0"/>
    <n v="78"/>
    <n v="66"/>
    <n v="73"/>
    <n v="8"/>
    <n v="18"/>
    <n v="0"/>
    <n v="11"/>
    <n v="62"/>
    <n v="100"/>
    <s v="Pop"/>
    <s v="12/9/2025"/>
    <s v="https://image-cdn-ak.spotifycdn.com/image/ab67616d00001e02d65c4773bc5061fd27facc5b"/>
    <b v="0"/>
  </r>
  <r>
    <n v="4"/>
    <s v="spotify:track:01qFKNWq73UfEslI0GvumE"/>
    <x v="3"/>
    <s v="3D (feat. Jack Harlow)"/>
    <s v="BIGHIT MUSIC"/>
    <n v="3"/>
    <n v="34"/>
    <d v="1899-12-30T03:21:00"/>
    <b v="1"/>
    <n v="85"/>
    <n v="82"/>
    <n v="95"/>
    <n v="10"/>
    <n v="3"/>
    <n v="0"/>
    <n v="9"/>
    <n v="89"/>
    <n v="108"/>
    <s v="Pop"/>
    <d v="2023-09-29T00:00:00"/>
    <s v="https://image-cdn-ak.spotifycdn.com/image/ab67616d00001e0299583bb32b47e87d55c6064b"/>
    <b v="0"/>
  </r>
  <r>
    <n v="4"/>
    <s v="spotify:track:01qFKNWq73UfEslI0GvumE"/>
    <x v="4"/>
    <s v="3D (feat. Jack Harlow)"/>
    <s v="BIGHIT MUSIC"/>
    <n v="3"/>
    <n v="34"/>
    <d v="1899-12-30T03:21:00"/>
    <b v="1"/>
    <n v="85"/>
    <n v="82"/>
    <n v="95"/>
    <n v="10"/>
    <n v="3"/>
    <n v="0"/>
    <n v="9"/>
    <n v="89"/>
    <n v="108"/>
    <s v="Pop"/>
    <d v="2023-09-29T00:00:00"/>
    <s v="https://image-cdn-ak.spotifycdn.com/image/ab67616d00001e0299583bb32b47e87d55c6064b"/>
    <b v="0"/>
  </r>
  <r>
    <n v="5"/>
    <s v="spotify:track:028i7HBfp8uE5epmx5ieMA"/>
    <x v="5"/>
    <s v="Pop"/>
    <s v="Columbia"/>
    <n v="24"/>
    <n v="2"/>
    <d v="1899-12-30T02:55:00"/>
    <b v="0"/>
    <n v="70"/>
    <n v="80"/>
    <n v="82"/>
    <n v="7"/>
    <n v="6"/>
    <n v="0"/>
    <n v="13"/>
    <n v="60"/>
    <n v="124"/>
    <s v="Pop"/>
    <d v="2025-03-07T00:00:00"/>
    <s v="https://image-cdn-ak.spotifycdn.com/image/ab67616d00001e0274959140f550b11049c18a38"/>
    <b v="0"/>
  </r>
  <r>
    <n v="6"/>
    <s v="spotify:track:02BcXEH1zJYbXSabPtNlKf"/>
    <x v="6"/>
    <s v="Lose My Mind (feat. Doja Cat) [From F1® The Movie]"/>
    <s v="Atlantic Records"/>
    <n v="71"/>
    <n v="8"/>
    <s v="03:08:00"/>
    <b v="0"/>
    <n v="81"/>
    <n v="67"/>
    <n v="73"/>
    <n v="8"/>
    <n v="20"/>
    <n v="0"/>
    <n v="12"/>
    <n v="62"/>
    <n v="124"/>
    <s v="Hip-Hop/Rap"/>
    <s v="27/6/2025"/>
    <s v="https://image-cdn-ak.spotifycdn.com/image/ab67616d00001e02d4c0243b55cdf7394323e710"/>
    <b v="0"/>
  </r>
  <r>
    <n v="6"/>
    <s v="spotify:track:02BcXEH1zJYbXSabPtNlKf"/>
    <x v="7"/>
    <s v="Lose My Mind (feat. Doja Cat) [From F1® The Movie]"/>
    <s v="Atlantic Records"/>
    <n v="71"/>
    <n v="8"/>
    <s v="03:08:00"/>
    <b v="0"/>
    <n v="81"/>
    <n v="67"/>
    <n v="73"/>
    <n v="8"/>
    <n v="20"/>
    <n v="0"/>
    <n v="12"/>
    <n v="62"/>
    <n v="124"/>
    <s v="Hip-Hop/Rap"/>
    <s v="27/6/2025"/>
    <s v="https://image-cdn-ak.spotifycdn.com/image/ab67616d00001e02d4c0243b55cdf7394323e710"/>
    <b v="0"/>
  </r>
  <r>
    <n v="6"/>
    <s v="spotify:track:02BcXEH1zJYbXSabPtNlKf"/>
    <x v="8"/>
    <s v="Lose My Mind (feat. Doja Cat) [From F1® The Movie]"/>
    <s v="Atlantic Records"/>
    <n v="71"/>
    <n v="8"/>
    <s v="03:08:00"/>
    <b v="0"/>
    <n v="81"/>
    <n v="67"/>
    <n v="73"/>
    <n v="8"/>
    <n v="20"/>
    <n v="0"/>
    <n v="12"/>
    <n v="62"/>
    <n v="124"/>
    <s v="Hip-Hop/Rap"/>
    <s v="27/6/2025"/>
    <s v="https://image-cdn-ak.spotifycdn.com/image/ab67616d00001e02d4c0243b55cdf7394323e710"/>
    <b v="0"/>
  </r>
  <r>
    <n v="7"/>
    <s v="spotify:track:02HyFYmpzt02VJ8k0CqxKj"/>
    <x v="9"/>
    <s v="Ain't In LA"/>
    <s v="Capitol Records"/>
    <n v="29"/>
    <n v="5"/>
    <s v="03:15:00"/>
    <b v="0"/>
    <n v="68"/>
    <n v="54"/>
    <n v="71"/>
    <n v="5"/>
    <n v="44"/>
    <n v="0"/>
    <n v="12"/>
    <n v="45"/>
    <n v="108"/>
    <s v="Pop"/>
    <s v="15/8/2025"/>
    <s v="https://image-cdn-ak.spotifycdn.com/image/ab67616d00001e02b176fc721e1faba78b1ef35b"/>
    <b v="0"/>
  </r>
  <r>
    <n v="8"/>
    <s v="spotify:track:02XnQdf7sipaKBBHixz3Zp"/>
    <x v="10"/>
    <s v="Paparazzi"/>
    <s v="Streamline/Interscope"/>
    <n v="192"/>
    <n v="3"/>
    <d v="1899-12-30T03:28:00"/>
    <b v="0"/>
    <n v="76"/>
    <n v="69"/>
    <n v="93"/>
    <n v="4"/>
    <n v="11"/>
    <n v="0"/>
    <n v="9"/>
    <n v="40"/>
    <n v="115"/>
    <s v="Pop"/>
    <d v="2008-07-01T00:00:00"/>
    <s v="https://image-cdn-fa.spotifycdn.com/image/ab67616d00001e02e691217483df8798445c82e2"/>
    <b v="0"/>
  </r>
  <r>
    <n v="9"/>
    <s v="spotify:track:02Ya2Q08bBKFqUJvjmyRXK"/>
    <x v="11"/>
    <s v="Just In Case"/>
    <s v="Mercury Records/Morgan Wallen"/>
    <n v="105"/>
    <n v="7"/>
    <d v="1899-12-30T03:22:00"/>
    <b v="0"/>
    <n v="65"/>
    <n v="50"/>
    <n v="89"/>
    <n v="3"/>
    <n v="68"/>
    <n v="0"/>
    <n v="15"/>
    <n v="44"/>
    <n v="146"/>
    <s v="Country"/>
    <d v="2025-03-21T00:00:00"/>
    <s v="https://image-cdn-ak.spotifycdn.com/image/ab67616d00001e02e69f7f1c43cebd102126e8f3"/>
    <b v="0"/>
  </r>
  <r>
    <n v="10"/>
    <s v="spotify:track:02sy7FAs8dkDNYsHp4Ul3f"/>
    <x v="12"/>
    <s v="Soda Pop"/>
    <s v="K-Pop Demon Hunters"/>
    <n v="4"/>
    <n v="33"/>
    <s v="03:05:00"/>
    <b v="0"/>
    <n v="78"/>
    <n v="75"/>
    <n v="74"/>
    <n v="8"/>
    <n v="16"/>
    <n v="0"/>
    <n v="12"/>
    <n v="70"/>
    <n v="122"/>
    <s v="K-Pop"/>
    <s v="20/6/2025"/>
    <s v="https://image-cdn-ak.spotifycdn.com/image/ab67616d00001e024dcb6c5df15cf74596ab25a4"/>
    <b v="0"/>
  </r>
  <r>
    <n v="10"/>
    <s v="spotify:track:02sy7FAs8dkDNYsHp4Ul3f"/>
    <x v="13"/>
    <s v="Soda Pop"/>
    <s v="K-Pop Demon Hunters"/>
    <n v="4"/>
    <n v="33"/>
    <s v="03:05:00"/>
    <b v="0"/>
    <n v="78"/>
    <n v="75"/>
    <n v="74"/>
    <n v="8"/>
    <n v="16"/>
    <n v="0"/>
    <n v="12"/>
    <n v="70"/>
    <n v="122"/>
    <s v="K-Pop"/>
    <s v="20/6/2025"/>
    <s v="https://image-cdn-ak.spotifycdn.com/image/ab67616d00001e024dcb6c5df15cf74596ab25a4"/>
    <b v="0"/>
  </r>
  <r>
    <n v="10"/>
    <s v="spotify:track:02sy7FAs8dkDNYsHp4Ul3f"/>
    <x v="14"/>
    <s v="Soda Pop"/>
    <s v="K-Pop Demon Hunters"/>
    <n v="4"/>
    <n v="33"/>
    <s v="03:05:00"/>
    <b v="0"/>
    <n v="78"/>
    <n v="75"/>
    <n v="74"/>
    <n v="8"/>
    <n v="16"/>
    <n v="0"/>
    <n v="12"/>
    <n v="70"/>
    <n v="122"/>
    <s v="K-Pop"/>
    <s v="20/6/2025"/>
    <s v="https://image-cdn-ak.spotifycdn.com/image/ab67616d00001e024dcb6c5df15cf74596ab25a4"/>
    <b v="0"/>
  </r>
  <r>
    <n v="10"/>
    <s v="spotify:track:02sy7FAs8dkDNYsHp4Ul3f"/>
    <x v="15"/>
    <s v="Soda Pop"/>
    <s v="K-Pop Demon Hunters"/>
    <n v="4"/>
    <n v="33"/>
    <s v="03:05:00"/>
    <b v="0"/>
    <n v="78"/>
    <n v="75"/>
    <n v="74"/>
    <n v="8"/>
    <n v="16"/>
    <n v="0"/>
    <n v="12"/>
    <n v="70"/>
    <n v="122"/>
    <s v="K-Pop"/>
    <s v="20/6/2025"/>
    <s v="https://image-cdn-ak.spotifycdn.com/image/ab67616d00001e024dcb6c5df15cf74596ab25a4"/>
    <b v="0"/>
  </r>
  <r>
    <n v="10"/>
    <s v="spotify:track:02sy7FAs8dkDNYsHp4Ul3f"/>
    <x v="16"/>
    <s v="Soda Pop"/>
    <s v="K-Pop Demon Hunters"/>
    <n v="4"/>
    <n v="33"/>
    <s v="03:05:00"/>
    <b v="0"/>
    <n v="78"/>
    <n v="75"/>
    <n v="74"/>
    <n v="8"/>
    <n v="16"/>
    <n v="0"/>
    <n v="12"/>
    <n v="70"/>
    <n v="122"/>
    <s v="K-Pop"/>
    <s v="20/6/2025"/>
    <s v="https://image-cdn-ak.spotifycdn.com/image/ab67616d00001e024dcb6c5df15cf74596ab25a4"/>
    <b v="0"/>
  </r>
  <r>
    <n v="10"/>
    <s v="spotify:track:02sy7FAs8dkDNYsHp4Ul3f"/>
    <x v="17"/>
    <s v="Soda Pop"/>
    <s v="K-Pop Demon Hunters"/>
    <n v="4"/>
    <n v="33"/>
    <s v="03:05:00"/>
    <b v="0"/>
    <n v="78"/>
    <n v="75"/>
    <n v="74"/>
    <n v="8"/>
    <n v="16"/>
    <n v="0"/>
    <n v="12"/>
    <n v="70"/>
    <n v="122"/>
    <s v="K-Pop"/>
    <s v="20/6/2025"/>
    <s v="https://image-cdn-ak.spotifycdn.com/image/ab67616d00001e024dcb6c5df15cf74596ab25a4"/>
    <b v="0"/>
  </r>
  <r>
    <n v="10"/>
    <s v="spotify:track:02sy7FAs8dkDNYsHp4Ul3f"/>
    <x v="18"/>
    <s v="Soda Pop"/>
    <s v="K-Pop Demon Hunters"/>
    <n v="4"/>
    <n v="33"/>
    <s v="03:05:00"/>
    <b v="0"/>
    <n v="78"/>
    <n v="75"/>
    <n v="74"/>
    <n v="8"/>
    <n v="16"/>
    <n v="0"/>
    <n v="12"/>
    <n v="70"/>
    <n v="122"/>
    <s v="K-Pop"/>
    <s v="20/6/2025"/>
    <s v="https://image-cdn-ak.spotifycdn.com/image/ab67616d00001e024dcb6c5df15cf74596ab25a4"/>
    <b v="0"/>
  </r>
  <r>
    <n v="11"/>
    <s v="spotify:track:03JZr55j9bIj1d2RQJ7Yq9"/>
    <x v="6"/>
    <s v="Jealous Type"/>
    <s v="Kemosabe Records/RCA Records"/>
    <n v="36"/>
    <n v="5"/>
    <s v="02:48:00"/>
    <b v="0"/>
    <n v="78"/>
    <n v="63"/>
    <n v="72"/>
    <n v="11"/>
    <n v="21"/>
    <n v="0"/>
    <n v="12"/>
    <n v="65"/>
    <n v="116"/>
    <s v="Pop"/>
    <s v="26/9/2025"/>
    <s v="https://image-cdn-fa.spotifycdn.com/image/ab67616d00001e023b219fb53c69f313f90fd4ce"/>
    <b v="0"/>
  </r>
  <r>
    <n v="12"/>
    <s v="spotify:track:03auLpFLdCv4HozP4pQseu"/>
    <x v="7"/>
    <s v="ATM"/>
    <s v="CactusJack/Donnway/ATL"/>
    <n v="67"/>
    <n v="1"/>
    <s v="03:14:00"/>
    <b v="1"/>
    <n v="78"/>
    <n v="65"/>
    <n v="72"/>
    <n v="7"/>
    <n v="21"/>
    <n v="0"/>
    <n v="12"/>
    <n v="57"/>
    <n v="130"/>
    <s v="Hip-Hop/Rap"/>
    <s v="13/6/2025"/>
    <s v="https://image-cdn-ak.spotifycdn.com/image/ab67616d00001e0225c28f3c9fbdbab1a88dd619"/>
    <b v="0"/>
  </r>
  <r>
    <n v="13"/>
    <s v="spotify:track:03bTIHJElXZ0O0jqOQvAbY"/>
    <x v="19"/>
    <s v="Father Figure"/>
    <s v="Taylor Swift"/>
    <n v="4"/>
    <n v="8"/>
    <s v="03:48:00"/>
    <b v="0"/>
    <n v="65"/>
    <n v="52"/>
    <n v="72"/>
    <n v="4"/>
    <n v="48"/>
    <n v="0"/>
    <n v="13"/>
    <n v="42"/>
    <n v="96"/>
    <s v="Pop"/>
    <s v="3/10/2025"/>
    <s v="https://image-cdn-ak.spotifycdn.com/image/ab67616d00001e02d7812467811a7da6e6a44902"/>
    <b v="0"/>
  </r>
  <r>
    <n v="14"/>
    <s v="spotify:track:040I32EKLxQrkuxQu1pqvT"/>
    <x v="20"/>
    <s v="Saturn"/>
    <s v="Top Dawg Entertainment/RCA Records"/>
    <n v="17"/>
    <n v="53"/>
    <d v="1899-12-30T03:32:00"/>
    <b v="0"/>
    <n v="56"/>
    <n v="58"/>
    <n v="87"/>
    <n v="3"/>
    <n v="64"/>
    <n v="0"/>
    <n v="10"/>
    <n v="33"/>
    <n v="89"/>
    <s v="R&amp;B"/>
    <d v="2024-02-22T00:00:00"/>
    <s v="https://image-cdn-fa.spotifycdn.com/image/ab67616d00001e0216fdde9f6b5606419ca9b7ca"/>
    <b v="0"/>
  </r>
  <r>
    <n v="15"/>
    <s v="spotify:track:04aigH9HRGebQZu1JAN6X1"/>
    <x v="21"/>
    <s v="Take on Me"/>
    <s v="Rhino"/>
    <n v="56"/>
    <n v="101"/>
    <d v="1899-12-30T03:46:00"/>
    <b v="0"/>
    <n v="57"/>
    <n v="90"/>
    <n v="87"/>
    <n v="5"/>
    <n v="2"/>
    <n v="0"/>
    <n v="9"/>
    <n v="88"/>
    <n v="84"/>
    <s v="Synth-Pop"/>
    <d v="1985-09-16T00:00:00"/>
    <s v="https://image-cdn-ak.spotifycdn.com/image/ab67616d00001e02693bbaa1c515f1cde764e25b"/>
    <b v="0"/>
  </r>
  <r>
    <n v="16"/>
    <s v="spotify:track:04d5HlcQX6zH5MMqffXOon"/>
    <x v="22"/>
    <s v="MATADORA"/>
    <s v="Bichota/Interscope Records"/>
    <n v="106"/>
    <n v="2"/>
    <s v="02:42:00"/>
    <b v="1"/>
    <n v="82"/>
    <n v="74"/>
    <n v="74"/>
    <n v="8"/>
    <n v="18"/>
    <n v="0"/>
    <n v="12"/>
    <n v="80"/>
    <n v="124"/>
    <s v="Reggaeton"/>
    <s v="8/8/2025"/>
    <s v="https://image-cdn-ak.spotifycdn.com/image/ab67616d00001e0221deb742375f88edfb2e7368"/>
    <b v="0"/>
  </r>
  <r>
    <n v="17"/>
    <s v="spotify:track:04emojnbYkrRmv5qtJcgVP"/>
    <x v="11"/>
    <s v="What I Want (feat. Tate McRae)"/>
    <s v="Big Loud Records / Mercury Records / Republic Records"/>
    <n v="19"/>
    <n v="19"/>
    <s v="03:00:00"/>
    <b v="0"/>
    <n v="72"/>
    <n v="64"/>
    <n v="72"/>
    <n v="5"/>
    <n v="28"/>
    <n v="0"/>
    <n v="12"/>
    <n v="55"/>
    <n v="124"/>
    <s v="Country"/>
    <s v="16/5/2025"/>
    <s v="https://image-cdn-ak.spotifycdn.com/image/ab67616d00001e0235ea219ce47813b5e2dc3745"/>
    <b v="0"/>
  </r>
  <r>
    <n v="17"/>
    <s v="spotify:track:04emojnbYkrRmv5qtJcgVP"/>
    <x v="23"/>
    <s v="What I Want (feat. Tate McRae)"/>
    <s v="Big Loud Records / Mercury Records / Republic Records"/>
    <n v="19"/>
    <n v="19"/>
    <s v="03:00:00"/>
    <b v="0"/>
    <n v="72"/>
    <n v="64"/>
    <n v="72"/>
    <n v="5"/>
    <n v="28"/>
    <n v="0"/>
    <n v="12"/>
    <n v="55"/>
    <n v="124"/>
    <s v="Country"/>
    <s v="16/5/2025"/>
    <s v="https://image-cdn-ak.spotifycdn.com/image/ab67616d00001e0235ea219ce47813b5e2dc3745"/>
    <b v="0"/>
  </r>
  <r>
    <n v="18"/>
    <s v="spotify:track:04vLj9QUXoKdRlsp3gkURo"/>
    <x v="24"/>
    <s v="Mele Kalikimaka (Merry Christmas)"/>
    <s v="Geffen"/>
    <n v="46"/>
    <n v="9"/>
    <d v="1899-12-30T02:56:00"/>
    <b v="0"/>
    <n v="55"/>
    <n v="50"/>
    <n v="72"/>
    <n v="4"/>
    <n v="60"/>
    <n v="0"/>
    <n v="18"/>
    <n v="75"/>
    <n v="120"/>
    <s v="Christmas"/>
    <d v="1950-01-01T00:00:00"/>
    <s v="https://image-cdn-ak.spotifycdn.com/image/ab67616d00001e028004cd6b343732b0e1e666f5"/>
    <b v="1"/>
  </r>
  <r>
    <n v="18"/>
    <s v="spotify:track:04vLj9QUXoKdRlsp3gkURo"/>
    <x v="25"/>
    <s v="Mele Kalikimaka (Merry Christmas)"/>
    <s v="Geffen"/>
    <n v="46"/>
    <n v="9"/>
    <d v="1899-12-30T02:56:00"/>
    <b v="0"/>
    <n v="55"/>
    <n v="50"/>
    <n v="72"/>
    <n v="4"/>
    <n v="60"/>
    <n v="0"/>
    <n v="18"/>
    <n v="75"/>
    <n v="120"/>
    <s v="Christmas"/>
    <d v="1950-01-01T00:00:00"/>
    <s v="https://image-cdn-ak.spotifycdn.com/image/ab67616d00001e028004cd6b343732b0e1e666f5"/>
    <b v="1"/>
  </r>
  <r>
    <n v="19"/>
    <s v="spotify:track:05od2qm2MTSKCHxy1GBp5W"/>
    <x v="26"/>
    <s v="12 to 12"/>
    <s v="Warner Records"/>
    <n v="14"/>
    <n v="62"/>
    <d v="1899-12-30T03:12:00"/>
    <b v="0"/>
    <n v="62"/>
    <n v="60"/>
    <n v="75"/>
    <n v="5"/>
    <n v="40"/>
    <n v="0"/>
    <n v="10"/>
    <n v="42"/>
    <n v="88"/>
    <s v="Indie Pop"/>
    <d v="2024-10-18T00:00:00"/>
    <s v="https://image-cdn-ak.spotifycdn.com/image/ab67616d00001e024229702de91cb3d3a4383302"/>
    <b v="0"/>
  </r>
  <r>
    <n v="20"/>
    <s v="spotify:track:064fLCSLFvjocxzHXAyA0W"/>
    <x v="27"/>
    <s v="Parte &amp; Choke"/>
    <s v="WEA Latina"/>
    <n v="156"/>
    <n v="3"/>
    <s v="03:25:00"/>
    <b v="0"/>
    <n v="85"/>
    <n v="78"/>
    <n v="75"/>
    <n v="11"/>
    <n v="12"/>
    <n v="0"/>
    <n v="20"/>
    <n v="81"/>
    <n v="130"/>
    <s v="Reggaeton"/>
    <s v="11/7/2025"/>
    <s v="https://image-cdn-ak.spotifycdn.com/image/ab67616d00001e025597017783049cb4c3e49e57"/>
    <b v="0"/>
  </r>
  <r>
    <n v="20"/>
    <s v="spotify:track:064fLCSLFvjocxzHXAyA0W"/>
    <x v="28"/>
    <s v="Parte &amp; Choke"/>
    <s v="WEA Latina"/>
    <n v="156"/>
    <n v="3"/>
    <s v="03:25:00"/>
    <b v="0"/>
    <n v="85"/>
    <n v="78"/>
    <n v="75"/>
    <n v="11"/>
    <n v="12"/>
    <n v="0"/>
    <n v="20"/>
    <n v="81"/>
    <n v="130"/>
    <s v="Reggaeton"/>
    <s v="11/7/2025"/>
    <s v="https://image-cdn-ak.spotifycdn.com/image/ab67616d00001e025597017783049cb4c3e49e57"/>
    <b v="0"/>
  </r>
  <r>
    <n v="20"/>
    <s v="spotify:track:064fLCSLFvjocxzHXAyA0W"/>
    <x v="29"/>
    <s v="Parte &amp; Choke"/>
    <s v="WEA Latina"/>
    <n v="156"/>
    <n v="3"/>
    <s v="03:25:00"/>
    <b v="0"/>
    <n v="85"/>
    <n v="78"/>
    <n v="75"/>
    <n v="11"/>
    <n v="12"/>
    <n v="0"/>
    <n v="20"/>
    <n v="81"/>
    <n v="130"/>
    <s v="Reggaeton"/>
    <s v="11/7/2025"/>
    <s v="https://image-cdn-ak.spotifycdn.com/image/ab67616d00001e025597017783049cb4c3e49e57"/>
    <b v="0"/>
  </r>
  <r>
    <n v="21"/>
    <s v="spotify:track:07bruo5RoHasGqnun1Z31S"/>
    <x v="30"/>
    <s v="Chiquita"/>
    <s v="Josa Records"/>
    <n v="159"/>
    <n v="8"/>
    <d v="1899-12-30T02:50:00"/>
    <b v="0"/>
    <n v="74"/>
    <n v="86"/>
    <n v="89"/>
    <n v="6"/>
    <n v="52"/>
    <n v="0"/>
    <n v="12"/>
    <n v="82"/>
    <n v="138"/>
    <s v="Regional Mexicano"/>
    <d v="2025-04-25T00:00:00"/>
    <s v="https://image-cdn-ak.spotifycdn.com/image/ab67616d00001e025c0540f97b3f95e387a9b58e"/>
    <b v="0"/>
  </r>
  <r>
    <n v="21"/>
    <s v="spotify:track:07bruo5RoHasGqnun1Z31S"/>
    <x v="31"/>
    <s v="Chiquita"/>
    <s v="Josa Records"/>
    <n v="159"/>
    <n v="8"/>
    <d v="1899-12-30T02:50:00"/>
    <b v="0"/>
    <n v="74"/>
    <n v="86"/>
    <n v="89"/>
    <n v="6"/>
    <n v="52"/>
    <n v="0"/>
    <n v="12"/>
    <n v="82"/>
    <n v="138"/>
    <s v="Regional Mexicano"/>
    <d v="2025-04-25T00:00:00"/>
    <s v="https://image-cdn-ak.spotifycdn.com/image/ab67616d00001e025c0540f97b3f95e387a9b58e"/>
    <b v="0"/>
  </r>
  <r>
    <n v="22"/>
    <s v="spotify:track:08GYLNhKthS3arMdXsveRI"/>
    <x v="32"/>
    <s v="Haseen"/>
    <s v="Talwiinder"/>
    <n v="123"/>
    <n v="4"/>
    <d v="1899-12-30T03:35:00"/>
    <b v="0"/>
    <n v="60"/>
    <n v="55"/>
    <n v="74"/>
    <n v="5"/>
    <n v="45"/>
    <n v="0"/>
    <n v="11"/>
    <n v="50"/>
    <n v="90"/>
    <s v="Punjabi"/>
    <d v="2024-11-08T00:00:00"/>
    <s v="https://image-cdn-ak.spotifycdn.com/image/ab67616d00001e0205be603d0ab07ff5b195554e"/>
    <b v="0"/>
  </r>
  <r>
    <n v="22"/>
    <s v="spotify:track:08GYLNhKthS3arMdXsveRI"/>
    <x v="33"/>
    <s v="Haseen"/>
    <s v="Talwiinder"/>
    <n v="123"/>
    <n v="4"/>
    <d v="1899-12-30T03:35:00"/>
    <b v="0"/>
    <n v="60"/>
    <n v="55"/>
    <n v="74"/>
    <n v="5"/>
    <n v="45"/>
    <n v="0"/>
    <n v="11"/>
    <n v="50"/>
    <n v="90"/>
    <s v="Punjabi"/>
    <d v="2024-11-08T00:00:00"/>
    <s v="https://image-cdn-ak.spotifycdn.com/image/ab67616d00001e0205be603d0ab07ff5b195554e"/>
    <b v="0"/>
  </r>
  <r>
    <n v="22"/>
    <s v="spotify:track:08GYLNhKthS3arMdXsveRI"/>
    <x v="34"/>
    <s v="Haseen"/>
    <s v="Talwiinder"/>
    <n v="123"/>
    <n v="4"/>
    <d v="1899-12-30T03:35:00"/>
    <b v="0"/>
    <n v="60"/>
    <n v="55"/>
    <n v="74"/>
    <n v="5"/>
    <n v="45"/>
    <n v="0"/>
    <n v="11"/>
    <n v="50"/>
    <n v="90"/>
    <s v="Punjabi"/>
    <d v="2024-11-08T00:00:00"/>
    <s v="https://image-cdn-ak.spotifycdn.com/image/ab67616d00001e0205be603d0ab07ff5b195554e"/>
    <b v="0"/>
  </r>
  <r>
    <n v="23"/>
    <s v="spotify:track:094IjHeVUviN4aBnSXYsuj"/>
    <x v="35"/>
    <s v="DIA DELÍCIA"/>
    <s v="Nakama"/>
    <n v="90"/>
    <n v="11"/>
    <d v="1899-12-30T02:58:00"/>
    <b v="0"/>
    <n v="80"/>
    <n v="78"/>
    <n v="81"/>
    <n v="10"/>
    <n v="8"/>
    <n v="0"/>
    <n v="13"/>
    <n v="72"/>
    <n v="130"/>
    <s v="Phonk"/>
    <d v="2025-02-14T00:00:00"/>
    <s v="https://image-cdn-ak.spotifycdn.com/image/ab67616d00001e029246fa656b3b831c60c42fd3"/>
    <b v="0"/>
  </r>
  <r>
    <n v="23"/>
    <s v="spotify:track:094IjHeVUviN4aBnSXYsuj"/>
    <x v="36"/>
    <s v="DIA DELÍCIA"/>
    <s v="Nakama"/>
    <n v="90"/>
    <n v="11"/>
    <d v="1899-12-30T02:58:00"/>
    <b v="0"/>
    <n v="80"/>
    <n v="78"/>
    <n v="81"/>
    <n v="10"/>
    <n v="8"/>
    <n v="0"/>
    <n v="13"/>
    <n v="72"/>
    <n v="130"/>
    <s v="Phonk"/>
    <d v="2025-02-14T00:00:00"/>
    <s v="https://image-cdn-ak.spotifycdn.com/image/ab67616d00001e029246fa656b3b831c60c42fd3"/>
    <b v="0"/>
  </r>
  <r>
    <n v="24"/>
    <s v="spotify:track:09CtPGIpYB4BrO8qb1RGsF"/>
    <x v="2"/>
    <s v="Sorry"/>
    <s v="RBMG/Def Jam"/>
    <n v="12"/>
    <n v="69"/>
    <d v="1899-12-30T03:20:00"/>
    <b v="0"/>
    <n v="66"/>
    <n v="76"/>
    <n v="94"/>
    <n v="4"/>
    <n v="8"/>
    <n v="0"/>
    <n v="30"/>
    <n v="41"/>
    <n v="100"/>
    <s v="Pop"/>
    <d v="2015-10-22T00:00:00"/>
    <s v="https://image-cdn-ak.spotifycdn.com/image/ab67616d00001e02f46b9d202509a8f7384b90de"/>
    <b v="0"/>
  </r>
  <r>
    <n v="25"/>
    <s v="spotify:track:0AV4GhGeGCVJphsMTxDWdE"/>
    <x v="37"/>
    <s v="Porch Light"/>
    <s v="Mercury Records"/>
    <n v="45"/>
    <n v="2"/>
    <d v="1899-12-30T03:48:00"/>
    <b v="0"/>
    <n v="55"/>
    <n v="58"/>
    <n v="74"/>
    <n v="4"/>
    <n v="55"/>
    <n v="0"/>
    <n v="9"/>
    <n v="45"/>
    <n v="92"/>
    <s v="Indie Folk"/>
    <d v="2025-04-18T00:00:00"/>
    <s v="https://image-cdn-ak.spotifycdn.com/image/ab67616d00001e029053118f64c1871ed8cd4da4"/>
    <b v="0"/>
  </r>
  <r>
    <n v="26"/>
    <s v="spotify:track:0AcgKF7kbSoCkh3n7vlHwK"/>
    <x v="38"/>
    <s v="Dirty Diana - 2012 Remaster"/>
    <s v="Epic/Legacy"/>
    <n v="43"/>
    <n v="11"/>
    <d v="1899-12-30T04:40:00"/>
    <b v="0"/>
    <n v="68"/>
    <n v="85"/>
    <n v="85"/>
    <n v="4"/>
    <n v="5"/>
    <n v="0"/>
    <n v="14"/>
    <n v="42"/>
    <n v="130"/>
    <s v="Rock"/>
    <d v="1987-08-31T00:00:00"/>
    <s v="https://image-cdn-ak.spotifycdn.com/image/ab67616d00001e02eb2087dcd1eb61f833bdedff"/>
    <b v="0"/>
  </r>
  <r>
    <n v="27"/>
    <s v="spotify:track:0B7tnohfi83RQquo2JRHrL"/>
    <x v="23"/>
    <s v="2 hands"/>
    <s v="RCA Records Label"/>
    <n v="58"/>
    <n v="3"/>
    <d v="1899-12-30T02:48:00"/>
    <b v="1"/>
    <n v="62"/>
    <n v="78"/>
    <n v="93"/>
    <n v="5"/>
    <n v="13"/>
    <n v="0"/>
    <n v="19"/>
    <n v="58"/>
    <n v="104"/>
    <s v="Pop"/>
    <d v="2024-11-15T00:00:00"/>
    <s v="https://image-cdn-ak.spotifycdn.com/image/ab67616d00001e0230420759f1a2cd4923c5c65b"/>
    <b v="0"/>
  </r>
  <r>
    <n v="28"/>
    <s v="spotify:track:0B7wvvmu9EISAwZnOpjhNI"/>
    <x v="39"/>
    <s v="When I Was Your Man"/>
    <s v="Atlantic Records"/>
    <n v="38"/>
    <n v="190"/>
    <d v="1899-12-30T03:33:00"/>
    <b v="0"/>
    <n v="61"/>
    <n v="28"/>
    <n v="86"/>
    <n v="4"/>
    <n v="93"/>
    <n v="0"/>
    <n v="9"/>
    <n v="39"/>
    <n v="73"/>
    <s v="Pop"/>
    <d v="2012-12-07T00:00:00"/>
    <s v="https://image-cdn-ak.spotifycdn.com/image/ab67616d00001e0249055dce3554e72e82082980"/>
    <b v="0"/>
  </r>
  <r>
    <n v="29"/>
    <s v="spotify:track:0BCPKOYdS2jbQ8iyB56Zns"/>
    <x v="40"/>
    <s v="Clocks"/>
    <s v="Parlophone Records Limited"/>
    <n v="199"/>
    <n v="1"/>
    <d v="1899-12-30T05:07:00"/>
    <b v="0"/>
    <n v="58"/>
    <n v="75"/>
    <n v="88"/>
    <n v="3"/>
    <n v="60"/>
    <n v="1"/>
    <n v="18"/>
    <n v="26"/>
    <n v="131"/>
    <s v="Alternative Rock"/>
    <d v="2002-08-26T00:00:00"/>
    <s v="https://image-cdn-ak.spotifycdn.com/image/ab67616d00001e02de09e02aa7febf30b7c02d82"/>
    <b v="0"/>
  </r>
  <r>
    <n v="30"/>
    <s v="spotify:track:0BUkQGUXgcvf3gdCWYbtnJ"/>
    <x v="41"/>
    <s v="Oh Garota Eu Quero Você Só Pra Mim."/>
    <s v="Mainstreet Records"/>
    <n v="44"/>
    <n v="11"/>
    <d v="1899-12-30T02:35:00"/>
    <b v="1"/>
    <n v="90"/>
    <n v="86"/>
    <n v="96"/>
    <n v="24"/>
    <n v="4"/>
    <n v="0"/>
    <n v="8"/>
    <n v="73"/>
    <n v="137"/>
    <s v="Funk Brasileiro"/>
    <d v="2024-12-06T00:00:00"/>
    <s v="https://image-cdn-ak.spotifycdn.com/image/ab67616d00001e02d8bfb4567b1b5e5bc4da915b"/>
    <b v="0"/>
  </r>
  <r>
    <n v="30"/>
    <s v="spotify:track:0BUkQGUXgcvf3gdCWYbtnJ"/>
    <x v="42"/>
    <s v="Oh Garota Eu Quero Você Só Pra Mim."/>
    <s v="Mainstreet Records"/>
    <n v="44"/>
    <n v="11"/>
    <d v="1899-12-30T02:35:00"/>
    <b v="1"/>
    <n v="90"/>
    <n v="86"/>
    <n v="96"/>
    <n v="24"/>
    <n v="4"/>
    <n v="0"/>
    <n v="8"/>
    <n v="73"/>
    <n v="137"/>
    <s v="Funk Brasileiro"/>
    <d v="2024-12-06T00:00:00"/>
    <s v="https://image-cdn-ak.spotifycdn.com/image/ab67616d00001e02d8bfb4567b1b5e5bc4da915b"/>
    <b v="0"/>
  </r>
  <r>
    <n v="30"/>
    <s v="spotify:track:0BUkQGUXgcvf3gdCWYbtnJ"/>
    <x v="43"/>
    <s v="Oh Garota Eu Quero Você Só Pra Mim."/>
    <s v="Mainstreet Records"/>
    <n v="44"/>
    <n v="11"/>
    <d v="1899-12-30T02:35:00"/>
    <b v="1"/>
    <n v="90"/>
    <n v="86"/>
    <n v="96"/>
    <n v="24"/>
    <n v="4"/>
    <n v="0"/>
    <n v="8"/>
    <n v="73"/>
    <n v="137"/>
    <s v="Funk Brasileiro"/>
    <d v="2024-12-06T00:00:00"/>
    <s v="https://image-cdn-ak.spotifycdn.com/image/ab67616d00001e02d8bfb4567b1b5e5bc4da915b"/>
    <b v="0"/>
  </r>
  <r>
    <n v="30"/>
    <s v="spotify:track:0BUkQGUXgcvf3gdCWYbtnJ"/>
    <x v="44"/>
    <s v="Oh Garota Eu Quero Você Só Pra Mim."/>
    <s v="Mainstreet Records"/>
    <n v="44"/>
    <n v="11"/>
    <d v="1899-12-30T02:35:00"/>
    <b v="1"/>
    <n v="90"/>
    <n v="86"/>
    <n v="96"/>
    <n v="24"/>
    <n v="4"/>
    <n v="0"/>
    <n v="8"/>
    <n v="73"/>
    <n v="137"/>
    <s v="Funk Brasileiro"/>
    <d v="2024-12-06T00:00:00"/>
    <s v="https://image-cdn-ak.spotifycdn.com/image/ab67616d00001e02d8bfb4567b1b5e5bc4da915b"/>
    <b v="0"/>
  </r>
  <r>
    <n v="30"/>
    <s v="spotify:track:0BUkQGUXgcvf3gdCWYbtnJ"/>
    <x v="45"/>
    <s v="Oh Garota Eu Quero Você Só Pra Mim."/>
    <s v="Mainstreet Records"/>
    <n v="44"/>
    <n v="11"/>
    <d v="1899-12-30T02:35:00"/>
    <b v="1"/>
    <n v="90"/>
    <n v="86"/>
    <n v="96"/>
    <n v="24"/>
    <n v="4"/>
    <n v="0"/>
    <n v="8"/>
    <n v="73"/>
    <n v="137"/>
    <s v="Funk Brasileiro"/>
    <d v="2024-12-06T00:00:00"/>
    <s v="https://image-cdn-ak.spotifycdn.com/image/ab67616d00001e02d8bfb4567b1b5e5bc4da915b"/>
    <b v="0"/>
  </r>
  <r>
    <n v="30"/>
    <s v="spotify:track:0BUkQGUXgcvf3gdCWYbtnJ"/>
    <x v="46"/>
    <s v="Oh Garota Eu Quero Você Só Pra Mim."/>
    <s v="Mainstreet Records"/>
    <n v="44"/>
    <n v="11"/>
    <d v="1899-12-30T02:35:00"/>
    <b v="1"/>
    <n v="90"/>
    <n v="86"/>
    <n v="96"/>
    <n v="24"/>
    <n v="4"/>
    <n v="0"/>
    <n v="8"/>
    <n v="73"/>
    <n v="137"/>
    <s v="Funk Brasileiro"/>
    <d v="2024-12-06T00:00:00"/>
    <s v="https://image-cdn-ak.spotifycdn.com/image/ab67616d00001e02d8bfb4567b1b5e5bc4da915b"/>
    <b v="0"/>
  </r>
  <r>
    <n v="30"/>
    <s v="spotify:track:0BUkQGUXgcvf3gdCWYbtnJ"/>
    <x v="47"/>
    <s v="Oh Garota Eu Quero Você Só Pra Mim."/>
    <s v="Mainstreet Records"/>
    <n v="44"/>
    <n v="11"/>
    <d v="1899-12-30T02:35:00"/>
    <b v="1"/>
    <n v="90"/>
    <n v="86"/>
    <n v="96"/>
    <n v="24"/>
    <n v="4"/>
    <n v="0"/>
    <n v="8"/>
    <n v="73"/>
    <n v="137"/>
    <s v="Funk Brasileiro"/>
    <d v="2024-12-06T00:00:00"/>
    <s v="https://image-cdn-ak.spotifycdn.com/image/ab67616d00001e02d8bfb4567b1b5e5bc4da915b"/>
    <b v="0"/>
  </r>
  <r>
    <n v="31"/>
    <s v="spotify:track:0COqiPhxzoWICwFCS4eZcp"/>
    <x v="48"/>
    <s v="Bring Me To Life"/>
    <s v="The Bicycle Music Company"/>
    <n v="63"/>
    <n v="78"/>
    <d v="1899-12-30T03:56:00"/>
    <b v="0"/>
    <n v="33"/>
    <n v="94"/>
    <n v="95"/>
    <n v="7"/>
    <n v="1"/>
    <n v="0"/>
    <n v="24"/>
    <n v="30"/>
    <n v="95"/>
    <s v="Nu Metal"/>
    <d v="2003-04-22T00:00:00"/>
    <s v="https://image-cdn-ak.spotifycdn.com/image/ab67616d00001e0225f49ab23f0ec6332efef432"/>
    <b v="0"/>
  </r>
  <r>
    <n v="32"/>
    <s v="spotify:track:0DA8aZZvG73AijDYT00ki1"/>
    <x v="49"/>
    <s v="bloodonmyhands (feat. Flo Milli)"/>
    <s v="RCA Records Label"/>
    <n v="109"/>
    <n v="1"/>
    <d v="1899-12-30T02:42:00"/>
    <b v="1"/>
    <n v="57"/>
    <n v="70"/>
    <n v="92"/>
    <n v="5"/>
    <n v="30"/>
    <n v="0"/>
    <n v="18"/>
    <n v="35"/>
    <n v="72"/>
    <s v="Pop"/>
    <d v="2025-02-21T00:00:00"/>
    <s v="https://image-cdn-ak.spotifycdn.com/image/ab67616d00001e0230420759f1a2cd4923c5c65b"/>
    <b v="0"/>
  </r>
  <r>
    <n v="32"/>
    <s v="spotify:track:0DA8aZZvG73AijDYT00ki1"/>
    <x v="23"/>
    <s v="bloodonmyhands (feat. Flo Milli)"/>
    <s v="RCA Records Label"/>
    <n v="109"/>
    <n v="1"/>
    <d v="1899-12-30T02:42:00"/>
    <b v="1"/>
    <n v="57"/>
    <n v="70"/>
    <n v="92"/>
    <n v="5"/>
    <n v="30"/>
    <n v="0"/>
    <n v="18"/>
    <n v="35"/>
    <n v="72"/>
    <s v="Pop"/>
    <d v="2025-02-21T00:00:00"/>
    <s v="https://image-cdn-ak.spotifycdn.com/image/ab67616d00001e0230420759f1a2cd4923c5c65b"/>
    <b v="0"/>
  </r>
  <r>
    <n v="33"/>
    <s v="spotify:track:0DMJz677XfXiiruhIELu2e"/>
    <x v="50"/>
    <s v="VITAMINA"/>
    <s v="WEA Latina"/>
    <n v="32"/>
    <n v="18"/>
    <d v="1899-12-30T03:10:00"/>
    <b v="0"/>
    <n v="82"/>
    <n v="75"/>
    <n v="92"/>
    <n v="5"/>
    <n v="2"/>
    <n v="0"/>
    <n v="6"/>
    <n v="77"/>
    <n v="92"/>
    <s v="Reggaeton"/>
    <d v="2025-01-17T00:00:00"/>
    <s v="https://image-cdn-ak.spotifycdn.com/image/ab67616d00001e024b11635cbdec6917dd2c58b1"/>
    <b v="0"/>
  </r>
  <r>
    <n v="33"/>
    <s v="spotify:track:0DMJz677XfXiiruhIELu2e"/>
    <x v="28"/>
    <s v="VITAMINA"/>
    <s v="WEA Latina"/>
    <n v="32"/>
    <n v="18"/>
    <d v="1899-12-30T03:10:00"/>
    <b v="0"/>
    <n v="82"/>
    <n v="75"/>
    <n v="92"/>
    <n v="5"/>
    <n v="2"/>
    <n v="0"/>
    <n v="6"/>
    <n v="77"/>
    <n v="92"/>
    <s v="Reggaeton"/>
    <d v="2025-01-17T00:00:00"/>
    <s v="https://image-cdn-ak.spotifycdn.com/image/ab67616d00001e024b11635cbdec6917dd2c58b1"/>
    <b v="0"/>
  </r>
  <r>
    <n v="33"/>
    <s v="spotify:track:0DMJz677XfXiiruhIELu2e"/>
    <x v="29"/>
    <s v="VITAMINA"/>
    <s v="WEA Latina"/>
    <n v="32"/>
    <n v="18"/>
    <d v="1899-12-30T03:10:00"/>
    <b v="0"/>
    <n v="82"/>
    <n v="75"/>
    <n v="92"/>
    <n v="5"/>
    <n v="2"/>
    <n v="0"/>
    <n v="6"/>
    <n v="77"/>
    <n v="92"/>
    <s v="Reggaeton"/>
    <d v="2025-01-17T00:00:00"/>
    <s v="https://image-cdn-ak.spotifycdn.com/image/ab67616d00001e024b11635cbdec6917dd2c58b1"/>
    <b v="0"/>
  </r>
  <r>
    <n v="34"/>
    <s v="spotify:track:0DpUQ3mpAGy3bYsEKVy6t5"/>
    <x v="51"/>
    <s v="Barsaat"/>
    <s v="Sony Music Entertainment India Pvt. Ltd."/>
    <n v="123"/>
    <n v="6"/>
    <d v="1899-12-30T03:42:00"/>
    <b v="0"/>
    <n v="58"/>
    <n v="52"/>
    <n v="73"/>
    <n v="5"/>
    <n v="50"/>
    <n v="0"/>
    <n v="10"/>
    <n v="40"/>
    <n v="88"/>
    <s v="Punjabi"/>
    <d v="2025-05-09T00:00:00"/>
    <s v="https://image-cdn-ak.spotifycdn.com/image/ab67616d00001e02a0b110307ee3dc10a74e3562"/>
    <b v="0"/>
  </r>
  <r>
    <n v="34"/>
    <s v="spotify:track:0DpUQ3mpAGy3bYsEKVy6t5"/>
    <x v="52"/>
    <s v="Barsaat"/>
    <s v="Sony Music Entertainment India Pvt. Ltd."/>
    <n v="123"/>
    <n v="6"/>
    <d v="1899-12-30T03:42:00"/>
    <b v="0"/>
    <n v="58"/>
    <n v="52"/>
    <n v="73"/>
    <n v="5"/>
    <n v="50"/>
    <n v="0"/>
    <n v="10"/>
    <n v="40"/>
    <n v="88"/>
    <s v="Punjabi"/>
    <d v="2025-05-09T00:00:00"/>
    <s v="https://image-cdn-ak.spotifycdn.com/image/ab67616d00001e02a0b110307ee3dc10a74e3562"/>
    <b v="0"/>
  </r>
  <r>
    <n v="35"/>
    <s v="spotify:track:0ElVpg9XIswx3XWs6kUj6a"/>
    <x v="10"/>
    <s v="Zombieboy"/>
    <s v="Interscope Records"/>
    <n v="95"/>
    <n v="1"/>
    <d v="1899-12-30T03:32:00"/>
    <b v="0"/>
    <n v="61"/>
    <n v="88"/>
    <n v="93"/>
    <n v="5"/>
    <n v="0"/>
    <n v="0"/>
    <n v="21"/>
    <n v="88"/>
    <n v="122"/>
    <s v="Pop"/>
    <d v="2025-03-07T00:00:00"/>
    <s v="https://image-cdn-ak.spotifycdn.com/image/ab67616d00001e02b0860cf0a98e09663c82290c"/>
    <b v="0"/>
  </r>
  <r>
    <n v="36"/>
    <s v="spotify:track:0F1rlXkOcI1Iqfz9Y3BdO4"/>
    <x v="53"/>
    <s v="Fortworth (feat. PARTYNEXTDOOR)"/>
    <s v="OVO/Republic"/>
    <n v="127"/>
    <n v="1"/>
    <s v="03:28:00"/>
    <b v="1"/>
    <n v="74"/>
    <n v="52"/>
    <n v="71"/>
    <n v="12"/>
    <n v="34"/>
    <n v="0"/>
    <n v="11"/>
    <n v="42"/>
    <n v="94"/>
    <s v="R&amp;B"/>
    <s v="20/6/2025"/>
    <s v="https://image-cdn-ak.spotifycdn.com/image/ab67616d00001e02b92879e45761d711016476df"/>
    <b v="0"/>
  </r>
  <r>
    <n v="36"/>
    <s v="spotify:track:0F1rlXkOcI1Iqfz9Y3BdO4"/>
    <x v="54"/>
    <s v="Fortworth (feat. PARTYNEXTDOOR)"/>
    <s v="OVO/Republic"/>
    <n v="127"/>
    <n v="1"/>
    <s v="03:28:00"/>
    <b v="1"/>
    <n v="74"/>
    <n v="52"/>
    <n v="71"/>
    <n v="12"/>
    <n v="34"/>
    <n v="0"/>
    <n v="11"/>
    <n v="42"/>
    <n v="94"/>
    <s v="R&amp;B"/>
    <s v="20/6/2025"/>
    <s v="https://image-cdn-ak.spotifycdn.com/image/ab67616d00001e02b92879e45761d711016476df"/>
    <b v="0"/>
  </r>
  <r>
    <n v="37"/>
    <s v="spotify:track:0FDzzruyVECATHXKHFs9eJ"/>
    <x v="40"/>
    <s v="A Sky Full of Stars"/>
    <s v="Parlophone UK"/>
    <n v="83"/>
    <n v="61"/>
    <d v="1899-12-30T04:28:00"/>
    <b v="0"/>
    <n v="55"/>
    <n v="68"/>
    <n v="89"/>
    <n v="3"/>
    <n v="1"/>
    <n v="0"/>
    <n v="21"/>
    <n v="16"/>
    <n v="125"/>
    <s v="Pop Rock"/>
    <d v="2014-05-02T00:00:00"/>
    <s v="https://image-cdn-ak.spotifycdn.com/image/ab67616d00001e02e5a95573f1b91234630fd2cf"/>
    <b v="0"/>
  </r>
  <r>
    <n v="38"/>
    <s v="spotify:track:0FIDCNYYjNvPVimz5icugS"/>
    <x v="1"/>
    <s v="Timeless (feat Playboi Carti)"/>
    <s v="XO / Republic Records"/>
    <n v="3"/>
    <n v="105"/>
    <d v="1899-12-30T04:16:00"/>
    <b v="1"/>
    <n v="77"/>
    <n v="78"/>
    <n v="92"/>
    <n v="5"/>
    <n v="7"/>
    <n v="0"/>
    <n v="14"/>
    <n v="60"/>
    <n v="120"/>
    <s v="R&amp;B"/>
    <d v="2024-09-27T00:00:00"/>
    <s v="https://image-cdn-fa.spotifycdn.com/image/ab67616d00001e02de79f330bc297af3fae736da"/>
    <b v="0"/>
  </r>
  <r>
    <n v="38"/>
    <s v="spotify:track:0FIDCNYYjNvPVimz5icugS"/>
    <x v="55"/>
    <s v="Timeless (feat Playboi Carti)"/>
    <s v="XO / Republic Records"/>
    <n v="3"/>
    <n v="105"/>
    <d v="1899-12-30T04:16:00"/>
    <b v="1"/>
    <n v="77"/>
    <n v="78"/>
    <n v="92"/>
    <n v="5"/>
    <n v="7"/>
    <n v="0"/>
    <n v="14"/>
    <n v="60"/>
    <n v="120"/>
    <s v="R&amp;B"/>
    <d v="2024-09-27T00:00:00"/>
    <s v="https://image-cdn-fa.spotifycdn.com/image/ab67616d00001e02de79f330bc297af3fae736da"/>
    <b v="0"/>
  </r>
  <r>
    <n v="39"/>
    <s v="spotify:track:0FTmksd2dxiE5e3rWyJXs6"/>
    <x v="26"/>
    <s v="back to friends"/>
    <s v="Warner Records"/>
    <n v="1"/>
    <n v="22"/>
    <d v="1899-12-30T03:04:00"/>
    <b v="0"/>
    <n v="44"/>
    <n v="72"/>
    <n v="96"/>
    <n v="3"/>
    <n v="0"/>
    <n v="0"/>
    <n v="9"/>
    <n v="24"/>
    <n v="93"/>
    <s v="Indie Pop"/>
    <d v="2024-08-09T00:00:00"/>
    <s v="https://image-cdn-ak.spotifycdn.com/image/ab67616d00001e027fd4049ad3b037358cf809ef"/>
    <b v="0"/>
  </r>
  <r>
    <n v="40"/>
    <s v="spotify:track:0FlcmZ13DGRmscCroro9GO"/>
    <x v="7"/>
    <s v="Body"/>
    <s v="CactusJack/Donnway/ATL"/>
    <n v="34"/>
    <n v="9"/>
    <s v="03:00:00"/>
    <b v="1"/>
    <n v="75"/>
    <n v="58"/>
    <n v="71"/>
    <n v="6"/>
    <n v="24"/>
    <n v="0"/>
    <n v="14"/>
    <n v="61"/>
    <n v="116"/>
    <s v="Hip-Hop/Rap"/>
    <s v="16/5/2025"/>
    <s v="https://image-cdn-fa.spotifycdn.com/image/ab67616d00001e0225c28f3c9fbdbab1a88dd619"/>
    <b v="0"/>
  </r>
  <r>
    <n v="41"/>
    <s v="spotify:track:0GRc3eGTg8HBdWLRGYgqIc"/>
    <x v="56"/>
    <s v="Azizam"/>
    <s v="Gingerbread Man Records / Atlantic Records UK"/>
    <n v="36"/>
    <n v="23"/>
    <d v="1899-12-30T03:08:00"/>
    <b v="0"/>
    <n v="72"/>
    <n v="70"/>
    <n v="78"/>
    <n v="6"/>
    <n v="20"/>
    <n v="0"/>
    <n v="10"/>
    <n v="68"/>
    <n v="110"/>
    <s v="Pop"/>
    <d v="2025-03-28T00:00:00"/>
    <s v="https://image-cdn-fa.spotifycdn.com/image/ab67616d00001e02d29a003b6e8d4c1c47bd4da4"/>
    <b v="0"/>
  </r>
  <r>
    <n v="42"/>
    <s v="spotify:track:0GjEhVFGZW8afUYGChu3Rr"/>
    <x v="57"/>
    <s v="Dancing Queen"/>
    <s v="Polar Music International AB"/>
    <n v="146"/>
    <n v="3"/>
    <d v="1899-12-30T03:51:00"/>
    <b v="0"/>
    <n v="54"/>
    <n v="87"/>
    <n v="89"/>
    <n v="4"/>
    <n v="36"/>
    <n v="0"/>
    <n v="79"/>
    <n v="75"/>
    <n v="101"/>
    <s v="Disco"/>
    <d v="1976-08-15T00:00:00"/>
    <s v="https://image-cdn-ak.spotifycdn.com/image/ab67616d00001e0270f7a1b35d5165c85b95a0e0"/>
    <b v="0"/>
  </r>
  <r>
    <n v="43"/>
    <s v="spotify:track:0GyXfYRuvG9nt71zF99SER"/>
    <x v="58"/>
    <s v="I'll Be Home for Christmas"/>
    <s v="Reprise"/>
    <n v="110"/>
    <n v="6"/>
    <d v="1899-12-30T03:15:00"/>
    <b v="0"/>
    <n v="45"/>
    <n v="40"/>
    <n v="70"/>
    <n v="3"/>
    <n v="65"/>
    <n v="0"/>
    <n v="15"/>
    <n v="55"/>
    <n v="85"/>
    <s v="Christmas"/>
    <d v="2011-10-24T00:00:00"/>
    <s v="https://image-cdn-ak.spotifycdn.com/image/ab67616d00001e02b601df2f604eabf6f1302337"/>
    <b v="1"/>
  </r>
  <r>
    <n v="44"/>
    <s v="spotify:track:0IMJsnmPXXgPyQDbhomx1B"/>
    <x v="59"/>
    <s v="LETAL"/>
    <s v="WEA Latina"/>
    <n v="124"/>
    <n v="1"/>
    <s v="03:20:00"/>
    <b v="1"/>
    <n v="75"/>
    <n v="69"/>
    <n v="74"/>
    <n v="6"/>
    <n v="20"/>
    <n v="0"/>
    <n v="14"/>
    <n v="84"/>
    <n v="138"/>
    <s v="Regional Mexicano"/>
    <s v="30/5/2025"/>
    <s v="https://image-cdn-ak.spotifycdn.com/image/ab67616d00001e02f1b7ee109bd8626cad94f478"/>
    <b v="0"/>
  </r>
  <r>
    <n v="44"/>
    <s v="spotify:track:0IMJsnmPXXgPyQDbhomx1B"/>
    <x v="60"/>
    <s v="LETAL"/>
    <s v="WEA Latina"/>
    <n v="124"/>
    <n v="1"/>
    <s v="03:20:00"/>
    <b v="1"/>
    <n v="75"/>
    <n v="69"/>
    <n v="74"/>
    <n v="6"/>
    <n v="20"/>
    <n v="0"/>
    <n v="14"/>
    <n v="84"/>
    <n v="138"/>
    <s v="Regional Mexicano"/>
    <s v="30/5/2025"/>
    <s v="https://image-cdn-ak.spotifycdn.com/image/ab67616d00001e02f1b7ee109bd8626cad94f478"/>
    <b v="0"/>
  </r>
  <r>
    <n v="44"/>
    <s v="spotify:track:0IMJsnmPXXgPyQDbhomx1B"/>
    <x v="61"/>
    <s v="LETAL"/>
    <s v="WEA Latina"/>
    <n v="124"/>
    <n v="1"/>
    <s v="03:20:00"/>
    <b v="1"/>
    <n v="75"/>
    <n v="69"/>
    <n v="74"/>
    <n v="6"/>
    <n v="20"/>
    <n v="0"/>
    <n v="14"/>
    <n v="84"/>
    <n v="138"/>
    <s v="Regional Mexicano"/>
    <s v="30/5/2025"/>
    <s v="https://image-cdn-ak.spotifycdn.com/image/ab67616d00001e02f1b7ee109bd8626cad94f478"/>
    <b v="0"/>
  </r>
  <r>
    <n v="45"/>
    <s v="spotify:track:0Ie5uiv54KgCr7P4sYDTHl"/>
    <x v="62"/>
    <s v="Baby It's Cold Outside (with Michael Bublé)"/>
    <s v="Warner Records"/>
    <n v="103"/>
    <n v="5"/>
    <d v="1899-12-30T02:48:00"/>
    <b v="0"/>
    <n v="50"/>
    <n v="45"/>
    <n v="72"/>
    <n v="4"/>
    <n v="55"/>
    <n v="0"/>
    <n v="16"/>
    <n v="65"/>
    <n v="95"/>
    <s v="Christmas"/>
    <d v="2014-10-21T00:00:00"/>
    <s v="https://image-cdn-ak.spotifycdn.com/image/ab67616d00001e02b942e9ff43d692b700328ecc"/>
    <b v="1"/>
  </r>
  <r>
    <n v="45"/>
    <s v="spotify:track:0Ie5uiv54KgCr7P4sYDTHl"/>
    <x v="58"/>
    <s v="Baby It's Cold Outside (with Michael Bublé)"/>
    <s v="Warner Records"/>
    <n v="103"/>
    <n v="5"/>
    <d v="1899-12-30T02:48:00"/>
    <b v="0"/>
    <n v="50"/>
    <n v="45"/>
    <n v="72"/>
    <n v="4"/>
    <n v="55"/>
    <n v="0"/>
    <n v="16"/>
    <n v="65"/>
    <n v="95"/>
    <s v="Christmas"/>
    <d v="2014-10-21T00:00:00"/>
    <s v="https://image-cdn-ak.spotifycdn.com/image/ab67616d00001e02b942e9ff43d692b700328ecc"/>
    <b v="1"/>
  </r>
  <r>
    <n v="46"/>
    <s v="spotify:track:0IjdXwCEhZR7JIwq6Za8j5"/>
    <x v="63"/>
    <s v="Jane!"/>
    <s v="North West Sound Recordings"/>
    <n v="144"/>
    <n v="5"/>
    <d v="1899-12-30T03:35:00"/>
    <b v="0"/>
    <n v="58"/>
    <n v="55"/>
    <n v="74"/>
    <n v="5"/>
    <n v="45"/>
    <n v="0"/>
    <n v="11"/>
    <n v="42"/>
    <n v="92"/>
    <s v="Indie Rock"/>
    <d v="2024-09-13T00:00:00"/>
    <s v="https://image-cdn-ak.spotifycdn.com/image/ab67616d00001e026685599bd4bafe725e532e2f"/>
    <b v="0"/>
  </r>
  <r>
    <n v="47"/>
    <s v="spotify:track:0InIeZW4P6VO7dUGRM4AKH"/>
    <x v="64"/>
    <s v="Sienna"/>
    <s v="Nice Life/Atlantic"/>
    <n v="89"/>
    <n v="23"/>
    <d v="1899-12-30T03:42:00"/>
    <b v="0"/>
    <n v="68"/>
    <n v="47"/>
    <n v="84"/>
    <n v="3"/>
    <n v="58"/>
    <n v="57"/>
    <n v="16"/>
    <n v="59"/>
    <n v="148"/>
    <s v="Indie Pop"/>
    <d v="2024-06-21T00:00:00"/>
    <s v="https://image-cdn-ak.spotifycdn.com/image/ab67616d00001e028aa339341a0b0c813909c831"/>
    <b v="0"/>
  </r>
  <r>
    <n v="48"/>
    <s v="spotify:track:0IsIY8pfu1yaGkPUD7pkDx"/>
    <x v="65"/>
    <s v="Guess featuring billie eilish"/>
    <s v="Atlantic Records"/>
    <n v="5"/>
    <n v="45"/>
    <d v="1899-12-30T02:24:00"/>
    <b v="0"/>
    <n v="78"/>
    <n v="71"/>
    <n v="93"/>
    <n v="9"/>
    <n v="2"/>
    <n v="21"/>
    <n v="14"/>
    <n v="62"/>
    <n v="130"/>
    <s v="Electropop"/>
    <d v="2024-08-01T00:00:00"/>
    <s v="https://image-cdn-ak.spotifycdn.com/image/ab67616d00001e028ac99f88ebc09b1f1637dc00"/>
    <b v="0"/>
  </r>
  <r>
    <n v="48"/>
    <s v="spotify:track:0IsIY8pfu1yaGkPUD7pkDx"/>
    <x v="66"/>
    <s v="Guess featuring billie eilish"/>
    <s v="Atlantic Records"/>
    <n v="5"/>
    <n v="45"/>
    <d v="1899-12-30T02:24:00"/>
    <b v="0"/>
    <n v="78"/>
    <n v="71"/>
    <n v="93"/>
    <n v="9"/>
    <n v="2"/>
    <n v="21"/>
    <n v="14"/>
    <n v="62"/>
    <n v="130"/>
    <s v="Electropop"/>
    <d v="2024-08-01T00:00:00"/>
    <s v="https://image-cdn-ak.spotifycdn.com/image/ab67616d00001e028ac99f88ebc09b1f1637dc00"/>
    <b v="0"/>
  </r>
  <r>
    <n v="49"/>
    <s v="spotify:track:0JXXNGljqupsJaZsgSbMZV"/>
    <x v="67"/>
    <s v="Sure Thing"/>
    <s v="Jive"/>
    <n v="14"/>
    <n v="97"/>
    <d v="1899-12-30T03:15:00"/>
    <b v="0"/>
    <n v="68"/>
    <n v="61"/>
    <n v="86"/>
    <n v="10"/>
    <n v="3"/>
    <n v="0"/>
    <n v="19"/>
    <n v="50"/>
    <n v="81"/>
    <s v="R&amp;B"/>
    <d v="2010-11-09T00:00:00"/>
    <s v="https://image-cdn-ak.spotifycdn.com/image/ab67616d00001e02d5a8395b0d80b8c48a5d851c"/>
    <b v="0"/>
  </r>
  <r>
    <n v="50"/>
    <s v="spotify:track:0Ji9UonfwC90rbZ4IaQhOb"/>
    <x v="68"/>
    <s v="City Walls"/>
    <s v="Fueled By Ramen"/>
    <n v="150"/>
    <n v="1"/>
    <s v="03:22:00"/>
    <b v="0"/>
    <n v="64"/>
    <n v="68"/>
    <n v="73"/>
    <n v="5"/>
    <n v="28"/>
    <n v="0"/>
    <n v="13"/>
    <n v="52"/>
    <n v="125"/>
    <s v="Alternative"/>
    <s v="15/8/2025"/>
    <s v="https://image-cdn-ak.spotifycdn.com/image/ab67616d00001e029c5a3160cc1a6ef5efdaf80a"/>
    <b v="0"/>
  </r>
  <r>
    <n v="51"/>
    <s v="spotify:track:0KKkJNfGyhkQ5aFogxQAPU"/>
    <x v="39"/>
    <s v="That's What I Like"/>
    <s v="Atlantic Records"/>
    <n v="6"/>
    <n v="205"/>
    <d v="1899-12-30T03:26:00"/>
    <b v="0"/>
    <n v="85"/>
    <n v="56"/>
    <n v="92"/>
    <n v="4"/>
    <n v="1"/>
    <n v="0"/>
    <n v="9"/>
    <n v="86"/>
    <n v="134"/>
    <s v="R&amp;B"/>
    <d v="2016-11-18T00:00:00"/>
    <s v="https://image-cdn-ak.spotifycdn.com/image/ab67616d00001e02232711f7d66a1e19e89e28c5"/>
    <b v="0"/>
  </r>
  <r>
    <n v="52"/>
    <s v="spotify:track:0KmrKOdScRDVYwWS8hkkdv"/>
    <x v="69"/>
    <s v="FYA"/>
    <s v="BIGHIT MUSIC"/>
    <n v="5"/>
    <n v="14"/>
    <s v="03:02:00"/>
    <b v="1"/>
    <n v="76"/>
    <n v="78"/>
    <n v="76"/>
    <n v="7"/>
    <n v="12"/>
    <n v="0"/>
    <n v="18"/>
    <n v="75"/>
    <n v="118"/>
    <s v="K-Pop"/>
    <s v="20/3/2026"/>
    <s v="https://image-cdn-ak.spotifycdn.com/image/ab67616d00001e02dfa17fad7f190c901603270e"/>
    <b v="0"/>
  </r>
  <r>
    <n v="53"/>
    <s v="spotify:track:0L5gbpFGU06vqSHacOxgka"/>
    <x v="70"/>
    <s v="TU TU TU"/>
    <s v="WEA Latina"/>
    <n v="47"/>
    <n v="10"/>
    <s v="02:48:00"/>
    <b v="1"/>
    <n v="74"/>
    <n v="65"/>
    <n v="72"/>
    <n v="5"/>
    <n v="29"/>
    <n v="0"/>
    <n v="12"/>
    <n v="83"/>
    <n v="140"/>
    <s v="Regional Mexicano"/>
    <s v="6/6/2025"/>
    <s v="https://image-cdn-ak.spotifycdn.com/image/ab67616d00001e02c24261c63305b3209fde0fa9"/>
    <b v="0"/>
  </r>
  <r>
    <n v="53"/>
    <s v="spotify:track:0L5gbpFGU06vqSHacOxgka"/>
    <x v="71"/>
    <s v="TU TU TU"/>
    <s v="WEA Latina"/>
    <n v="47"/>
    <n v="10"/>
    <s v="02:48:00"/>
    <b v="1"/>
    <n v="74"/>
    <n v="65"/>
    <n v="72"/>
    <n v="5"/>
    <n v="29"/>
    <n v="0"/>
    <n v="12"/>
    <n v="83"/>
    <n v="140"/>
    <s v="Regional Mexicano"/>
    <s v="6/6/2025"/>
    <s v="https://image-cdn-ak.spotifycdn.com/image/ab67616d00001e02c24261c63305b3209fde0fa9"/>
    <b v="0"/>
  </r>
  <r>
    <n v="54"/>
    <s v="spotify:track:0LTwdL5yZ6YOTEGUQPFuSN"/>
    <x v="31"/>
    <s v="ROSONES"/>
    <s v="Double P Records"/>
    <n v="17"/>
    <n v="21"/>
    <d v="1899-12-30T03:05:00"/>
    <b v="1"/>
    <n v="80"/>
    <n v="73"/>
    <n v="90"/>
    <n v="3"/>
    <n v="70"/>
    <n v="0"/>
    <n v="12"/>
    <n v="60"/>
    <n v="120"/>
    <s v="Regional Mexicano"/>
    <d v="2025-04-18T00:00:00"/>
    <s v="https://image-cdn-ak.spotifycdn.com/image/ab67616d00001e02c6d0e8bfb41e9d9cee3a1248"/>
    <b v="0"/>
  </r>
  <r>
    <n v="55"/>
    <s v="spotify:track:0LutvoC2HqCfnaRSjrhtzo"/>
    <x v="2"/>
    <s v="WALKING AWAY"/>
    <s v="JRC Entertainment, LLC / ILH Production Co. LLC / Def Jam Recordings"/>
    <n v="37"/>
    <n v="2"/>
    <s v="03:18:00"/>
    <b v="0"/>
    <n v="65"/>
    <n v="50"/>
    <n v="71"/>
    <n v="5"/>
    <n v="52"/>
    <n v="0"/>
    <n v="13"/>
    <n v="41"/>
    <n v="88"/>
    <s v="Pop"/>
    <s v="12/9/2025"/>
    <s v="https://image-cdn-ak.spotifycdn.com/image/ab67616d00001e02d65c4773bc5061fd27facc5b"/>
    <b v="0"/>
  </r>
  <r>
    <n v="56"/>
    <s v="spotify:track:0M7mWKqwTIaVjYyxfZmtTa"/>
    <x v="72"/>
    <s v="Courtesy Of The Red, White And Blue (The Angry American)"/>
    <s v="DreamWorks Nashville"/>
    <n v="141"/>
    <n v="1"/>
    <d v="1899-12-30T03:22:00"/>
    <b v="0"/>
    <n v="42"/>
    <n v="66"/>
    <n v="91"/>
    <n v="4"/>
    <n v="52"/>
    <n v="0"/>
    <n v="7"/>
    <n v="38"/>
    <n v="112"/>
    <s v="Country"/>
    <d v="2002-05-21T00:00:00"/>
    <s v="https://image-cdn-ak.spotifycdn.com/image/ab67616d00001e02bb5c54a68f9ce31f83b98de4"/>
    <b v="0"/>
  </r>
  <r>
    <n v="57"/>
    <s v="spotify:track:0MHStU0muAIEMbwdnebYu2"/>
    <x v="73"/>
    <s v="Takedown"/>
    <s v="K-Pop Demon Hunters"/>
    <n v="15"/>
    <n v="22"/>
    <s v="03:14:00"/>
    <b v="0"/>
    <n v="82"/>
    <n v="80"/>
    <n v="75"/>
    <n v="10"/>
    <n v="11"/>
    <n v="0"/>
    <n v="18"/>
    <n v="76"/>
    <n v="128"/>
    <s v="K-Pop"/>
    <s v="20/6/2025"/>
    <s v="https://image-cdn-ak.spotifycdn.com/image/ab67616d00001e024dcb6c5df15cf74596ab25a4"/>
    <b v="0"/>
  </r>
  <r>
    <n v="57"/>
    <s v="spotify:track:0MHStU0muAIEMbwdnebYu2"/>
    <x v="74"/>
    <s v="Takedown"/>
    <s v="K-Pop Demon Hunters"/>
    <n v="15"/>
    <n v="22"/>
    <s v="03:14:00"/>
    <b v="0"/>
    <n v="82"/>
    <n v="80"/>
    <n v="75"/>
    <n v="10"/>
    <n v="11"/>
    <n v="0"/>
    <n v="18"/>
    <n v="76"/>
    <n v="128"/>
    <s v="K-Pop"/>
    <s v="20/6/2025"/>
    <s v="https://image-cdn-ak.spotifycdn.com/image/ab67616d00001e024dcb6c5df15cf74596ab25a4"/>
    <b v="0"/>
  </r>
  <r>
    <n v="57"/>
    <s v="spotify:track:0MHStU0muAIEMbwdnebYu2"/>
    <x v="75"/>
    <s v="Takedown"/>
    <s v="K-Pop Demon Hunters"/>
    <n v="15"/>
    <n v="22"/>
    <s v="03:14:00"/>
    <b v="0"/>
    <n v="82"/>
    <n v="80"/>
    <n v="75"/>
    <n v="10"/>
    <n v="11"/>
    <n v="0"/>
    <n v="18"/>
    <n v="76"/>
    <n v="128"/>
    <s v="K-Pop"/>
    <s v="20/6/2025"/>
    <s v="https://image-cdn-ak.spotifycdn.com/image/ab67616d00001e024dcb6c5df15cf74596ab25a4"/>
    <b v="0"/>
  </r>
  <r>
    <n v="57"/>
    <s v="spotify:track:0MHStU0muAIEMbwdnebYu2"/>
    <x v="15"/>
    <s v="Takedown"/>
    <s v="K-Pop Demon Hunters"/>
    <n v="15"/>
    <n v="22"/>
    <s v="03:14:00"/>
    <b v="0"/>
    <n v="82"/>
    <n v="80"/>
    <n v="75"/>
    <n v="10"/>
    <n v="11"/>
    <n v="0"/>
    <n v="18"/>
    <n v="76"/>
    <n v="128"/>
    <s v="K-Pop"/>
    <s v="20/6/2025"/>
    <s v="https://image-cdn-ak.spotifycdn.com/image/ab67616d00001e024dcb6c5df15cf74596ab25a4"/>
    <b v="0"/>
  </r>
  <r>
    <n v="57"/>
    <s v="spotify:track:0MHStU0muAIEMbwdnebYu2"/>
    <x v="76"/>
    <s v="Takedown"/>
    <s v="K-Pop Demon Hunters"/>
    <n v="15"/>
    <n v="22"/>
    <s v="03:14:00"/>
    <b v="0"/>
    <n v="82"/>
    <n v="80"/>
    <n v="75"/>
    <n v="10"/>
    <n v="11"/>
    <n v="0"/>
    <n v="18"/>
    <n v="76"/>
    <n v="128"/>
    <s v="K-Pop"/>
    <s v="20/6/2025"/>
    <s v="https://image-cdn-ak.spotifycdn.com/image/ab67616d00001e024dcb6c5df15cf74596ab25a4"/>
    <b v="0"/>
  </r>
  <r>
    <n v="58"/>
    <s v="spotify:track:0MUXBhPUDF8or0kfQ0EHwV"/>
    <x v="77"/>
    <s v="Rein Me In (with Olivia Dean)"/>
    <s v="Polydor Records"/>
    <n v="56"/>
    <n v="31"/>
    <d v="1899-12-30T03:42:00"/>
    <b v="0"/>
    <n v="58"/>
    <n v="62"/>
    <n v="76"/>
    <n v="5"/>
    <n v="35"/>
    <n v="0"/>
    <n v="10"/>
    <n v="50"/>
    <n v="95"/>
    <s v="Indie Rock"/>
    <d v="2024-09-20T00:00:00"/>
    <s v="https://image-cdn-ak.spotifycdn.com/image/ab67616d00001e0270722c52a53ef4a56f0c2eb0"/>
    <b v="0"/>
  </r>
  <r>
    <n v="58"/>
    <s v="spotify:track:0MUXBhPUDF8or0kfQ0EHwV"/>
    <x v="78"/>
    <s v="Rein Me In (with Olivia Dean)"/>
    <s v="Polydor Records"/>
    <n v="56"/>
    <n v="31"/>
    <d v="1899-12-30T03:42:00"/>
    <b v="0"/>
    <n v="58"/>
    <n v="62"/>
    <n v="76"/>
    <n v="5"/>
    <n v="35"/>
    <n v="0"/>
    <n v="10"/>
    <n v="50"/>
    <n v="95"/>
    <s v="Indie Rock"/>
    <d v="2024-09-20T00:00:00"/>
    <s v="https://image-cdn-ak.spotifycdn.com/image/ab67616d00001e0270722c52a53ef4a56f0c2eb0"/>
    <b v="0"/>
  </r>
  <r>
    <n v="59"/>
    <s v="spotify:track:0N6h5RnzCNJG3JfROXQIMQ"/>
    <x v="79"/>
    <s v="Perlas Negras"/>
    <s v="WEA Latina"/>
    <n v="30"/>
    <n v="17"/>
    <d v="1899-12-30T03:08:00"/>
    <b v="1"/>
    <n v="78"/>
    <n v="74"/>
    <n v="80"/>
    <n v="10"/>
    <n v="15"/>
    <n v="0"/>
    <n v="12"/>
    <n v="60"/>
    <n v="108"/>
    <s v="Regional Mexicano"/>
    <d v="2025-02-28T00:00:00"/>
    <s v="https://image-cdn-fa.spotifycdn.com/image/ab67616d00001e02b60ef80c5a8a3b25dd6bea6e"/>
    <b v="0"/>
  </r>
  <r>
    <n v="59"/>
    <s v="spotify:track:0N6h5RnzCNJG3JfROXQIMQ"/>
    <x v="80"/>
    <s v="Perlas Negras"/>
    <s v="WEA Latina"/>
    <n v="30"/>
    <n v="17"/>
    <d v="1899-12-30T03:08:00"/>
    <b v="1"/>
    <n v="78"/>
    <n v="74"/>
    <n v="80"/>
    <n v="10"/>
    <n v="15"/>
    <n v="0"/>
    <n v="12"/>
    <n v="60"/>
    <n v="108"/>
    <s v="Regional Mexicano"/>
    <d v="2025-02-28T00:00:00"/>
    <s v="https://image-cdn-fa.spotifycdn.com/image/ab67616d00001e02b60ef80c5a8a3b25dd6bea6e"/>
    <b v="0"/>
  </r>
  <r>
    <n v="60"/>
    <s v="spotify:track:0NQyryTVbjGMtWMA1eSqIn"/>
    <x v="81"/>
    <s v="Resenha do Arrocha"/>
    <s v="Latin Brega by HITLAB Records"/>
    <n v="145"/>
    <n v="4"/>
    <d v="1899-12-30T02:55:00"/>
    <b v="1"/>
    <n v="81"/>
    <n v="73"/>
    <n v="95"/>
    <n v="4"/>
    <n v="68"/>
    <n v="0"/>
    <n v="13"/>
    <n v="83"/>
    <n v="140"/>
    <s v="Funk Brasileiro"/>
    <d v="2025-05-02T00:00:00"/>
    <s v="https://image-cdn-ak.spotifycdn.com/image/ab67616d00001e02b95ec67486445b1c81e55b32"/>
    <b v="0"/>
  </r>
  <r>
    <n v="60"/>
    <s v="spotify:track:0NQyryTVbjGMtWMA1eSqIn"/>
    <x v="82"/>
    <s v="Resenha do Arrocha"/>
    <s v="Latin Brega by HITLAB Records"/>
    <n v="145"/>
    <n v="4"/>
    <d v="1899-12-30T02:55:00"/>
    <b v="1"/>
    <n v="81"/>
    <n v="73"/>
    <n v="95"/>
    <n v="4"/>
    <n v="68"/>
    <n v="0"/>
    <n v="13"/>
    <n v="83"/>
    <n v="140"/>
    <s v="Funk Brasileiro"/>
    <d v="2025-05-02T00:00:00"/>
    <s v="https://image-cdn-ak.spotifycdn.com/image/ab67616d00001e02b95ec67486445b1c81e55b32"/>
    <b v="0"/>
  </r>
  <r>
    <n v="61"/>
    <s v="spotify:track:0NUqi0ps17YpLUC3kgsZq0"/>
    <x v="53"/>
    <s v="DIE TRYING"/>
    <s v="OVO Sound"/>
    <n v="66"/>
    <n v="7"/>
    <s v="03:48:00"/>
    <b v="1"/>
    <n v="68"/>
    <n v="50"/>
    <n v="71"/>
    <n v="14"/>
    <n v="47"/>
    <n v="0"/>
    <n v="11"/>
    <n v="35"/>
    <n v="88"/>
    <s v="R&amp;B"/>
    <s v="27/6/2025"/>
    <s v="https://image-cdn-fa.spotifycdn.com/image/ab67616d00001e02b5a28a256eae6dc0424fef59"/>
    <b v="0"/>
  </r>
  <r>
    <n v="61"/>
    <s v="spotify:track:0NUqi0ps17YpLUC3kgsZq0"/>
    <x v="54"/>
    <s v="DIE TRYING"/>
    <s v="OVO Sound"/>
    <n v="66"/>
    <n v="7"/>
    <s v="03:48:00"/>
    <b v="1"/>
    <n v="68"/>
    <n v="50"/>
    <n v="71"/>
    <n v="14"/>
    <n v="47"/>
    <n v="0"/>
    <n v="11"/>
    <n v="35"/>
    <n v="88"/>
    <s v="R&amp;B"/>
    <s v="27/6/2025"/>
    <s v="https://image-cdn-fa.spotifycdn.com/image/ab67616d00001e02b5a28a256eae6dc0424fef59"/>
    <b v="0"/>
  </r>
  <r>
    <n v="61"/>
    <s v="spotify:track:0NUqi0ps17YpLUC3kgsZq0"/>
    <x v="83"/>
    <s v="DIE TRYING"/>
    <s v="OVO Sound"/>
    <n v="66"/>
    <n v="7"/>
    <s v="03:48:00"/>
    <b v="1"/>
    <n v="68"/>
    <n v="50"/>
    <n v="71"/>
    <n v="14"/>
    <n v="47"/>
    <n v="0"/>
    <n v="11"/>
    <n v="35"/>
    <n v="88"/>
    <s v="R&amp;B"/>
    <s v="27/6/2025"/>
    <s v="https://image-cdn-fa.spotifycdn.com/image/ab67616d00001e02b5a28a256eae6dc0424fef59"/>
    <b v="0"/>
  </r>
  <r>
    <n v="62"/>
    <s v="spotify:track:0NsGFMIo2aNbAkJu48ndaf"/>
    <x v="84"/>
    <s v="Morena Canela"/>
    <s v="Street Mob Records/PFL/Geffen Records"/>
    <n v="135"/>
    <n v="8"/>
    <d v="1899-12-30T03:00:00"/>
    <b v="1"/>
    <n v="66"/>
    <n v="61"/>
    <n v="88"/>
    <n v="3"/>
    <n v="10"/>
    <n v="0"/>
    <n v="9"/>
    <n v="46"/>
    <n v="120"/>
    <s v="Regional Mexicano"/>
    <d v="2025-03-14T00:00:00"/>
    <s v="https://image-cdn-fa.spotifycdn.com/image/ab67616d00001e02ef6655b813e1b2cd726e99d3"/>
    <b v="0"/>
  </r>
  <r>
    <n v="63"/>
    <s v="spotify:track:0O3U5iwTbiXCREMkvotJuN"/>
    <x v="85"/>
    <s v="EL AMOR DE SU VIDA"/>
    <s v="BorderTown Records"/>
    <n v="47"/>
    <n v="36"/>
    <d v="1899-12-30T03:12:00"/>
    <b v="0"/>
    <n v="62"/>
    <n v="83"/>
    <n v="95"/>
    <n v="7"/>
    <n v="6"/>
    <n v="0"/>
    <n v="34"/>
    <n v="75"/>
    <n v="152"/>
    <s v="Regional Mexicano"/>
    <d v="2024-11-01T00:00:00"/>
    <s v="https://image-cdn-ak.spotifycdn.com/image/ab67616d00001e0282ce4c7bbf861185252e82ae"/>
    <b v="0"/>
  </r>
  <r>
    <n v="63"/>
    <s v="spotify:track:0O3U5iwTbiXCREMkvotJuN"/>
    <x v="86"/>
    <s v="EL AMOR DE SU VIDA"/>
    <s v="BorderTown Records"/>
    <n v="47"/>
    <n v="36"/>
    <d v="1899-12-30T03:12:00"/>
    <b v="0"/>
    <n v="62"/>
    <n v="83"/>
    <n v="95"/>
    <n v="7"/>
    <n v="6"/>
    <n v="0"/>
    <n v="34"/>
    <n v="75"/>
    <n v="152"/>
    <s v="Regional Mexicano"/>
    <d v="2024-11-01T00:00:00"/>
    <s v="https://image-cdn-ak.spotifycdn.com/image/ab67616d00001e0282ce4c7bbf861185252e82ae"/>
    <b v="0"/>
  </r>
  <r>
    <n v="64"/>
    <s v="spotify:track:0O45fw2L5vsWpdsOdXwNAR"/>
    <x v="87"/>
    <s v="SexyBack (feat. Timbaland)"/>
    <s v="Jive"/>
    <n v="183"/>
    <n v="3"/>
    <d v="1899-12-30T04:02:00"/>
    <b v="1"/>
    <n v="97"/>
    <n v="58"/>
    <n v="91"/>
    <n v="8"/>
    <n v="6"/>
    <n v="0"/>
    <n v="5"/>
    <n v="96"/>
    <n v="117"/>
    <s v="Pop"/>
    <d v="2006-07-07T00:00:00"/>
    <s v="https://image-cdn-ak.spotifycdn.com/image/ab67616d00001e02c6ba98fd3f3b396a6c6f7091"/>
    <b v="0"/>
  </r>
  <r>
    <n v="64"/>
    <s v="spotify:track:0O45fw2L5vsWpdsOdXwNAR"/>
    <x v="88"/>
    <s v="SexyBack (feat. Timbaland)"/>
    <s v="Jive"/>
    <n v="183"/>
    <n v="3"/>
    <d v="1899-12-30T04:02:00"/>
    <b v="1"/>
    <n v="97"/>
    <n v="58"/>
    <n v="91"/>
    <n v="8"/>
    <n v="6"/>
    <n v="0"/>
    <n v="5"/>
    <n v="96"/>
    <n v="117"/>
    <s v="Pop"/>
    <d v="2006-07-07T00:00:00"/>
    <s v="https://image-cdn-ak.spotifycdn.com/image/ab67616d00001e02c6ba98fd3f3b396a6c6f7091"/>
    <b v="0"/>
  </r>
  <r>
    <n v="65"/>
    <s v="spotify:track:0O6lm9N6qJclxNFHl51nkr"/>
    <x v="53"/>
    <s v="Hoe Phase"/>
    <s v="OVO/Republic"/>
    <n v="87"/>
    <n v="1"/>
    <s v="03:22:00"/>
    <b v="1"/>
    <n v="76"/>
    <n v="58"/>
    <n v="72"/>
    <n v="24"/>
    <n v="22"/>
    <n v="0"/>
    <n v="13"/>
    <n v="48"/>
    <n v="116"/>
    <s v="Hip-Hop/Rap"/>
    <s v="20/6/2025"/>
    <s v="https://image-cdn-fa.spotifycdn.com/image/ab67616d00001e02539bb112d7c970545dd971e3"/>
    <b v="0"/>
  </r>
  <r>
    <n v="66"/>
    <s v="spotify:track:0OLTYqD8FpjkLsxJmdWmgi"/>
    <x v="89"/>
    <s v="Humsafar (From &quot;Saiyaara&quot;)"/>
    <s v="YRF Music"/>
    <n v="161"/>
    <n v="1"/>
    <s v="04:18:00"/>
    <b v="0"/>
    <n v="58"/>
    <n v="52"/>
    <n v="71"/>
    <n v="4"/>
    <n v="55"/>
    <n v="0"/>
    <n v="15"/>
    <n v="44"/>
    <n v="90"/>
    <s v="Bollywood"/>
    <s v="18/7/2025"/>
    <s v="https://image-cdn-ak.spotifycdn.com/image/ab67616d00001e02dfc5ea836092ec71ca7a5dcb"/>
    <b v="0"/>
  </r>
  <r>
    <n v="66"/>
    <s v="spotify:track:0OLTYqD8FpjkLsxJmdWmgi"/>
    <x v="90"/>
    <s v="Humsafar (From &quot;Saiyaara&quot;)"/>
    <s v="YRF Music"/>
    <n v="161"/>
    <n v="1"/>
    <s v="04:18:00"/>
    <b v="0"/>
    <n v="58"/>
    <n v="52"/>
    <n v="71"/>
    <n v="4"/>
    <n v="55"/>
    <n v="0"/>
    <n v="15"/>
    <n v="44"/>
    <n v="90"/>
    <s v="Bollywood"/>
    <s v="18/7/2025"/>
    <s v="https://image-cdn-ak.spotifycdn.com/image/ab67616d00001e02dfc5ea836092ec71ca7a5dcb"/>
    <b v="0"/>
  </r>
  <r>
    <n v="66"/>
    <s v="spotify:track:0OLTYqD8FpjkLsxJmdWmgi"/>
    <x v="91"/>
    <s v="Humsafar (From &quot;Saiyaara&quot;)"/>
    <s v="YRF Music"/>
    <n v="161"/>
    <n v="1"/>
    <s v="04:18:00"/>
    <b v="0"/>
    <n v="58"/>
    <n v="52"/>
    <n v="71"/>
    <n v="4"/>
    <n v="55"/>
    <n v="0"/>
    <n v="15"/>
    <n v="44"/>
    <n v="90"/>
    <s v="Bollywood"/>
    <s v="18/7/2025"/>
    <s v="https://image-cdn-ak.spotifycdn.com/image/ab67616d00001e02dfc5ea836092ec71ca7a5dcb"/>
    <b v="0"/>
  </r>
  <r>
    <n v="66"/>
    <s v="spotify:track:0OLTYqD8FpjkLsxJmdWmgi"/>
    <x v="92"/>
    <s v="Humsafar (From &quot;Saiyaara&quot;)"/>
    <s v="YRF Music"/>
    <n v="161"/>
    <n v="1"/>
    <s v="04:18:00"/>
    <b v="0"/>
    <n v="58"/>
    <n v="52"/>
    <n v="71"/>
    <n v="4"/>
    <n v="55"/>
    <n v="0"/>
    <n v="15"/>
    <n v="44"/>
    <n v="90"/>
    <s v="Bollywood"/>
    <s v="18/7/2025"/>
    <s v="https://image-cdn-ak.spotifycdn.com/image/ab67616d00001e02dfc5ea836092ec71ca7a5dcb"/>
    <b v="0"/>
  </r>
  <r>
    <n v="66"/>
    <s v="spotify:track:0OLTYqD8FpjkLsxJmdWmgi"/>
    <x v="93"/>
    <s v="Humsafar (From &quot;Saiyaara&quot;)"/>
    <s v="YRF Music"/>
    <n v="161"/>
    <n v="1"/>
    <s v="04:18:00"/>
    <b v="0"/>
    <n v="58"/>
    <n v="52"/>
    <n v="71"/>
    <n v="4"/>
    <n v="55"/>
    <n v="0"/>
    <n v="15"/>
    <n v="44"/>
    <n v="90"/>
    <s v="Bollywood"/>
    <s v="18/7/2025"/>
    <s v="https://image-cdn-ak.spotifycdn.com/image/ab67616d00001e02dfc5ea836092ec71ca7a5dcb"/>
    <b v="0"/>
  </r>
  <r>
    <n v="67"/>
    <s v="spotify:track:0PV4VQCmE6Ujssr1bnswdF"/>
    <x v="39"/>
    <s v="Something Serious"/>
    <s v="Atlantic Records"/>
    <n v="174"/>
    <n v="1"/>
    <s v="03:15:00"/>
    <b v="0"/>
    <n v="74"/>
    <n v="70"/>
    <n v="74"/>
    <n v="6"/>
    <n v="16"/>
    <n v="0"/>
    <n v="12"/>
    <n v="73"/>
    <n v="118"/>
    <s v="Pop"/>
    <s v="12/9/2025"/>
    <s v="https://image-cdn-ak.spotifycdn.com/image/ab67616d00001e023eb8dc748f7efb1470f74395"/>
    <b v="0"/>
  </r>
  <r>
    <n v="68"/>
    <s v="spotify:track:0QCIpQV3twfqo9kh0t8Zza"/>
    <x v="94"/>
    <s v="SHAKE IT TO THE MAX (FLY) - REMIX"/>
    <s v="WONDERGIRL LLC"/>
    <n v="15"/>
    <n v="19"/>
    <d v="1899-12-30T02:48:00"/>
    <b v="1"/>
    <n v="88"/>
    <n v="82"/>
    <n v="83"/>
    <n v="14"/>
    <n v="5"/>
    <n v="0"/>
    <n v="15"/>
    <n v="75"/>
    <n v="128"/>
    <s v="Dancehall"/>
    <d v="2025-04-04T00:00:00"/>
    <s v="https://image-cdn-ak.spotifycdn.com/image/ab67616d00001e020069ee4e37f913fb1653b389"/>
    <b v="0"/>
  </r>
  <r>
    <n v="68"/>
    <s v="spotify:track:0QCIpQV3twfqo9kh0t8Zza"/>
    <x v="95"/>
    <s v="SHAKE IT TO THE MAX (FLY) - REMIX"/>
    <s v="WONDERGIRL LLC"/>
    <n v="15"/>
    <n v="19"/>
    <d v="1899-12-30T02:48:00"/>
    <b v="1"/>
    <n v="88"/>
    <n v="82"/>
    <n v="83"/>
    <n v="14"/>
    <n v="5"/>
    <n v="0"/>
    <n v="15"/>
    <n v="75"/>
    <n v="128"/>
    <s v="Dancehall"/>
    <d v="2025-04-04T00:00:00"/>
    <s v="https://image-cdn-ak.spotifycdn.com/image/ab67616d00001e020069ee4e37f913fb1653b389"/>
    <b v="0"/>
  </r>
  <r>
    <n v="68"/>
    <s v="spotify:track:0QCIpQV3twfqo9kh0t8Zza"/>
    <x v="96"/>
    <s v="SHAKE IT TO THE MAX (FLY) - REMIX"/>
    <s v="WONDERGIRL LLC"/>
    <n v="15"/>
    <n v="19"/>
    <d v="1899-12-30T02:48:00"/>
    <b v="1"/>
    <n v="88"/>
    <n v="82"/>
    <n v="83"/>
    <n v="14"/>
    <n v="5"/>
    <n v="0"/>
    <n v="15"/>
    <n v="75"/>
    <n v="128"/>
    <s v="Dancehall"/>
    <d v="2025-04-04T00:00:00"/>
    <s v="https://image-cdn-ak.spotifycdn.com/image/ab67616d00001e020069ee4e37f913fb1653b389"/>
    <b v="0"/>
  </r>
  <r>
    <n v="68"/>
    <s v="spotify:track:0QCIpQV3twfqo9kh0t8Zza"/>
    <x v="97"/>
    <s v="SHAKE IT TO THE MAX (FLY) - REMIX"/>
    <s v="WONDERGIRL LLC"/>
    <n v="15"/>
    <n v="19"/>
    <d v="1899-12-30T02:48:00"/>
    <b v="1"/>
    <n v="88"/>
    <n v="82"/>
    <n v="83"/>
    <n v="14"/>
    <n v="5"/>
    <n v="0"/>
    <n v="15"/>
    <n v="75"/>
    <n v="128"/>
    <s v="Dancehall"/>
    <d v="2025-04-04T00:00:00"/>
    <s v="https://image-cdn-ak.spotifycdn.com/image/ab67616d00001e020069ee4e37f913fb1653b389"/>
    <b v="0"/>
  </r>
  <r>
    <n v="69"/>
    <s v="spotify:track:0QPdjsMOUhwouq1NS3HwfQ"/>
    <x v="5"/>
    <s v="Coming Up Roses"/>
    <s v="Columbia"/>
    <n v="18"/>
    <n v="3"/>
    <s v="03:12:00"/>
    <b v="0"/>
    <n v="62"/>
    <n v="54"/>
    <n v="72"/>
    <n v="4"/>
    <n v="44"/>
    <n v="0"/>
    <n v="11"/>
    <n v="45"/>
    <n v="116"/>
    <s v="Pop"/>
    <s v="6/3/2026"/>
    <s v="https://image-cdn-ak.spotifycdn.com/image/ab67616d00001e0274959140f550b11049c18a38"/>
    <b v="0"/>
  </r>
  <r>
    <n v="70"/>
    <s v="spotify:track:0QkWikH5Z3U0f79T9iuF6c"/>
    <x v="10"/>
    <s v="Judas"/>
    <s v="Interscope"/>
    <n v="54"/>
    <n v="7"/>
    <d v="1899-12-30T04:09:00"/>
    <b v="0"/>
    <n v="66"/>
    <n v="93"/>
    <n v="94"/>
    <n v="7"/>
    <n v="0"/>
    <n v="0"/>
    <n v="27"/>
    <n v="53"/>
    <n v="131"/>
    <s v="Pop"/>
    <d v="2011-04-15T00:00:00"/>
    <s v="https://image-cdn-ak.spotifycdn.com/image/ab67616d00001e024ba15b951a5cff36133ca5bd"/>
    <b v="0"/>
  </r>
  <r>
    <n v="71"/>
    <s v="spotify:track:0QltPqkR4dnhbINyBOU5SY"/>
    <x v="98"/>
    <s v="stay"/>
    <s v="Republic Records"/>
    <n v="17"/>
    <n v="2"/>
    <s v="02:55:00"/>
    <b v="0"/>
    <n v="74"/>
    <n v="54"/>
    <n v="72"/>
    <n v="6"/>
    <n v="34"/>
    <n v="0"/>
    <n v="11"/>
    <n v="64"/>
    <n v="160"/>
    <s v="Pop"/>
    <s v="7/8/2026"/>
    <s v="https://image-cdn-ak.spotifycdn.com/image/ab67616d00001e028baf677ee2d8dda6cc9fcbd7"/>
    <b v="0"/>
  </r>
  <r>
    <n v="72"/>
    <s v="spotify:track:0RiRZpuVRbi7oqRdSMwhQY"/>
    <x v="99"/>
    <s v="Sunflower - Spider-Man: Into the Spider-Verse"/>
    <s v="Republic Records"/>
    <n v="1"/>
    <n v="356"/>
    <d v="1899-12-30T02:38:00"/>
    <b v="0"/>
    <n v="76"/>
    <n v="48"/>
    <n v="91"/>
    <n v="5"/>
    <n v="55"/>
    <n v="0"/>
    <n v="7"/>
    <n v="91"/>
    <n v="90"/>
    <s v="Hip-Hop/Rap"/>
    <d v="2018-10-18T00:00:00"/>
    <s v="https://image-cdn-ak.spotifycdn.com/image/ab67616d00001e029478c87599550dd73bfa7e02"/>
    <b v="0"/>
  </r>
  <r>
    <n v="72"/>
    <s v="spotify:track:0RiRZpuVRbi7oqRdSMwhQY"/>
    <x v="100"/>
    <s v="Sunflower - Spider-Man: Into the Spider-Verse"/>
    <s v="Republic Records"/>
    <n v="1"/>
    <n v="356"/>
    <d v="1899-12-30T02:38:00"/>
    <b v="0"/>
    <n v="76"/>
    <n v="48"/>
    <n v="91"/>
    <n v="5"/>
    <n v="55"/>
    <n v="0"/>
    <n v="7"/>
    <n v="91"/>
    <n v="90"/>
    <s v="Hip-Hop/Rap"/>
    <d v="2018-10-18T00:00:00"/>
    <s v="https://image-cdn-ak.spotifycdn.com/image/ab67616d00001e029478c87599550dd73bfa7e02"/>
    <b v="0"/>
  </r>
  <r>
    <n v="73"/>
    <s v="spotify:track:0RsH8g8DxdYZgdGcod5I36"/>
    <x v="51"/>
    <s v="Bairan"/>
    <s v="Sony Music India / Brown"/>
    <n v="35"/>
    <n v="16"/>
    <s v="03:35:00"/>
    <b v="0"/>
    <n v="74"/>
    <n v="66"/>
    <n v="73"/>
    <n v="5"/>
    <n v="33"/>
    <n v="0"/>
    <n v="14"/>
    <n v="76"/>
    <n v="142"/>
    <s v="Punjabi"/>
    <s v="11/7/2025"/>
    <s v="https://image-cdn-ak.spotifycdn.com/image/ab67616d00001e02cdce9a38222807fa703b4396"/>
    <b v="0"/>
  </r>
  <r>
    <n v="74"/>
    <s v="spotify:track:0S3gpZzlT9Hb7CCSV2owX7"/>
    <x v="101"/>
    <s v="Mama, I'm Coming Home"/>
    <s v="Epic"/>
    <n v="127"/>
    <n v="1"/>
    <d v="1899-12-30T04:12:00"/>
    <b v="0"/>
    <n v="52"/>
    <n v="68"/>
    <n v="78"/>
    <n v="4"/>
    <n v="25"/>
    <n v="0"/>
    <n v="12"/>
    <n v="40"/>
    <n v="140"/>
    <s v="Rock"/>
    <d v="1991-11-05T00:00:00"/>
    <s v="https://image-cdn-fa.spotifycdn.com/image/ab67616d00001e02509342e69eb341df70e5c2e3"/>
    <b v="0"/>
  </r>
  <r>
    <n v="76"/>
    <s v="spotify:track:0Sa8aRfGckW0qUGLrBwoBG"/>
    <x v="102"/>
    <s v="Todo Lo Fue"/>
    <s v="DEL Records"/>
    <n v="85"/>
    <n v="30"/>
    <d v="1899-12-30T02:58:00"/>
    <b v="1"/>
    <n v="75"/>
    <n v="72"/>
    <n v="79"/>
    <n v="9"/>
    <n v="15"/>
    <n v="0"/>
    <n v="12"/>
    <n v="55"/>
    <n v="108"/>
    <s v="Regional Mexicano"/>
    <d v="2024-10-25T00:00:00"/>
    <s v="https://image-cdn-ak.spotifycdn.com/image/ab67616d00001e0234fc9cf3365e3e9d5f86ffe3"/>
    <b v="0"/>
  </r>
  <r>
    <n v="77"/>
    <s v="spotify:track:0SiywuOBRcynK0uKGWdCnn"/>
    <x v="10"/>
    <s v="Bad Romance"/>
    <s v="Interscope"/>
    <n v="67"/>
    <n v="7"/>
    <d v="1899-12-30T04:54:00"/>
    <b v="1"/>
    <n v="70"/>
    <n v="92"/>
    <n v="94"/>
    <n v="4"/>
    <n v="0"/>
    <n v="0"/>
    <n v="8"/>
    <n v="71"/>
    <n v="119"/>
    <s v="Pop"/>
    <d v="2009-10-26T00:00:00"/>
    <s v="https://image-cdn-ak.spotifycdn.com/image/ab67616d00001e025c9890c0456a3719eeecd8aa"/>
    <b v="0"/>
  </r>
  <r>
    <n v="78"/>
    <s v="spotify:track:0Sq6JK9kyC4MQa3KrJj5CB"/>
    <x v="39"/>
    <s v="Nothing Left"/>
    <s v="Atlantic Records"/>
    <n v="187"/>
    <n v="1"/>
    <s v="03:28:00"/>
    <b v="0"/>
    <n v="58"/>
    <n v="44"/>
    <n v="69"/>
    <n v="4"/>
    <n v="64"/>
    <n v="0"/>
    <n v="10"/>
    <n v="36"/>
    <n v="92"/>
    <s v="Pop"/>
    <s v="12/9/2025"/>
    <s v="https://image-cdn-ak.spotifycdn.com/image/ab67616d00001e023eb8dc748f7efb1470f74395"/>
    <b v="0"/>
  </r>
  <r>
    <n v="79"/>
    <s v="spotify:track:0SqqAgdovOE24BzxIClpjw"/>
    <x v="103"/>
    <s v="Yo Perreo Sola"/>
    <s v="Rimas Entertainment LLC."/>
    <n v="18"/>
    <n v="36"/>
    <d v="1899-12-30T02:52:00"/>
    <b v="1"/>
    <n v="86"/>
    <n v="76"/>
    <n v="91"/>
    <n v="7"/>
    <n v="2"/>
    <n v="0"/>
    <n v="34"/>
    <n v="45"/>
    <n v="97"/>
    <s v="Reggaeton"/>
    <d v="2020-02-28T00:00:00"/>
    <s v="https://image-cdn-ak.spotifycdn.com/image/ab67616d00001e02548f7ec52da7313de0c5e4a0"/>
    <b v="0"/>
  </r>
  <r>
    <n v="80"/>
    <s v="spotify:track:0Sr7ssScx54yxdM2ols7nW"/>
    <x v="104"/>
    <s v="Q U E V A S H A C E R H O Y ?"/>
    <s v="Mr.305 Records / Rimas Entertainment LLC."/>
    <n v="13"/>
    <n v="18"/>
    <d v="1899-12-30T03:20:00"/>
    <b v="1"/>
    <n v="56"/>
    <n v="68"/>
    <n v="89"/>
    <n v="24"/>
    <n v="10"/>
    <n v="0"/>
    <n v="11"/>
    <n v="39"/>
    <n v="155"/>
    <s v="Reggaeton"/>
    <d v="2024-11-15T00:00:00"/>
    <s v="https://image-cdn-fa.spotifycdn.com/image/ab67616d00001e02996764071dbd5240eefb2422"/>
    <b v="0"/>
  </r>
  <r>
    <n v="80"/>
    <s v="spotify:track:0Sr7ssScx54yxdM2ols7nW"/>
    <x v="105"/>
    <s v="Q U E V A S H A C E R H O Y ?"/>
    <s v="Mr.305 Records / Rimas Entertainment LLC."/>
    <n v="13"/>
    <n v="18"/>
    <d v="1899-12-30T03:20:00"/>
    <b v="1"/>
    <n v="56"/>
    <n v="68"/>
    <n v="89"/>
    <n v="24"/>
    <n v="10"/>
    <n v="0"/>
    <n v="11"/>
    <n v="39"/>
    <n v="155"/>
    <s v="Reggaeton"/>
    <d v="2024-11-15T00:00:00"/>
    <s v="https://image-cdn-fa.spotifycdn.com/image/ab67616d00001e02996764071dbd5240eefb2422"/>
    <b v="0"/>
  </r>
  <r>
    <n v="81"/>
    <s v="spotify:track:0SvD6EdetxVtXei2JhkV4B"/>
    <x v="106"/>
    <s v="Wonderful Dream (Holidays Are Coming) - Radio Version"/>
    <s v="X-cell Records"/>
    <n v="180"/>
    <n v="1"/>
    <d v="1899-12-30T03:48:00"/>
    <b v="0"/>
    <n v="50"/>
    <n v="48"/>
    <n v="72"/>
    <n v="4"/>
    <n v="55"/>
    <n v="0"/>
    <n v="15"/>
    <n v="70"/>
    <n v="105"/>
    <s v="Christmas"/>
    <d v="2001-11-12T00:00:00"/>
    <s v="https://image-cdn-ak.spotifycdn.com/image/ab67616d00001e02467ce871a68075576bf5121f"/>
    <b v="1"/>
  </r>
  <r>
    <n v="82"/>
    <s v="spotify:track:0T3Hw3kPj9T2E4UoaSXmfn"/>
    <x v="10"/>
    <s v="Disease"/>
    <s v="Interscope Records"/>
    <n v="31"/>
    <n v="6"/>
    <d v="1899-12-30T03:44:00"/>
    <b v="0"/>
    <n v="56"/>
    <n v="92"/>
    <n v="95"/>
    <n v="12"/>
    <n v="5"/>
    <n v="0"/>
    <n v="49"/>
    <n v="50"/>
    <n v="101"/>
    <s v="Pop"/>
    <d v="2024-10-25T00:00:00"/>
    <s v="https://image-cdn-fa.spotifycdn.com/image/ab67616d00001e02b0860cf0a98e09663c82290c"/>
    <b v="0"/>
  </r>
  <r>
    <n v="83"/>
    <s v="spotify:track:0T3gCq5ZQvGq9jqZmaAff1"/>
    <x v="98"/>
    <s v="Hampstead"/>
    <s v="Republic Records"/>
    <n v="60"/>
    <n v="2"/>
    <s v="03:18:00"/>
    <b v="1"/>
    <n v="61"/>
    <n v="27"/>
    <n v="73"/>
    <n v="3"/>
    <n v="89"/>
    <n v="0"/>
    <n v="16"/>
    <n v="14"/>
    <n v="97"/>
    <s v="Pop"/>
    <s v="7/8/2026"/>
    <s v="https://image-cdn-ak.spotifycdn.com/image/ab67616d00001e026c9d796f3d1a060de02a3077"/>
    <b v="0"/>
  </r>
  <r>
    <n v="84"/>
    <s v="spotify:track:0TFTAtCYhp2tQ9KcJIZb55"/>
    <x v="26"/>
    <s v="undressed"/>
    <s v="Warner Records"/>
    <n v="6"/>
    <n v="63"/>
    <d v="1899-12-30T03:18:00"/>
    <b v="0"/>
    <n v="64"/>
    <n v="89"/>
    <n v="94"/>
    <n v="4"/>
    <n v="14"/>
    <n v="0"/>
    <n v="8"/>
    <n v="89"/>
    <n v="116"/>
    <s v="Indie Pop"/>
    <d v="2024-08-09T00:00:00"/>
    <s v="https://image-cdn-ak.spotifycdn.com/image/ab67616d00001e024229702de91cb3d3a4383302"/>
    <b v="0"/>
  </r>
  <r>
    <n v="85"/>
    <s v="spotify:track:0TJYJrUDKQ1btt4g0Xwklw"/>
    <x v="107"/>
    <s v="LA GRACIOSA"/>
    <s v="Quevedo"/>
    <n v="129"/>
    <n v="7"/>
    <s v="03:05:00"/>
    <b v="0"/>
    <n v="80"/>
    <n v="83"/>
    <n v="75"/>
    <n v="6"/>
    <n v="11"/>
    <n v="0"/>
    <n v="18"/>
    <n v="84"/>
    <n v="128"/>
    <s v="Reggaeton"/>
    <s v="13/6/2025"/>
    <s v="https://image-cdn-fa.spotifycdn.com/image/ab67616d00001e027b84b5d956376cb8e55425f5"/>
    <b v="0"/>
  </r>
  <r>
    <n v="85"/>
    <s v="spotify:track:0TJYJrUDKQ1btt4g0Xwklw"/>
    <x v="108"/>
    <s v="LA GRACIOSA"/>
    <s v="Quevedo"/>
    <n v="129"/>
    <n v="7"/>
    <s v="03:05:00"/>
    <b v="0"/>
    <n v="80"/>
    <n v="83"/>
    <n v="75"/>
    <n v="6"/>
    <n v="11"/>
    <n v="0"/>
    <n v="18"/>
    <n v="84"/>
    <n v="128"/>
    <s v="Reggaeton"/>
    <s v="13/6/2025"/>
    <s v="https://image-cdn-fa.spotifycdn.com/image/ab67616d00001e027b84b5d956376cb8e55425f5"/>
    <b v="0"/>
  </r>
  <r>
    <n v="86"/>
    <s v="spotify:track:0TKCUjfV3YGuY99MxCKM5w"/>
    <x v="109"/>
    <s v="Knife"/>
    <s v="BELIFT LAB"/>
    <n v="193"/>
    <n v="1"/>
    <s v="02:55:00"/>
    <b v="0"/>
    <n v="76"/>
    <n v="80"/>
    <n v="75"/>
    <n v="6"/>
    <n v="12"/>
    <n v="0"/>
    <n v="16"/>
    <n v="68"/>
    <n v="130"/>
    <s v="K-Pop"/>
    <s v="16/5/2025"/>
    <s v="https://image-cdn-ak.spotifycdn.com/image/ab67616d00001e0292beb54472282ca313f34055"/>
    <b v="0"/>
  </r>
  <r>
    <n v="87"/>
    <s v="spotify:track:0TlcczkVTGpinpkGJpT81L"/>
    <x v="68"/>
    <s v="Drag Path"/>
    <s v="Fueled By Ramen"/>
    <n v="57"/>
    <n v="1"/>
    <s v="03:35:00"/>
    <b v="0"/>
    <n v="68"/>
    <n v="65"/>
    <n v="73"/>
    <n v="6"/>
    <n v="24"/>
    <n v="0"/>
    <n v="12"/>
    <n v="56"/>
    <n v="125"/>
    <s v="Alternative"/>
    <s v="27/3/2026"/>
    <s v="https://image-cdn-ak.spotifycdn.com/image/ab67616d00001e02b5b991fd65053a3acb8c2db2"/>
    <b v="0"/>
  </r>
  <r>
    <n v="88"/>
    <s v="spotify:track:0Tqn5Th0wk55eLdga96vZM"/>
    <x v="10"/>
    <s v="Perfect Celebrity"/>
    <s v="Interscope Records"/>
    <n v="82"/>
    <n v="1"/>
    <d v="1899-12-30T03:38:00"/>
    <b v="0"/>
    <n v="62"/>
    <n v="87"/>
    <n v="93"/>
    <n v="6"/>
    <n v="0"/>
    <n v="0"/>
    <n v="8"/>
    <n v="37"/>
    <n v="104"/>
    <s v="Pop"/>
    <d v="2025-03-07T00:00:00"/>
    <s v="https://image-cdn-ak.spotifycdn.com/image/ab67616d00001e02b0860cf0a98e09663c82290c"/>
    <b v="0"/>
  </r>
  <r>
    <n v="89"/>
    <s v="spotify:track:0UHB9METy4VCXNgkcGqHqS"/>
    <x v="110"/>
    <s v="Kiss It Better"/>
    <s v="Roc Nation / Rihanna"/>
    <n v="100"/>
    <n v="16"/>
    <d v="1899-12-30T04:13:00"/>
    <b v="1"/>
    <n v="62"/>
    <n v="81"/>
    <n v="92"/>
    <n v="5"/>
    <n v="27"/>
    <n v="0"/>
    <n v="7"/>
    <n v="88"/>
    <n v="95"/>
    <s v="R&amp;B"/>
    <d v="2016-01-28T00:00:00"/>
    <s v="https://image-cdn-ak.spotifycdn.com/image/ab67616d00001e026be9bac15995f089579074de"/>
    <b v="0"/>
  </r>
  <r>
    <n v="90"/>
    <s v="spotify:track:0UOG0zUn7t8m8QcxfzR7AH"/>
    <x v="111"/>
    <s v="Merry Christmas, Please Don't Call"/>
    <s v="Dirty Hit"/>
    <n v="181"/>
    <n v="1"/>
    <d v="1899-12-30T03:25:00"/>
    <b v="0"/>
    <n v="55"/>
    <n v="58"/>
    <n v="74"/>
    <n v="5"/>
    <n v="35"/>
    <n v="0"/>
    <n v="12"/>
    <n v="50"/>
    <n v="100"/>
    <s v="Indie Pop"/>
    <d v="2024-11-15T00:00:00"/>
    <s v="https://image-cdn-ak.spotifycdn.com/image/ab67616d00001e027fbed05d7226834da74c652b"/>
    <b v="0"/>
  </r>
  <r>
    <n v="91"/>
    <s v="spotify:track:0VV0AMmgLBUhzuFedr3F3e"/>
    <x v="5"/>
    <s v="Dance No More"/>
    <s v="Columbia"/>
    <n v="33"/>
    <n v="2"/>
    <s v="03:28:00"/>
    <b v="0"/>
    <n v="73"/>
    <n v="68"/>
    <n v="74"/>
    <n v="5"/>
    <n v="20"/>
    <n v="0"/>
    <n v="13"/>
    <n v="66"/>
    <n v="120"/>
    <s v="Pop"/>
    <s v="6/3/2026"/>
    <s v="https://image-cdn-ak.spotifycdn.com/image/ab67616d00001e0274959140f550b11049c18a38"/>
    <b v="0"/>
  </r>
  <r>
    <n v="92"/>
    <s v="spotify:track:0Vcss0GZ1rbNI7QQPfXeg4"/>
    <x v="112"/>
    <s v="Jamaican (Bam Bam)"/>
    <s v="Make The Girls Dance Records"/>
    <n v="27"/>
    <n v="26"/>
    <d v="1899-12-30T03:05:00"/>
    <b v="0"/>
    <n v="88"/>
    <n v="85"/>
    <n v="84"/>
    <n v="8"/>
    <n v="5"/>
    <n v="0"/>
    <n v="15"/>
    <n v="72"/>
    <n v="128"/>
    <s v="House"/>
    <d v="2024-06-14T00:00:00"/>
    <s v="https://image-cdn-ak.spotifycdn.com/image/ab67616d00001e02e4d17d7e6cf481caaac75484"/>
    <b v="0"/>
  </r>
  <r>
    <n v="92"/>
    <s v="spotify:track:0Vcss0GZ1rbNI7QQPfXeg4"/>
    <x v="113"/>
    <s v="Jamaican (Bam Bam)"/>
    <s v="Make The Girls Dance Records"/>
    <n v="27"/>
    <n v="26"/>
    <d v="1899-12-30T03:05:00"/>
    <b v="0"/>
    <n v="88"/>
    <n v="85"/>
    <n v="84"/>
    <n v="8"/>
    <n v="5"/>
    <n v="0"/>
    <n v="15"/>
    <n v="72"/>
    <n v="128"/>
    <s v="House"/>
    <d v="2024-06-14T00:00:00"/>
    <s v="https://image-cdn-ak.spotifycdn.com/image/ab67616d00001e02e4d17d7e6cf481caaac75484"/>
    <b v="0"/>
  </r>
  <r>
    <n v="93"/>
    <s v="spotify:track:0VjIjW4GlUZAMYd2vXMi3b"/>
    <x v="55"/>
    <s v="Blinding Lights"/>
    <s v="Republic Records"/>
    <n v="1"/>
    <n v="357"/>
    <d v="1899-12-30T03:20:00"/>
    <b v="0"/>
    <n v="51"/>
    <n v="73"/>
    <n v="90"/>
    <n v="6"/>
    <n v="0"/>
    <n v="0"/>
    <n v="9"/>
    <n v="33"/>
    <n v="171"/>
    <s v="Synth-Pop"/>
    <d v="2019-11-29T00:00:00"/>
    <s v="https://image-cdn-ak.spotifycdn.com/image/ab67616d00001e028863bc11d2aa12b54f5aeb36"/>
    <b v="0"/>
  </r>
  <r>
    <n v="94"/>
    <s v="spotify:track:0WA27lZzPKFJKAbiDRmQDc"/>
    <x v="114"/>
    <s v="RUDE!"/>
    <s v="SM Entertainment"/>
    <n v="181"/>
    <n v="1"/>
    <d v="1899-12-30T02:48:00"/>
    <b v="0"/>
    <n v="80"/>
    <n v="82"/>
    <n v="81"/>
    <n v="12"/>
    <n v="6"/>
    <n v="0"/>
    <n v="13"/>
    <n v="70"/>
    <n v="122"/>
    <s v="K-Pop"/>
    <d v="2025-02-24T00:00:00"/>
    <s v="https://image-cdn-fa.spotifycdn.com/image/ab67616d00001e0294d81f369ca76342b6b89a52"/>
    <b v="0"/>
  </r>
  <r>
    <n v="95"/>
    <s v="spotify:track:0WDvsKwqhn9alx29Z80DmG"/>
    <x v="103"/>
    <s v="ALAMBRE PúA"/>
    <s v="Rimas Entertainment LLC."/>
    <n v="42"/>
    <n v="2"/>
    <d v="1899-12-30T03:28:00"/>
    <b v="1"/>
    <n v="80"/>
    <n v="78"/>
    <n v="81"/>
    <n v="14"/>
    <n v="8"/>
    <n v="0"/>
    <n v="12"/>
    <n v="55"/>
    <n v="120"/>
    <s v="Reggaeton"/>
    <d v="2025-01-05T00:00:00"/>
    <s v="https://image-cdn-ak.spotifycdn.com/image/ab67616d00001e0265ff495c44b83bd19cb9f993"/>
    <b v="0"/>
  </r>
  <r>
    <n v="96"/>
    <s v="spotify:track:0WbMK4wrZ1wFSty9F7FCgu"/>
    <x v="115"/>
    <s v="Good Luck, Babe!"/>
    <s v="Chappell Roan PS/ Island"/>
    <n v="6"/>
    <n v="114"/>
    <d v="1899-12-30T03:38:00"/>
    <b v="0"/>
    <n v="70"/>
    <n v="58"/>
    <n v="90"/>
    <n v="4"/>
    <n v="5"/>
    <n v="0"/>
    <n v="9"/>
    <n v="78"/>
    <n v="117"/>
    <s v="Pop"/>
    <d v="2024-04-05T00:00:00"/>
    <s v="https://image-cdn-ak.spotifycdn.com/image/ab67616d00001e0291b4bc7c88d91a42e0f3a8b7"/>
    <b v="0"/>
  </r>
  <r>
    <n v="97"/>
    <s v="spotify:track:0WoFs3EdGOx58yX5BtXvOa"/>
    <x v="116"/>
    <s v="Your Love"/>
    <s v="Columbia/Legacy"/>
    <n v="116"/>
    <n v="36"/>
    <d v="1899-12-30T03:41:00"/>
    <b v="0"/>
    <n v="58"/>
    <n v="65"/>
    <n v="79"/>
    <n v="6"/>
    <n v="12"/>
    <n v="0"/>
    <n v="7"/>
    <n v="62"/>
    <n v="130"/>
    <s v="Pop Rock"/>
    <d v="1985-11-01T00:00:00"/>
    <s v="https://image-cdn-fa.spotifycdn.com/image/ab67616d00001e02ffaeb2f6c1acc0ed7180929a"/>
    <b v="0"/>
  </r>
  <r>
    <n v="98"/>
    <s v="spotify:track:0XOynYFi9hQfIXKnTct9A7"/>
    <x v="117"/>
    <s v="Click Clack Symphony. (feat. Hans Zimmer)"/>
    <s v="Human Re Sources"/>
    <n v="84"/>
    <n v="3"/>
    <s v="03:56:00"/>
    <b v="0"/>
    <n v="52"/>
    <n v="58"/>
    <n v="71"/>
    <n v="9"/>
    <n v="45"/>
    <n v="5"/>
    <n v="22"/>
    <n v="34"/>
    <n v="142"/>
    <s v="Pop"/>
    <s v="20/3/2026"/>
    <s v="https://image-cdn-fa.spotifycdn.com/image/ab67616d00001e0297c0928704e5a2bd8d4c5b90"/>
    <b v="0"/>
  </r>
  <r>
    <n v="98"/>
    <s v="spotify:track:0XOynYFi9hQfIXKnTct9A7"/>
    <x v="118"/>
    <s v="Click Clack Symphony. (feat. Hans Zimmer)"/>
    <s v="Human Re Sources"/>
    <n v="84"/>
    <n v="3"/>
    <s v="03:56:00"/>
    <b v="0"/>
    <n v="52"/>
    <n v="58"/>
    <n v="71"/>
    <n v="9"/>
    <n v="45"/>
    <n v="5"/>
    <n v="22"/>
    <n v="34"/>
    <n v="142"/>
    <s v="Pop"/>
    <s v="20/3/2026"/>
    <s v="https://image-cdn-fa.spotifycdn.com/image/ab67616d00001e0297c0928704e5a2bd8d4c5b90"/>
    <b v="0"/>
  </r>
  <r>
    <n v="99"/>
    <s v="spotify:track:0YVh3SyU4dS7jOWIFQ1tTf"/>
    <x v="119"/>
    <s v="LET THE WORLD BURN"/>
    <s v="Chris Grey"/>
    <n v="151"/>
    <n v="6"/>
    <d v="1899-12-30T03:15:00"/>
    <b v="0"/>
    <n v="38"/>
    <n v="56"/>
    <n v="88"/>
    <n v="3"/>
    <n v="13"/>
    <n v="0"/>
    <n v="16"/>
    <n v="25"/>
    <n v="93"/>
    <s v="Alternative"/>
    <d v="2024-05-17T00:00:00"/>
    <s v="https://image-cdn-ak.spotifycdn.com/image/ab67616d00001e02ec387576b8f64454e7efb01f"/>
    <b v="0"/>
  </r>
  <r>
    <n v="100"/>
    <s v="spotify:track:0YWUHZPJVg4iujddsJDwhM"/>
    <x v="120"/>
    <s v="My Only Wish (This Year)"/>
    <s v="Jive"/>
    <n v="47"/>
    <n v="29"/>
    <d v="1899-12-30T04:15:00"/>
    <b v="0"/>
    <n v="58"/>
    <n v="55"/>
    <n v="74"/>
    <n v="4"/>
    <n v="40"/>
    <n v="0"/>
    <n v="15"/>
    <n v="72"/>
    <n v="108"/>
    <s v="Christmas"/>
    <d v="2000-11-14T00:00:00"/>
    <s v="https://image-cdn-ak.spotifycdn.com/image/ab67616d00001e0216ed688a08ecd351560f4566"/>
    <b v="1"/>
  </r>
  <r>
    <n v="101"/>
    <s v="spotify:track:0aB0v4027ukVziUGwVGYpG"/>
    <x v="121"/>
    <s v="tv off (feat. lefty gunplay)"/>
    <s v="pgLang, under exclusive license to Interscope Records"/>
    <n v="7"/>
    <n v="33"/>
    <d v="1899-12-30T03:28:00"/>
    <b v="1"/>
    <n v="86"/>
    <n v="53"/>
    <n v="89"/>
    <n v="26"/>
    <n v="8"/>
    <n v="0"/>
    <n v="42"/>
    <n v="55"/>
    <n v="100"/>
    <s v="Hip-Hop/Rap"/>
    <d v="2024-11-22T00:00:00"/>
    <s v="https://image-cdn-ak.spotifycdn.com/image/ab67616d00001e02e2a0a166493a2bde5480a420"/>
    <b v="0"/>
  </r>
  <r>
    <n v="101"/>
    <s v="spotify:track:0aB0v4027ukVziUGwVGYpG"/>
    <x v="122"/>
    <s v="tv off (feat. lefty gunplay)"/>
    <s v="pgLang, under exclusive license to Interscope Records"/>
    <n v="7"/>
    <n v="33"/>
    <d v="1899-12-30T03:28:00"/>
    <b v="1"/>
    <n v="86"/>
    <n v="53"/>
    <n v="89"/>
    <n v="26"/>
    <n v="8"/>
    <n v="0"/>
    <n v="42"/>
    <n v="55"/>
    <n v="100"/>
    <s v="Hip-Hop/Rap"/>
    <d v="2024-11-22T00:00:00"/>
    <s v="https://image-cdn-ak.spotifycdn.com/image/ab67616d00001e02e2a0a166493a2bde5480a420"/>
    <b v="0"/>
  </r>
  <r>
    <n v="102"/>
    <s v="spotify:track:0aPZbnkMoWJaJ5CNVLCj8S"/>
    <x v="2"/>
    <s v="That Should Be Me"/>
    <s v="RBMG/Def Jam"/>
    <n v="46"/>
    <n v="8"/>
    <d v="1899-12-30T04:13:00"/>
    <b v="0"/>
    <n v="55"/>
    <n v="60"/>
    <n v="90"/>
    <n v="3"/>
    <n v="20"/>
    <n v="0"/>
    <n v="15"/>
    <n v="23"/>
    <n v="140"/>
    <s v="Pop"/>
    <d v="2010-03-19T00:00:00"/>
    <s v="https://image-cdn-ak.spotifycdn.com/image/ab67616d00001e02629dc9e2e3bc20bbd7d92e4a"/>
    <b v="0"/>
  </r>
  <r>
    <n v="103"/>
    <s v="spotify:track:0auX6W6oLjO9cHmx4UTaNj"/>
    <x v="123"/>
    <s v="Feel It"/>
    <s v="D4VD ENT, LLC"/>
    <n v="54"/>
    <n v="20"/>
    <d v="1899-12-30T03:18:00"/>
    <b v="0"/>
    <n v="56"/>
    <n v="59"/>
    <n v="90"/>
    <n v="9"/>
    <n v="3"/>
    <n v="0"/>
    <n v="22"/>
    <n v="43"/>
    <n v="121"/>
    <s v="Indie Pop"/>
    <d v="2025-01-17T00:00:00"/>
    <s v="https://image-cdn-ak.spotifycdn.com/image/ab67616d00001e028224aa4d858fb592080a03d8"/>
    <b v="0"/>
  </r>
  <r>
    <n v="104"/>
    <s v="spotify:track:0b0Dz0Gi86SVdBxYeiQcCP"/>
    <x v="124"/>
    <s v="Busy Woman"/>
    <s v="Island Records"/>
    <n v="25"/>
    <n v="15"/>
    <s v="03:05:00"/>
    <b v="1"/>
    <n v="76"/>
    <n v="68"/>
    <n v="73"/>
    <n v="6"/>
    <n v="18"/>
    <n v="0"/>
    <n v="11"/>
    <n v="74"/>
    <n v="117"/>
    <s v="Pop"/>
    <s v="29/8/2025"/>
    <s v="https://image-cdn-ak.spotifycdn.com/image/ab67616d00001e02047d6b756e8f5e3f8b50f025"/>
    <b v="0"/>
  </r>
  <r>
    <n v="105"/>
    <s v="spotify:track:0b61A7v9agI08BG21jJPQ9"/>
    <x v="69"/>
    <s v="they don’t know ’bout us"/>
    <s v="BIGHIT MUSIC"/>
    <n v="10"/>
    <n v="15"/>
    <s v="03:22:00"/>
    <b v="0"/>
    <n v="70"/>
    <n v="65"/>
    <n v="73"/>
    <n v="6"/>
    <n v="28"/>
    <n v="0"/>
    <n v="13"/>
    <n v="59"/>
    <n v="100"/>
    <s v="K-Pop"/>
    <s v="20/3/2026"/>
    <s v="https://image-cdn-ak.spotifycdn.com/image/ab67616d00001e02dfa17fad7f190c901603270e"/>
    <b v="0"/>
  </r>
  <r>
    <n v="106"/>
    <s v="spotify:track:0bYg9bo50gSsH3LtXe2SQn"/>
    <x v="125"/>
    <s v="All I Want for Christmas Is You"/>
    <s v="Columbia"/>
    <n v="1"/>
    <n v="75"/>
    <d v="1899-12-30T04:01:00"/>
    <b v="0"/>
    <n v="34"/>
    <n v="63"/>
    <n v="88"/>
    <n v="4"/>
    <n v="16"/>
    <n v="0"/>
    <n v="7"/>
    <n v="35"/>
    <n v="150"/>
    <s v="Christmas"/>
    <d v="1994-10-29T00:00:00"/>
    <s v="https://image-cdn-ak.spotifycdn.com/image/ab67616d00001e02c0862332847213b151ffab31"/>
    <b v="1"/>
  </r>
  <r>
    <n v="107"/>
    <s v="spotify:track:0bcZ7xN9IcjSNxLerzR2yl"/>
    <x v="55"/>
    <s v="I Can't Wait To Get There"/>
    <s v="XO / Republic Records"/>
    <n v="149"/>
    <n v="1"/>
    <d v="1899-12-30T03:18:00"/>
    <b v="1"/>
    <n v="65"/>
    <n v="44"/>
    <n v="83"/>
    <n v="5"/>
    <n v="54"/>
    <n v="0"/>
    <n v="12"/>
    <n v="12"/>
    <n v="146"/>
    <s v="R&amp;B"/>
    <d v="2025-01-31T00:00:00"/>
    <s v="https://image-cdn-ak.spotifycdn.com/image/ab67616d00001e02de79f330bc297af3fae736da"/>
    <b v="0"/>
  </r>
  <r>
    <n v="108"/>
    <s v="spotify:track:0bxPRWprUVpQK0UFcddkrA"/>
    <x v="126"/>
    <s v="Folded"/>
    <s v="TSNMI / Atlantic"/>
    <n v="62"/>
    <n v="33"/>
    <d v="1899-12-30T03:05:00"/>
    <b v="0"/>
    <n v="72"/>
    <n v="68"/>
    <n v="78"/>
    <n v="8"/>
    <n v="20"/>
    <n v="0"/>
    <n v="11"/>
    <n v="55"/>
    <n v="100"/>
    <s v="R&amp;B"/>
    <d v="2025-03-21T00:00:00"/>
    <s v="https://image-cdn-ak.spotifycdn.com/image/ab67616d00001e02ce5bc87f637b46ad01831fc4"/>
    <b v="0"/>
  </r>
  <r>
    <n v="109"/>
    <s v="spotify:track:0bxRSMz5WY1VuMmOhanE4b"/>
    <x v="55"/>
    <s v="Baptized In Fear"/>
    <s v="XO / Republic Records"/>
    <n v="39"/>
    <n v="2"/>
    <d v="1899-12-30T03:48:00"/>
    <b v="0"/>
    <n v="57"/>
    <n v="52"/>
    <n v="87"/>
    <n v="3"/>
    <n v="14"/>
    <n v="0"/>
    <n v="44"/>
    <n v="46"/>
    <n v="124"/>
    <s v="R&amp;B"/>
    <d v="2025-01-31T00:00:00"/>
    <s v="https://image-cdn-ak.spotifycdn.com/image/ab67616d00001e02460b137f921b16041901104a"/>
    <b v="0"/>
  </r>
  <r>
    <n v="110"/>
    <s v="spotify:track:0cJRr7kw5FkV5e8ejEB2j6"/>
    <x v="98"/>
    <s v="warning signs (interlude)"/>
    <s v="Republic Records"/>
    <n v="59"/>
    <n v="1"/>
    <s v="01:02:00"/>
    <b v="0"/>
    <n v="68"/>
    <n v="42"/>
    <n v="70"/>
    <n v="9"/>
    <n v="45"/>
    <n v="0"/>
    <n v="11"/>
    <n v="39"/>
    <n v="118"/>
    <s v="Pop"/>
    <s v="7/8/2026"/>
    <s v="https://image-cdn-ak.spotifycdn.com/image/ab67616d00001e028baf677ee2d8dda6cc9fcbd7"/>
    <b v="0"/>
  </r>
  <r>
    <n v="111"/>
    <s v="spotify:track:0cQVqPuHQP4KEwc7ZUQmj6"/>
    <x v="127"/>
    <s v="Sweater Weather"/>
    <s v="Columbia"/>
    <n v="16"/>
    <n v="318"/>
    <d v="1899-12-30T04:00:00"/>
    <b v="0"/>
    <n v="61"/>
    <n v="81"/>
    <n v="95"/>
    <n v="3"/>
    <n v="5"/>
    <n v="2"/>
    <n v="10"/>
    <n v="40"/>
    <n v="124"/>
    <s v="Indie Pop"/>
    <d v="2012-03-27T00:00:00"/>
    <s v="https://image-cdn-ak.spotifycdn.com/image/ab67616d00001e02c91ed3bc3c8d484f532fab2f"/>
    <b v="0"/>
  </r>
  <r>
    <n v="112"/>
    <s v="spotify:track:0cYohCh24y1aMjJmcS9RBl"/>
    <x v="128"/>
    <s v="For A Reason"/>
    <s v="WM Canada"/>
    <n v="117"/>
    <n v="8"/>
    <d v="1899-12-30T03:12:00"/>
    <b v="0"/>
    <n v="65"/>
    <n v="60"/>
    <n v="75"/>
    <n v="6"/>
    <n v="40"/>
    <n v="0"/>
    <n v="11"/>
    <n v="45"/>
    <n v="92"/>
    <s v="Punjabi"/>
    <d v="2025-02-14T00:00:00"/>
    <s v="https://image-cdn-ak.spotifycdn.com/image/ab67616d00001e0289e8f71cb6f3b6cc60944858"/>
    <b v="0"/>
  </r>
  <r>
    <n v="112"/>
    <s v="spotify:track:0cYohCh24y1aMjJmcS9RBl"/>
    <x v="129"/>
    <s v="For A Reason"/>
    <s v="WM Canada"/>
    <n v="117"/>
    <n v="8"/>
    <d v="1899-12-30T03:12:00"/>
    <b v="0"/>
    <n v="65"/>
    <n v="60"/>
    <n v="75"/>
    <n v="6"/>
    <n v="40"/>
    <n v="0"/>
    <n v="11"/>
    <n v="45"/>
    <n v="92"/>
    <s v="Punjabi"/>
    <d v="2025-02-14T00:00:00"/>
    <s v="https://image-cdn-ak.spotifycdn.com/image/ab67616d00001e0289e8f71cb6f3b6cc60944858"/>
    <b v="0"/>
  </r>
  <r>
    <n v="113"/>
    <s v="spotify:track:0ct6r3EGTcMLPtrXHDvVjc"/>
    <x v="130"/>
    <s v="The Nights"/>
    <s v="Pophouse Entertainment Group"/>
    <n v="44"/>
    <n v="71"/>
    <d v="1899-12-30T02:56:00"/>
    <b v="0"/>
    <n v="53"/>
    <n v="84"/>
    <n v="91"/>
    <n v="4"/>
    <n v="2"/>
    <n v="0"/>
    <n v="25"/>
    <n v="65"/>
    <n v="126"/>
    <s v="EDM"/>
    <d v="2014-12-01T00:00:00"/>
    <s v="https://image-cdn-ak.spotifycdn.com/image/ab67616d00001e020ae4f4d42e4a09f3a29f64ad"/>
    <b v="0"/>
  </r>
  <r>
    <n v="114"/>
    <s v="spotify:track:0d28khcov6AiegSCpG5TuT"/>
    <x v="131"/>
    <s v="Feel Good Inc."/>
    <s v="Parlophone UK"/>
    <n v="46"/>
    <n v="93"/>
    <d v="1899-12-30T03:41:00"/>
    <b v="0"/>
    <n v="82"/>
    <n v="70"/>
    <n v="89"/>
    <n v="18"/>
    <n v="1"/>
    <n v="0"/>
    <n v="61"/>
    <n v="77"/>
    <n v="139"/>
    <s v="Alternative"/>
    <d v="2005-04-11T00:00:00"/>
    <s v="https://image-cdn-fa.spotifycdn.com/image/ab67616d00001e02622aefd794f6fe4d8e714358"/>
    <b v="0"/>
  </r>
  <r>
    <n v="114"/>
    <s v="spotify:track:0d28khcov6AiegSCpG5TuT"/>
    <x v="132"/>
    <s v="Feel Good Inc."/>
    <s v="Parlophone UK"/>
    <n v="46"/>
    <n v="93"/>
    <d v="1899-12-30T03:41:00"/>
    <b v="0"/>
    <n v="82"/>
    <n v="70"/>
    <n v="89"/>
    <n v="18"/>
    <n v="1"/>
    <n v="0"/>
    <n v="61"/>
    <n v="77"/>
    <n v="139"/>
    <s v="Alternative"/>
    <d v="2005-04-11T00:00:00"/>
    <s v="https://image-cdn-fa.spotifycdn.com/image/ab67616d00001e02622aefd794f6fe4d8e714358"/>
    <b v="0"/>
  </r>
  <r>
    <n v="115"/>
    <s v="spotify:track:0dS2u2UFd88TIzDDaZDLvS"/>
    <x v="123"/>
    <s v="Here With Me"/>
    <s v="D4VD ENT, LLC"/>
    <n v="14"/>
    <n v="94"/>
    <d v="1899-12-30T03:38:00"/>
    <b v="0"/>
    <n v="57"/>
    <n v="45"/>
    <n v="84"/>
    <n v="3"/>
    <n v="53"/>
    <n v="0"/>
    <n v="12"/>
    <n v="26"/>
    <n v="132"/>
    <s v="Indie Pop"/>
    <d v="2023-07-28T00:00:00"/>
    <s v="https://image-cdn-fa.spotifycdn.com/image/ab67616d00001e02c4ddcc23f630f4c2728a5255"/>
    <b v="0"/>
  </r>
  <r>
    <n v="116"/>
    <s v="spotify:track:0e4u0sFRGxHL4U2iFBrUvZ"/>
    <x v="133"/>
    <s v="cigarette smoke"/>
    <s v="Olivia Rodrigo PS"/>
    <n v="24"/>
    <n v="3"/>
    <s v="03:12:00"/>
    <b v="0"/>
    <n v="52"/>
    <n v="34"/>
    <n v="66"/>
    <n v="4"/>
    <n v="82"/>
    <n v="0"/>
    <n v="11"/>
    <n v="24"/>
    <n v="168"/>
    <s v="Indie Pop"/>
    <s v="12/6/2026"/>
    <s v="https://image-cdn-ak.spotifycdn.com/image/ab67616d00001e025cf234eeb7a2edf44bf64a46"/>
    <b v="0"/>
  </r>
  <r>
    <n v="117"/>
    <s v="spotify:track:0eAuGrXyGFYwur9ARUe7LJ"/>
    <x v="134"/>
    <s v="Earrings"/>
    <s v="Columbia"/>
    <n v="1"/>
    <n v="27"/>
    <d v="1899-12-30T03:20:00"/>
    <b v="0"/>
    <n v="72"/>
    <n v="75"/>
    <n v="80"/>
    <n v="6"/>
    <n v="12"/>
    <n v="0"/>
    <n v="12"/>
    <n v="65"/>
    <n v="108"/>
    <s v="Pop"/>
    <d v="2025-03-07T00:00:00"/>
    <s v="https://image-cdn-fa.spotifycdn.com/image/ab67616d00001e022c1f34ecc1929fb59908aad1"/>
    <b v="0"/>
  </r>
  <r>
    <n v="118"/>
    <s v="spotify:track:0eLtIxPRNJfsmehITZ1qaJ"/>
    <x v="135"/>
    <s v="Sahiba"/>
    <s v="T-Series"/>
    <n v="37"/>
    <n v="30"/>
    <d v="1899-12-30T04:12:00"/>
    <b v="0"/>
    <n v="52"/>
    <n v="55"/>
    <n v="73"/>
    <n v="4"/>
    <n v="50"/>
    <n v="0"/>
    <n v="10"/>
    <n v="50"/>
    <n v="85"/>
    <s v="Bollywood"/>
    <d v="2024-09-13T00:00:00"/>
    <s v="https://image-cdn-fa.spotifycdn.com/image/ab67616d00001e020a47bbe7141fdfe0eb2cdba7"/>
    <b v="0"/>
  </r>
  <r>
    <n v="119"/>
    <s v="spotify:track:0eUP3XYOCAj7lGoz4LOhyQ"/>
    <x v="136"/>
    <s v="Talk To You (ft. 54 Ultra)"/>
    <s v="No Art"/>
    <n v="66"/>
    <n v="16"/>
    <d v="1899-12-30T03:18:00"/>
    <b v="0"/>
    <n v="82"/>
    <n v="80"/>
    <n v="82"/>
    <n v="8"/>
    <n v="8"/>
    <n v="0"/>
    <n v="14"/>
    <n v="65"/>
    <n v="128"/>
    <s v="House"/>
    <d v="2025-05-09T00:00:00"/>
    <s v="https://image-cdn-ak.spotifycdn.com/image/ab67616d00001e02b9ae89f9af550218834c07d7"/>
    <b v="0"/>
  </r>
  <r>
    <n v="119"/>
    <s v="spotify:track:0eUP3XYOCAj7lGoz4LOhyQ"/>
    <x v="137"/>
    <s v="Talk To You (ft. 54 Ultra)"/>
    <s v="No Art"/>
    <n v="66"/>
    <n v="16"/>
    <d v="1899-12-30T03:18:00"/>
    <b v="0"/>
    <n v="82"/>
    <n v="80"/>
    <n v="82"/>
    <n v="8"/>
    <n v="8"/>
    <n v="0"/>
    <n v="14"/>
    <n v="65"/>
    <n v="128"/>
    <s v="House"/>
    <d v="2025-05-09T00:00:00"/>
    <s v="https://image-cdn-ak.spotifycdn.com/image/ab67616d00001e02b9ae89f9af550218834c07d7"/>
    <b v="0"/>
  </r>
  <r>
    <n v="120"/>
    <s v="spotify:track:0eaVIYo2zeOaGJeqZ5TwYz"/>
    <x v="7"/>
    <s v="No Pole"/>
    <s v="Cactus Jack / Atlantic"/>
    <n v="72"/>
    <n v="71"/>
    <d v="1899-12-30T03:00:00"/>
    <b v="1"/>
    <n v="33"/>
    <n v="63"/>
    <n v="91"/>
    <n v="5"/>
    <n v="7"/>
    <n v="0"/>
    <n v="57"/>
    <n v="38"/>
    <n v="85"/>
    <s v="Hip-Hop/Rap"/>
    <d v="2024-06-14T00:00:00"/>
    <s v="https://image-cdn-ak.spotifycdn.com/image/ab67616d00001e02307323fa550564b0201b1d76"/>
    <b v="0"/>
  </r>
  <r>
    <n v="121"/>
    <s v="spotify:track:0ee1DiZF94NSqqpG0XHUzH"/>
    <x v="138"/>
    <s v="Livin' On A Prayer"/>
    <s v="Bon Jovi Dist Deal (Catalog)"/>
    <n v="180"/>
    <n v="3"/>
    <d v="1899-12-30T04:09:00"/>
    <b v="0"/>
    <n v="53"/>
    <n v="89"/>
    <n v="94"/>
    <n v="3"/>
    <n v="8"/>
    <n v="0"/>
    <n v="29"/>
    <n v="79"/>
    <n v="123"/>
    <s v="Rock"/>
    <d v="1986-10-31T00:00:00"/>
    <s v="https://image-cdn-ak.spotifycdn.com/image/ab67616d00001e0249e6168f69625252689c2526"/>
    <b v="0"/>
  </r>
  <r>
    <n v="122"/>
    <s v="spotify:track:0ejwu6GH5TeXx82YvO6XSN"/>
    <x v="139"/>
    <s v="Orula"/>
    <s v="Rico o Muerto by Baja Sound LLC"/>
    <n v="132"/>
    <n v="2"/>
    <d v="1899-12-30T03:05:00"/>
    <b v="1"/>
    <n v="78"/>
    <n v="72"/>
    <n v="80"/>
    <n v="10"/>
    <n v="12"/>
    <n v="0"/>
    <n v="12"/>
    <n v="58"/>
    <n v="110"/>
    <s v="Regional Mexicano"/>
    <d v="2025-04-11T00:00:00"/>
    <s v="https://image-cdn-ak.spotifycdn.com/image/ab67616d00001e02eb91cbac493d205d58640ddf"/>
    <b v="0"/>
  </r>
  <r>
    <n v="123"/>
    <s v="spotify:track:0eu4C55hL6x29mmeAjytzC"/>
    <x v="140"/>
    <s v="Life Goes On"/>
    <s v="Atlantic Records"/>
    <n v="15"/>
    <n v="31"/>
    <d v="1899-12-30T02:41:00"/>
    <b v="0"/>
    <n v="70"/>
    <n v="49"/>
    <n v="91"/>
    <n v="8"/>
    <n v="19"/>
    <n v="0"/>
    <n v="12"/>
    <n v="57"/>
    <n v="80"/>
    <s v="Alternative"/>
    <d v="2021-05-14T00:00:00"/>
    <s v="https://image-cdn-fa.spotifycdn.com/image/ab67616d00001e02bf118f32a37c18511647b54a"/>
    <b v="0"/>
  </r>
  <r>
    <n v="124"/>
    <s v="spotify:track:0fK7ie6XwGxQTIkpFoWkd1"/>
    <x v="141"/>
    <s v="like JENNIE"/>
    <s v="OA Entertainment/Columbia"/>
    <n v="6"/>
    <n v="55"/>
    <d v="1899-12-30T02:48:00"/>
    <b v="1"/>
    <n v="81"/>
    <n v="74"/>
    <n v="91"/>
    <n v="6"/>
    <n v="28"/>
    <n v="1"/>
    <n v="9"/>
    <n v="82"/>
    <n v="130"/>
    <s v="K-Pop"/>
    <d v="2025-03-07T00:00:00"/>
    <s v="https://image-cdn-ak.spotifycdn.com/image/ab67616d00001e02dcf27dec5e479b2e39c4c993"/>
    <b v="0"/>
  </r>
  <r>
    <n v="125"/>
    <s v="spotify:track:0fKK51bU6lcCCwdNnv64t3"/>
    <x v="142"/>
    <s v="DEPORTIVO"/>
    <s v="WEA Latina"/>
    <n v="102"/>
    <n v="6"/>
    <s v="03:12:00"/>
    <b v="1"/>
    <n v="83"/>
    <n v="75"/>
    <n v="74"/>
    <n v="9"/>
    <n v="16"/>
    <n v="0"/>
    <n v="11"/>
    <n v="82"/>
    <n v="128"/>
    <s v="Reggaeton"/>
    <s v="15/8/2025"/>
    <s v="https://image-cdn-ak.spotifycdn.com/image/ab67616d00001e029fc4d086e44711d271d75d45"/>
    <b v="0"/>
  </r>
  <r>
    <n v="125"/>
    <s v="spotify:track:0fKK51bU6lcCCwdNnv64t3"/>
    <x v="143"/>
    <s v="DEPORTIVO"/>
    <s v="WEA Latina"/>
    <n v="102"/>
    <n v="6"/>
    <s v="03:12:00"/>
    <b v="1"/>
    <n v="83"/>
    <n v="75"/>
    <n v="74"/>
    <n v="9"/>
    <n v="16"/>
    <n v="0"/>
    <n v="11"/>
    <n v="82"/>
    <n v="128"/>
    <s v="Reggaeton"/>
    <s v="15/8/2025"/>
    <s v="https://image-cdn-ak.spotifycdn.com/image/ab67616d00001e029fc4d086e44711d271d75d45"/>
    <b v="0"/>
  </r>
  <r>
    <n v="125"/>
    <s v="spotify:track:0fKK51bU6lcCCwdNnv64t3"/>
    <x v="144"/>
    <s v="DEPORTIVO"/>
    <s v="WEA Latina"/>
    <n v="102"/>
    <n v="6"/>
    <s v="03:12:00"/>
    <b v="1"/>
    <n v="83"/>
    <n v="75"/>
    <n v="74"/>
    <n v="9"/>
    <n v="16"/>
    <n v="0"/>
    <n v="11"/>
    <n v="82"/>
    <n v="128"/>
    <s v="Reggaeton"/>
    <s v="15/8/2025"/>
    <s v="https://image-cdn-ak.spotifycdn.com/image/ab67616d00001e029fc4d086e44711d271d75d45"/>
    <b v="0"/>
  </r>
  <r>
    <n v="126"/>
    <s v="spotify:track:0fea68AdmYNygeTGI4RC18"/>
    <x v="103"/>
    <s v="LA CANCIÓN"/>
    <s v="Universal Music Latino / Rimas"/>
    <n v="11"/>
    <n v="155"/>
    <d v="1899-12-30T04:02:00"/>
    <b v="0"/>
    <n v="76"/>
    <n v="65"/>
    <n v="90"/>
    <n v="32"/>
    <n v="15"/>
    <n v="0"/>
    <n v="11"/>
    <n v="43"/>
    <n v="176"/>
    <s v="Reggaeton"/>
    <d v="2019-06-28T00:00:00"/>
    <s v="https://image-cdn-ak.spotifycdn.com/image/ab67616d00001e024891d9b25d8919448388f3bb"/>
    <b v="0"/>
  </r>
  <r>
    <n v="126"/>
    <s v="spotify:track:0fea68AdmYNygeTGI4RC18"/>
    <x v="145"/>
    <s v="LA CANCIÓN"/>
    <s v="Universal Music Latino / Rimas"/>
    <n v="11"/>
    <n v="155"/>
    <d v="1899-12-30T04:02:00"/>
    <b v="0"/>
    <n v="76"/>
    <n v="65"/>
    <n v="90"/>
    <n v="32"/>
    <n v="15"/>
    <n v="0"/>
    <n v="11"/>
    <n v="43"/>
    <n v="176"/>
    <s v="Reggaeton"/>
    <d v="2019-06-28T00:00:00"/>
    <s v="https://image-cdn-ak.spotifycdn.com/image/ab67616d00001e024891d9b25d8919448388f3bb"/>
    <b v="0"/>
  </r>
  <r>
    <n v="127"/>
    <s v="spotify:track:0gucTLf7trAf37Ua1uAyAu"/>
    <x v="146"/>
    <s v="Smells Like Teen Spirit"/>
    <s v="Geffen"/>
    <n v="73"/>
    <n v="176"/>
    <d v="1899-12-30T05:01:00"/>
    <b v="0"/>
    <n v="50"/>
    <n v="91"/>
    <n v="92"/>
    <n v="6"/>
    <n v="0"/>
    <n v="0"/>
    <n v="11"/>
    <n v="72"/>
    <n v="117"/>
    <s v="Grunge"/>
    <d v="1991-09-10T00:00:00"/>
    <s v="https://image-cdn-ak.spotifycdn.com/image/ab67616d00001e02444f118a9126af9e1483dcc0"/>
    <b v="0"/>
  </r>
  <r>
    <n v="128"/>
    <s v="spotify:track:0hVZnH3f3xmudcfCFLdw1V"/>
    <x v="147"/>
    <s v="Mio Cristo Piange Diamanti"/>
    <s v="Columbia"/>
    <n v="98"/>
    <n v="1"/>
    <s v="03:18:00"/>
    <b v="0"/>
    <n v="61"/>
    <n v="54"/>
    <n v="72"/>
    <n v="8"/>
    <n v="46"/>
    <n v="1"/>
    <n v="12"/>
    <n v="38"/>
    <n v="100"/>
    <s v="Flamenco"/>
    <s v="7/11/2025"/>
    <s v="https://image-cdn-ak.spotifycdn.com/image/ab67616d00001e0293ee2e2f2dfb7de9befcc164"/>
    <b v="0"/>
  </r>
  <r>
    <n v="129"/>
    <s v="spotify:track:0hfXHqWhOpbR9YQmQojDMN"/>
    <x v="61"/>
    <s v="gervonta"/>
    <s v="Double P Records"/>
    <n v="75"/>
    <n v="8"/>
    <s v="02:55:00"/>
    <b v="1"/>
    <n v="75"/>
    <n v="68"/>
    <n v="73"/>
    <n v="6"/>
    <n v="24"/>
    <n v="0"/>
    <n v="14"/>
    <n v="82"/>
    <n v="140"/>
    <s v="Regional Mexicano"/>
    <s v="20/6/2025"/>
    <s v="https://image-cdn-ak.spotifycdn.com/image/ab67616d00001e020892be1577c5cdb7eee47fa7"/>
    <b v="0"/>
  </r>
  <r>
    <n v="130"/>
    <s v="spotify:track:0hta2Lb2zKJ7kEnAEZEE3G"/>
    <x v="148"/>
    <s v="Nope your too late i already died"/>
    <s v="9th St. / Hallwood"/>
    <n v="74"/>
    <n v="21"/>
    <d v="1899-12-30T02:48:00"/>
    <b v="0"/>
    <n v="70"/>
    <n v="60"/>
    <n v="83"/>
    <n v="4"/>
    <n v="10"/>
    <n v="1"/>
    <n v="26"/>
    <n v="98"/>
    <n v="120"/>
    <s v="Emo Rap"/>
    <d v="2024-10-25T00:00:00"/>
    <s v="https://image-cdn-ak.spotifycdn.com/image/ab67616d00001e020713102d7bb855a4796f7cdc"/>
    <b v="0"/>
  </r>
  <r>
    <n v="130"/>
    <s v="spotify:track:0hta2Lb2zKJ7kEnAEZEE3G"/>
    <x v="149"/>
    <s v="Nope your too late i already died"/>
    <s v="9th St. / Hallwood"/>
    <n v="74"/>
    <n v="21"/>
    <d v="1899-12-30T02:48:00"/>
    <b v="0"/>
    <n v="70"/>
    <n v="60"/>
    <n v="83"/>
    <n v="4"/>
    <n v="10"/>
    <n v="1"/>
    <n v="26"/>
    <n v="98"/>
    <n v="120"/>
    <s v="Emo Rap"/>
    <d v="2024-10-25T00:00:00"/>
    <s v="https://image-cdn-ak.spotifycdn.com/image/ab67616d00001e020713102d7bb855a4796f7cdc"/>
    <b v="0"/>
  </r>
  <r>
    <n v="131"/>
    <s v="spotify:track:0hz5PNF2wejwUKCMpesQWt"/>
    <x v="56"/>
    <s v="Merry Christmas"/>
    <s v="Atlantic Records UK"/>
    <n v="23"/>
    <n v="20"/>
    <d v="1899-12-30T03:32:00"/>
    <b v="0"/>
    <n v="62"/>
    <n v="60"/>
    <n v="76"/>
    <n v="5"/>
    <n v="35"/>
    <n v="0"/>
    <n v="13"/>
    <n v="78"/>
    <n v="108"/>
    <s v="Christmas"/>
    <d v="2021-12-03T00:00:00"/>
    <s v="https://image-cdn-ak.spotifycdn.com/image/ab67616d00001e02e88b1e1a3534ea4fced8dc24"/>
    <b v="1"/>
  </r>
  <r>
    <n v="131"/>
    <s v="spotify:track:0hz5PNF2wejwUKCMpesQWt"/>
    <x v="150"/>
    <s v="Merry Christmas"/>
    <s v="Atlantic Records UK"/>
    <n v="23"/>
    <n v="20"/>
    <d v="1899-12-30T03:32:00"/>
    <b v="0"/>
    <n v="62"/>
    <n v="60"/>
    <n v="76"/>
    <n v="5"/>
    <n v="35"/>
    <n v="0"/>
    <n v="13"/>
    <n v="78"/>
    <n v="108"/>
    <s v="Christmas"/>
    <d v="2021-12-03T00:00:00"/>
    <s v="https://image-cdn-ak.spotifycdn.com/image/ab67616d00001e02e88b1e1a3534ea4fced8dc24"/>
    <b v="1"/>
  </r>
  <r>
    <n v="132"/>
    <s v="spotify:track:0i4qKfuKJ3juUsEwnJAxk3"/>
    <x v="5"/>
    <s v="Ready, Steady, Go!"/>
    <s v="Columbia"/>
    <n v="14"/>
    <n v="3"/>
    <s v="03:05:00"/>
    <b v="0"/>
    <n v="68"/>
    <n v="72"/>
    <n v="75"/>
    <n v="4"/>
    <n v="16"/>
    <n v="0"/>
    <n v="15"/>
    <n v="58"/>
    <n v="135"/>
    <s v="Pop"/>
    <s v="6/3/2026"/>
    <s v="https://image-cdn-ak.spotifycdn.com/image/ab67616d00001e0274959140f550b11049c18a38"/>
    <b v="0"/>
  </r>
  <r>
    <n v="133"/>
    <s v="spotify:track:0iKo4pNNjHHdKUcFARlfCa"/>
    <x v="103"/>
    <s v="EL CLúB"/>
    <s v="Rimas Entertainment LLC."/>
    <n v="16"/>
    <n v="12"/>
    <d v="1899-12-30T03:12:00"/>
    <b v="1"/>
    <n v="52"/>
    <n v="61"/>
    <n v="91"/>
    <n v="6"/>
    <n v="46"/>
    <n v="0"/>
    <n v="11"/>
    <n v="26"/>
    <n v="111"/>
    <s v="Reggaeton"/>
    <d v="2025-01-05T00:00:00"/>
    <s v="https://image-cdn-ak.spotifycdn.com/image/ab67616d00001e02bbd45c8d36e0e045ef640411"/>
    <b v="0"/>
  </r>
  <r>
    <n v="134"/>
    <s v="spotify:track:0jWgAnTrNZmOGmqgvHhZEm"/>
    <x v="151"/>
    <s v="What's Up?"/>
    <s v="Interscope"/>
    <n v="182"/>
    <n v="1"/>
    <d v="1899-12-30T04:55:00"/>
    <b v="0"/>
    <n v="56"/>
    <n v="56"/>
    <n v="83"/>
    <n v="3"/>
    <n v="16"/>
    <n v="0"/>
    <n v="11"/>
    <n v="45"/>
    <n v="134"/>
    <s v="Alternative"/>
    <d v="1992-10-13T00:00:00"/>
    <s v="https://image-cdn-ak.spotifycdn.com/image/ab67616d00001e02381371cb8ce680d0dc324600"/>
    <b v="0"/>
  </r>
  <r>
    <n v="135"/>
    <s v="spotify:track:0je57Uq5eTk1wrPzn9sWbl"/>
    <x v="124"/>
    <s v="When Did You Get Hot?"/>
    <s v="Island Records"/>
    <n v="12"/>
    <n v="17"/>
    <s v="02:55:00"/>
    <b v="0"/>
    <n v="79"/>
    <n v="71"/>
    <n v="74"/>
    <n v="7"/>
    <n v="14"/>
    <n v="0"/>
    <n v="13"/>
    <n v="79"/>
    <n v="116"/>
    <s v="Pop"/>
    <s v="29/8/2025"/>
    <s v="https://image-cdn-ak.spotifycdn.com/image/ab67616d00001e02b1863bf95557ea7f357c4947"/>
    <b v="0"/>
  </r>
  <r>
    <n v="137"/>
    <s v="spotify:track:0kosUz0jePvjiz4ctmR6wL"/>
    <x v="152"/>
    <s v="Dai Dai"/>
    <s v="Sony Music Latin"/>
    <n v="1"/>
    <n v="19"/>
    <s v="03:05:00"/>
    <b v="0"/>
    <n v="80"/>
    <n v="75"/>
    <n v="74"/>
    <n v="8"/>
    <n v="16"/>
    <n v="0"/>
    <n v="11"/>
    <n v="82"/>
    <n v="104"/>
    <s v="Afrobeat"/>
    <s v="19/9/2025"/>
    <s v="https://image-cdn-fa.spotifycdn.com/image/ab67616d00001e0203cadf1b3fe324c1dc710ed4"/>
    <b v="0"/>
  </r>
  <r>
    <n v="137"/>
    <s v="spotify:track:0kosUz0jePvjiz4ctmR6wL"/>
    <x v="153"/>
    <s v="Dai Dai"/>
    <s v="Sony Music Latin"/>
    <n v="1"/>
    <n v="19"/>
    <s v="03:05:00"/>
    <b v="0"/>
    <n v="80"/>
    <n v="75"/>
    <n v="74"/>
    <n v="8"/>
    <n v="16"/>
    <n v="0"/>
    <n v="11"/>
    <n v="82"/>
    <n v="104"/>
    <s v="Afrobeat"/>
    <s v="19/9/2025"/>
    <s v="https://image-cdn-fa.spotifycdn.com/image/ab67616d00001e0203cadf1b3fe324c1dc710ed4"/>
    <b v="0"/>
  </r>
  <r>
    <n v="138"/>
    <s v="spotify:track:0l0vcZMU7AOeQmUIREoI2U"/>
    <x v="103"/>
    <s v="Qué Pasaría..."/>
    <s v="Sony Music Latin/Duars Entertainment"/>
    <n v="17"/>
    <n v="67"/>
    <d v="1899-12-30T03:48:00"/>
    <b v="1"/>
    <n v="83"/>
    <n v="56"/>
    <n v="91"/>
    <n v="20"/>
    <n v="53"/>
    <n v="0"/>
    <n v="14"/>
    <n v="34"/>
    <n v="105"/>
    <s v="Reggaeton"/>
    <d v="2024-11-15T00:00:00"/>
    <s v="https://image-cdn-ak.spotifycdn.com/image/ab67616d00001e02a6224f2f93c0ab4b2e01b44b"/>
    <b v="0"/>
  </r>
  <r>
    <n v="138"/>
    <s v="spotify:track:0l0vcZMU7AOeQmUIREoI2U"/>
    <x v="154"/>
    <s v="Qué Pasaría..."/>
    <s v="Sony Music Latin/Duars Entertainment"/>
    <n v="17"/>
    <n v="67"/>
    <d v="1899-12-30T03:48:00"/>
    <b v="1"/>
    <n v="83"/>
    <n v="56"/>
    <n v="91"/>
    <n v="20"/>
    <n v="53"/>
    <n v="0"/>
    <n v="14"/>
    <n v="34"/>
    <n v="105"/>
    <s v="Reggaeton"/>
    <d v="2024-11-15T00:00:00"/>
    <s v="https://image-cdn-ak.spotifycdn.com/image/ab67616d00001e02a6224f2f93c0ab4b2e01b44b"/>
    <b v="0"/>
  </r>
  <r>
    <n v="139"/>
    <s v="spotify:track:0lHAMNU8RGiIObScrsRgmP"/>
    <x v="155"/>
    <s v="Titanium (feat. Sia)"/>
    <s v="Parlophone (France)"/>
    <n v="159"/>
    <n v="6"/>
    <d v="1899-12-30T04:05:00"/>
    <b v="0"/>
    <n v="60"/>
    <n v="79"/>
    <n v="94"/>
    <n v="10"/>
    <n v="7"/>
    <n v="15"/>
    <n v="13"/>
    <n v="30"/>
    <n v="126"/>
    <s v="EDM"/>
    <d v="2011-08-05T00:00:00"/>
    <s v="https://image-cdn-ak.spotifycdn.com/image/ab67616d00001e0287e2f8346625bb6fd20d52be"/>
    <b v="0"/>
  </r>
  <r>
    <n v="139"/>
    <s v="spotify:track:0lHAMNU8RGiIObScrsRgmP"/>
    <x v="156"/>
    <s v="Titanium (feat. Sia)"/>
    <s v="Parlophone (France)"/>
    <n v="159"/>
    <n v="6"/>
    <d v="1899-12-30T04:05:00"/>
    <b v="0"/>
    <n v="60"/>
    <n v="79"/>
    <n v="94"/>
    <n v="10"/>
    <n v="7"/>
    <n v="15"/>
    <n v="13"/>
    <n v="30"/>
    <n v="126"/>
    <s v="EDM"/>
    <d v="2011-08-05T00:00:00"/>
    <s v="https://image-cdn-ak.spotifycdn.com/image/ab67616d00001e0287e2f8346625bb6fd20d52be"/>
    <b v="0"/>
  </r>
  <r>
    <n v="140"/>
    <s v="spotify:track:0lTurWECr2XL607eJAj1A3"/>
    <x v="157"/>
    <s v="I'll Be Home"/>
    <s v="Epic"/>
    <n v="94"/>
    <n v="8"/>
    <d v="1899-12-30T03:25:00"/>
    <b v="0"/>
    <n v="55"/>
    <n v="52"/>
    <n v="74"/>
    <n v="4"/>
    <n v="45"/>
    <n v="0"/>
    <n v="15"/>
    <n v="72"/>
    <n v="100"/>
    <s v="Christmas"/>
    <d v="2014-10-20T00:00:00"/>
    <s v="https://image-cdn-ak.spotifycdn.com/image/ab67616d00001e020753a386572b590eb0728227"/>
    <b v="1"/>
  </r>
  <r>
    <n v="141"/>
    <s v="spotify:track:0lYBSQXN6rCTvUZvg9S0lU"/>
    <x v="158"/>
    <s v="Let Me Love You"/>
    <s v="DJ Snake Def Jam"/>
    <n v="4"/>
    <n v="125"/>
    <d v="1899-12-30T03:25:00"/>
    <b v="0"/>
    <n v="48"/>
    <n v="72"/>
    <n v="91"/>
    <n v="6"/>
    <n v="9"/>
    <n v="0"/>
    <n v="14"/>
    <n v="16"/>
    <n v="200"/>
    <s v="EDM"/>
    <d v="2016-08-05T00:00:00"/>
    <s v="https://image-cdn-ak.spotifycdn.com/image/ab67616d00001e02212d776c31027c511f0ee3bc"/>
    <b v="0"/>
  </r>
  <r>
    <n v="141"/>
    <s v="spotify:track:0lYBSQXN6rCTvUZvg9S0lU"/>
    <x v="2"/>
    <s v="Let Me Love You"/>
    <s v="DJ Snake Def Jam"/>
    <n v="4"/>
    <n v="125"/>
    <d v="1899-12-30T03:25:00"/>
    <b v="0"/>
    <n v="48"/>
    <n v="72"/>
    <n v="91"/>
    <n v="6"/>
    <n v="9"/>
    <n v="0"/>
    <n v="14"/>
    <n v="16"/>
    <n v="200"/>
    <s v="EDM"/>
    <d v="2016-08-05T00:00:00"/>
    <s v="https://image-cdn-ak.spotifycdn.com/image/ab67616d00001e02212d776c31027c511f0ee3bc"/>
    <b v="0"/>
  </r>
  <r>
    <n v="142"/>
    <s v="spotify:track:0lizgQ7Qw35od7CYaoMBZb"/>
    <x v="98"/>
    <s v="Santa Tell Me"/>
    <s v="Universal Records"/>
    <n v="3"/>
    <n v="59"/>
    <d v="1899-12-30T03:24:00"/>
    <b v="0"/>
    <n v="52"/>
    <n v="62"/>
    <n v="88"/>
    <n v="12"/>
    <n v="5"/>
    <n v="0"/>
    <n v="29"/>
    <n v="59"/>
    <n v="192"/>
    <s v="Christmas"/>
    <d v="2014-11-24T00:00:00"/>
    <s v="https://image-cdn-ak.spotifycdn.com/image/ab67616d00001e02a1db745e63940bc06985dea5"/>
    <b v="1"/>
  </r>
  <r>
    <n v="143"/>
    <s v="spotify:track:0ll8uFnc0nANY35E0Lfxvg"/>
    <x v="159"/>
    <s v="Somewhere Only We Know"/>
    <s v="Universal-Island Records Ltd."/>
    <n v="71"/>
    <n v="201"/>
    <d v="1899-12-30T03:57:00"/>
    <b v="0"/>
    <n v="45"/>
    <n v="66"/>
    <n v="93"/>
    <n v="3"/>
    <n v="6"/>
    <n v="0"/>
    <n v="8"/>
    <n v="30"/>
    <n v="172"/>
    <s v="Alternative"/>
    <d v="2004-02-16T00:00:00"/>
    <s v="https://image-cdn-fa.spotifycdn.com/image/ab67616d00001e02045d0a38105fbe7bde43c490"/>
    <b v="0"/>
  </r>
  <r>
    <n v="144"/>
    <s v="spotify:track:0lok0VDJn0zRvHLBCITSSw"/>
    <x v="98"/>
    <s v="kiss me"/>
    <s v="Republic Records"/>
    <n v="13"/>
    <n v="2"/>
    <s v="03:05:00"/>
    <b v="0"/>
    <n v="72"/>
    <n v="51"/>
    <n v="74"/>
    <n v="5"/>
    <n v="38"/>
    <n v="0"/>
    <n v="13"/>
    <n v="58"/>
    <n v="124"/>
    <s v="Pop"/>
    <s v="7/8/2026"/>
    <s v="https://image-cdn-fa.spotifycdn.com/image/ab67616d00001e028baf677ee2d8dda6cc9fcbd7"/>
    <b v="0"/>
  </r>
  <r>
    <n v="145"/>
    <s v="spotify:track:0mfemgLsr0ucLSOBOc4xJ0"/>
    <x v="31"/>
    <s v="CHAMPAGNE"/>
    <s v="Double P Records"/>
    <n v="66"/>
    <n v="3"/>
    <s v="02:48:00"/>
    <b v="1"/>
    <n v="76"/>
    <n v="72"/>
    <n v="74"/>
    <n v="6"/>
    <n v="19"/>
    <n v="0"/>
    <n v="14"/>
    <n v="88"/>
    <n v="145"/>
    <s v="Regional Mexicano"/>
    <s v="12/9/2025"/>
    <s v="https://image-cdn-ak.spotifycdn.com/image/ab67616d00001e027a3451571221d540b4aa2d3d"/>
    <b v="0"/>
  </r>
  <r>
    <n v="146"/>
    <s v="spotify:track:0mflMxspEfB0VbI1kyLiAv"/>
    <x v="37"/>
    <s v="Stick Season"/>
    <s v="Mercury Records/Republic Records"/>
    <n v="6"/>
    <n v="70"/>
    <d v="1899-12-30T03:02:00"/>
    <b v="0"/>
    <n v="66"/>
    <n v="50"/>
    <n v="88"/>
    <n v="7"/>
    <n v="80"/>
    <n v="0"/>
    <n v="10"/>
    <n v="80"/>
    <n v="118"/>
    <s v="Indie Folk"/>
    <d v="2022-07-08T00:00:00"/>
    <s v="https://image-cdn-ak.spotifycdn.com/image/ab67616d00001e026ee35072df1af802cca09918"/>
    <b v="0"/>
  </r>
  <r>
    <n v="147"/>
    <s v="spotify:track:0myRViRgmQ3J8izICXEAVO"/>
    <x v="160"/>
    <s v="I Thought I Saw Your Face Today"/>
    <s v="Merge Records"/>
    <n v="14"/>
    <n v="39"/>
    <d v="1899-12-30T02:48:00"/>
    <b v="0"/>
    <n v="58"/>
    <n v="55"/>
    <n v="73"/>
    <n v="4"/>
    <n v="50"/>
    <n v="0"/>
    <n v="12"/>
    <n v="58"/>
    <n v="100"/>
    <s v="Indie Pop"/>
    <d v="2008-03-18T00:00:00"/>
    <s v="https://image-cdn-ak.spotifycdn.com/image/ab67616d00001e02a47c6d8a934b4833c0916cc9"/>
    <b v="0"/>
  </r>
  <r>
    <n v="148"/>
    <s v="spotify:track:0nafF9MxcXJBQWv3BTKtdF"/>
    <x v="161"/>
    <s v="Verano Rosa"/>
    <s v="Bichota/Interscope Records"/>
    <n v="57"/>
    <n v="12"/>
    <s v="03:12:00"/>
    <b v="0"/>
    <n v="78"/>
    <n v="63"/>
    <n v="72"/>
    <n v="6"/>
    <n v="28"/>
    <n v="0"/>
    <n v="13"/>
    <n v="67"/>
    <n v="112"/>
    <s v="Reggaeton"/>
    <s v="27/6/2025"/>
    <s v="https://image-cdn-ak.spotifycdn.com/image/ab67616d00001e026c0294796e2ee5cf87a47b5f"/>
    <b v="0"/>
  </r>
  <r>
    <n v="148"/>
    <s v="spotify:track:0nafF9MxcXJBQWv3BTKtdF"/>
    <x v="22"/>
    <s v="Verano Rosa"/>
    <s v="Bichota/Interscope Records"/>
    <n v="57"/>
    <n v="12"/>
    <s v="03:12:00"/>
    <b v="0"/>
    <n v="78"/>
    <n v="63"/>
    <n v="72"/>
    <n v="6"/>
    <n v="28"/>
    <n v="0"/>
    <n v="13"/>
    <n v="67"/>
    <n v="112"/>
    <s v="Reggaeton"/>
    <s v="27/6/2025"/>
    <s v="https://image-cdn-ak.spotifycdn.com/image/ab67616d00001e026c0294796e2ee5cf87a47b5f"/>
    <b v="0"/>
  </r>
  <r>
    <n v="149"/>
    <s v="spotify:track:0nj9Bq5sHDiTxSHunhgkFb"/>
    <x v="121"/>
    <s v="squabble up"/>
    <s v="pgLang, under exclusive license to Interscope Records"/>
    <n v="5"/>
    <n v="20"/>
    <d v="1899-12-30T02:48:00"/>
    <b v="1"/>
    <n v="87"/>
    <n v="67"/>
    <n v="91"/>
    <n v="20"/>
    <n v="2"/>
    <n v="0"/>
    <n v="8"/>
    <n v="71"/>
    <n v="104"/>
    <s v="Hip-Hop/Rap"/>
    <d v="2024-11-22T00:00:00"/>
    <s v="https://image-cdn-ak.spotifycdn.com/image/ab67616d00001e02e2a0a166493a2bde5480a420"/>
    <b v="0"/>
  </r>
  <r>
    <n v="150"/>
    <s v="spotify:track:0nrRP2bk19rLc0orkWPQk2"/>
    <x v="130"/>
    <s v="Wake Me Up"/>
    <s v="Pophouse Entertainment Group"/>
    <n v="13"/>
    <n v="115"/>
    <d v="1899-12-30T04:09:00"/>
    <b v="0"/>
    <n v="53"/>
    <n v="78"/>
    <n v="91"/>
    <n v="5"/>
    <n v="0"/>
    <n v="0"/>
    <n v="16"/>
    <n v="64"/>
    <n v="124"/>
    <s v="EDM"/>
    <d v="2013-06-17T00:00:00"/>
    <s v="https://image-cdn-ak.spotifycdn.com/image/ab67616d00001e02e14f11f796cef9f9a82691a7"/>
    <b v="0"/>
  </r>
  <r>
    <n v="151"/>
    <s v="spotify:track:0ntQJM78wzOLVeCUAW7Y45"/>
    <x v="162"/>
    <s v="Sex on Fire"/>
    <s v="RCA/Legacy"/>
    <n v="173"/>
    <n v="18"/>
    <d v="1899-12-30T03:23:00"/>
    <b v="0"/>
    <n v="54"/>
    <n v="90"/>
    <n v="91"/>
    <n v="5"/>
    <n v="0"/>
    <n v="1"/>
    <n v="14"/>
    <n v="37"/>
    <n v="153"/>
    <s v="Rock"/>
    <d v="2008-08-26T00:00:00"/>
    <s v="https://image-cdn-ak.spotifycdn.com/image/ab67616d00001e022519d01c0cca06f134eeadd8"/>
    <b v="0"/>
  </r>
  <r>
    <n v="152"/>
    <s v="spotify:track:0ofHAoxe9vBkTCp2UQIavz"/>
    <x v="163"/>
    <s v="Dreams - 2004 Remaster"/>
    <s v="Rhino/Warner Records"/>
    <n v="20"/>
    <n v="149"/>
    <d v="1899-12-30T04:17:00"/>
    <b v="0"/>
    <n v="83"/>
    <n v="49"/>
    <n v="84"/>
    <n v="3"/>
    <n v="6"/>
    <n v="0"/>
    <n v="13"/>
    <n v="79"/>
    <n v="120"/>
    <s v="Soft Rock"/>
    <d v="1977-02-04T00:00:00"/>
    <s v="https://image-cdn-ak.spotifycdn.com/image/ab67616d00001e02e52a59a28efa4773dd2bfe1b"/>
    <b v="0"/>
  </r>
  <r>
    <n v="153"/>
    <s v="spotify:track:0pOZYYEJawmTAPtkzYKSa2"/>
    <x v="164"/>
    <s v="Legendary Lovers"/>
    <s v="Capitol Records (CAP)"/>
    <n v="158"/>
    <n v="4"/>
    <d v="1899-12-30T03:44:00"/>
    <b v="0"/>
    <n v="68"/>
    <n v="78"/>
    <n v="81"/>
    <n v="6"/>
    <n v="10"/>
    <n v="0"/>
    <n v="12"/>
    <n v="65"/>
    <n v="118"/>
    <s v="Pop"/>
    <d v="2013-10-18T00:00:00"/>
    <s v="https://image-cdn-ak.spotifycdn.com/image/ab67616d00001e021e9a057052d59004caf47e22"/>
    <b v="0"/>
  </r>
  <r>
    <n v="154"/>
    <s v="spotify:track:0pqnGHJpmpxLKifKRmU6WP"/>
    <x v="165"/>
    <s v="Believer"/>
    <s v="Kid Ina Korner / Interscope"/>
    <n v="16"/>
    <n v="425"/>
    <d v="1899-12-30T03:24:00"/>
    <b v="0"/>
    <n v="78"/>
    <n v="78"/>
    <n v="93"/>
    <n v="13"/>
    <n v="6"/>
    <n v="0"/>
    <n v="8"/>
    <n v="67"/>
    <n v="125"/>
    <s v="Alternative"/>
    <d v="2017-02-01T00:00:00"/>
    <s v="https://image-cdn-fa.spotifycdn.com/image/ab67616d00001e025675e83f707f1d7271e5cf8a"/>
    <b v="0"/>
  </r>
  <r>
    <n v="155"/>
    <s v="spotify:track:0qeIFEGRQqHoaJtLCl0U73"/>
    <x v="166"/>
    <s v="DEGENERE (feat. benny blanco)"/>
    <s v="WEA Latina"/>
    <n v="23"/>
    <n v="18"/>
    <s v="03:08:00"/>
    <b v="1"/>
    <n v="83"/>
    <n v="70"/>
    <n v="74"/>
    <n v="6"/>
    <n v="14"/>
    <n v="0"/>
    <n v="11"/>
    <n v="79"/>
    <n v="118"/>
    <s v="Reggaeton"/>
    <s v="16/5/2025"/>
    <s v="https://image-cdn-fa.spotifycdn.com/image/ab67616d00001e02336aa1a070dd43a43b8769a9"/>
    <b v="0"/>
  </r>
  <r>
    <n v="155"/>
    <s v="spotify:track:0qeIFEGRQqHoaJtLCl0U73"/>
    <x v="167"/>
    <s v="DEGENERE (feat. benny blanco)"/>
    <s v="WEA Latina"/>
    <n v="23"/>
    <n v="18"/>
    <s v="03:08:00"/>
    <b v="1"/>
    <n v="83"/>
    <n v="70"/>
    <n v="74"/>
    <n v="6"/>
    <n v="14"/>
    <n v="0"/>
    <n v="11"/>
    <n v="79"/>
    <n v="118"/>
    <s v="Reggaeton"/>
    <s v="16/5/2025"/>
    <s v="https://image-cdn-fa.spotifycdn.com/image/ab67616d00001e02336aa1a070dd43a43b8769a9"/>
    <b v="0"/>
  </r>
  <r>
    <n v="156"/>
    <s v="spotify:track:0ql6fgz8qk0pAEKrGeSppJ"/>
    <x v="168"/>
    <s v="bergema sampai selamanya"/>
    <s v="After School"/>
    <n v="151"/>
    <n v="14"/>
    <d v="1899-12-30T03:48:00"/>
    <b v="0"/>
    <n v="26"/>
    <n v="51"/>
    <n v="90"/>
    <n v="3"/>
    <n v="76"/>
    <n v="3"/>
    <n v="6"/>
    <n v="21"/>
    <n v="160"/>
    <s v="Indie Pop"/>
    <d v="2024-08-09T00:00:00"/>
    <s v="https://image-cdn-ak.spotifycdn.com/image/ab67616d00001e02f3e3f888fbfcc916ecce50a9"/>
    <b v="0"/>
  </r>
  <r>
    <n v="157"/>
    <s v="spotify:track:0qmhTHMVxnXRmT5N92wTD9"/>
    <x v="169"/>
    <s v="Bloodline"/>
    <s v="Atlantic Records"/>
    <n v="33"/>
    <n v="8"/>
    <s v="03:22:00"/>
    <b v="0"/>
    <n v="58"/>
    <n v="66"/>
    <n v="73"/>
    <n v="5"/>
    <n v="29"/>
    <n v="0"/>
    <n v="15"/>
    <n v="47"/>
    <n v="136"/>
    <s v="Pop"/>
    <s v="15/8/2025"/>
    <s v="https://image-cdn-fa.spotifycdn.com/image/ab67616d00001e0277550dd0c126ef359f3c3a4f"/>
    <b v="0"/>
  </r>
  <r>
    <n v="157"/>
    <s v="spotify:track:0qmhTHMVxnXRmT5N92wTD9"/>
    <x v="170"/>
    <s v="Bloodline"/>
    <s v="Atlantic Records"/>
    <n v="33"/>
    <n v="8"/>
    <s v="03:22:00"/>
    <b v="0"/>
    <n v="58"/>
    <n v="66"/>
    <n v="73"/>
    <n v="5"/>
    <n v="29"/>
    <n v="0"/>
    <n v="15"/>
    <n v="47"/>
    <n v="136"/>
    <s v="Pop"/>
    <s v="15/8/2025"/>
    <s v="https://image-cdn-fa.spotifycdn.com/image/ab67616d00001e0277550dd0c126ef359f3c3a4f"/>
    <b v="0"/>
  </r>
  <r>
    <n v="158"/>
    <s v="spotify:track:0rHToGels2lt8Y0mCYoF90"/>
    <x v="171"/>
    <s v="Deck The Hall"/>
    <s v="CAPITOL CATALOG MKT (C92)"/>
    <n v="52"/>
    <n v="14"/>
    <d v="1899-12-30T01:48:00"/>
    <b v="0"/>
    <n v="55"/>
    <n v="50"/>
    <n v="72"/>
    <n v="4"/>
    <n v="55"/>
    <n v="0"/>
    <n v="15"/>
    <n v="72"/>
    <n v="120"/>
    <s v="Christmas"/>
    <d v="1960-11-01T00:00:00"/>
    <s v="https://image-cdn-ak.spotifycdn.com/image/ab67616d00001e0230dc6027fd140c7ba68e900c"/>
    <b v="1"/>
  </r>
  <r>
    <n v="159"/>
    <s v="spotify:track:0rNgWFQJtfttOYIHfDOHCg"/>
    <x v="172"/>
    <s v="BACKD00R (feat. Kendrick Lamar &amp; Jhené Aiko)"/>
    <s v="AWGE/Interscope Records"/>
    <n v="32"/>
    <n v="1"/>
    <d v="1899-12-30T03:18:00"/>
    <b v="1"/>
    <n v="77"/>
    <n v="69"/>
    <n v="91"/>
    <n v="4"/>
    <n v="8"/>
    <n v="1"/>
    <n v="9"/>
    <n v="21"/>
    <n v="142"/>
    <s v="Hip-Hop/Rap"/>
    <d v="2025-03-14T00:00:00"/>
    <s v="https://image-cdn-ak.spotifycdn.com/image/ab67616d00001e026b219c8d8462bfe254a20469"/>
    <b v="0"/>
  </r>
  <r>
    <n v="159"/>
    <s v="spotify:track:0rNgWFQJtfttOYIHfDOHCg"/>
    <x v="121"/>
    <s v="BACKD00R (feat. Kendrick Lamar &amp; Jhené Aiko)"/>
    <s v="AWGE/Interscope Records"/>
    <n v="32"/>
    <n v="1"/>
    <d v="1899-12-30T03:18:00"/>
    <b v="1"/>
    <n v="77"/>
    <n v="69"/>
    <n v="91"/>
    <n v="4"/>
    <n v="8"/>
    <n v="1"/>
    <n v="9"/>
    <n v="21"/>
    <n v="142"/>
    <s v="Hip-Hop/Rap"/>
    <d v="2025-03-14T00:00:00"/>
    <s v="https://image-cdn-ak.spotifycdn.com/image/ab67616d00001e026b219c8d8462bfe254a20469"/>
    <b v="0"/>
  </r>
  <r>
    <n v="159"/>
    <s v="spotify:track:0rNgWFQJtfttOYIHfDOHCg"/>
    <x v="1"/>
    <s v="BACKD00R (feat. Kendrick Lamar &amp; Jhené Aiko)"/>
    <s v="AWGE/Interscope Records"/>
    <n v="32"/>
    <n v="1"/>
    <d v="1899-12-30T03:18:00"/>
    <b v="1"/>
    <n v="77"/>
    <n v="69"/>
    <n v="91"/>
    <n v="4"/>
    <n v="8"/>
    <n v="1"/>
    <n v="9"/>
    <n v="21"/>
    <n v="142"/>
    <s v="Hip-Hop/Rap"/>
    <d v="2025-03-14T00:00:00"/>
    <s v="https://image-cdn-ak.spotifycdn.com/image/ab67616d00001e026b219c8d8462bfe254a20469"/>
    <b v="0"/>
  </r>
  <r>
    <n v="160"/>
    <s v="spotify:track:0rhoLQVFCojDGFyl0nsdVZ"/>
    <x v="173"/>
    <s v="We Are The People"/>
    <s v="EMI Recorded Music Australia Pty Ltd"/>
    <n v="94"/>
    <n v="6"/>
    <d v="1899-12-30T04:27:00"/>
    <b v="0"/>
    <n v="68"/>
    <n v="78"/>
    <n v="91"/>
    <n v="3"/>
    <n v="8"/>
    <n v="1"/>
    <n v="42"/>
    <n v="53"/>
    <n v="123"/>
    <s v="Electronic"/>
    <d v="2008-09-19T00:00:00"/>
    <s v="https://image-cdn-ak.spotifycdn.com/image/ab67616d00001e02410dfc8e880c1b3fefe6b83c"/>
    <b v="0"/>
  </r>
  <r>
    <n v="161"/>
    <s v="spotify:track:0rtDE9zfXbamTlRUSwY7zy"/>
    <x v="174"/>
    <s v="Belong Together"/>
    <s v="Hundred Days Records, LLC"/>
    <n v="19"/>
    <n v="38"/>
    <d v="1899-12-30T02:31:00"/>
    <b v="0"/>
    <n v="65"/>
    <n v="67"/>
    <n v="91"/>
    <n v="3"/>
    <n v="49"/>
    <n v="0"/>
    <n v="21"/>
    <n v="64"/>
    <n v="91"/>
    <s v="Pop"/>
    <d v="2024-02-02T00:00:00"/>
    <s v="https://image-cdn-fa.spotifycdn.com/image/ab67616d00001e02da33127f62acdb0aca585e92"/>
    <b v="0"/>
  </r>
  <r>
    <n v="162"/>
    <s v="spotify:track:0rx7xu0RmZLpJjKNVZjSVv"/>
    <x v="175"/>
    <s v="Love Hangover (feat. Dominic Fike)"/>
    <s v="OA Entertainment/Columbia"/>
    <n v="49"/>
    <n v="6"/>
    <d v="1899-12-30T02:55:00"/>
    <b v="1"/>
    <n v="65"/>
    <n v="78"/>
    <n v="88"/>
    <n v="19"/>
    <n v="16"/>
    <n v="0"/>
    <n v="10"/>
    <n v="67"/>
    <n v="148"/>
    <s v="Pop"/>
    <d v="2025-03-07T00:00:00"/>
    <s v="https://image-cdn-ak.spotifycdn.com/image/ab67616d00001e02dcf27dec5e479b2e39c4c993"/>
    <b v="0"/>
  </r>
  <r>
    <n v="162"/>
    <s v="spotify:track:0rx7xu0RmZLpJjKNVZjSVv"/>
    <x v="141"/>
    <s v="Love Hangover (feat. Dominic Fike)"/>
    <s v="OA Entertainment/Columbia"/>
    <n v="49"/>
    <n v="6"/>
    <d v="1899-12-30T02:55:00"/>
    <b v="1"/>
    <n v="65"/>
    <n v="78"/>
    <n v="88"/>
    <n v="19"/>
    <n v="16"/>
    <n v="0"/>
    <n v="10"/>
    <n v="67"/>
    <n v="148"/>
    <s v="Pop"/>
    <d v="2025-03-07T00:00:00"/>
    <s v="https://image-cdn-ak.spotifycdn.com/image/ab67616d00001e02dcf27dec5e479b2e39c4c993"/>
    <b v="0"/>
  </r>
  <r>
    <n v="163"/>
    <s v="spotify:track:0stJVUUSrbEwyFHOp2dRu0"/>
    <x v="55"/>
    <s v="Open Hearts"/>
    <s v="XO / Republic Records"/>
    <n v="38"/>
    <n v="2"/>
    <d v="1899-12-30T03:48:00"/>
    <b v="0"/>
    <n v="66"/>
    <n v="75"/>
    <n v="90"/>
    <n v="12"/>
    <n v="0"/>
    <n v="0"/>
    <n v="20"/>
    <n v="38"/>
    <n v="124"/>
    <s v="R&amp;B"/>
    <d v="2025-01-31T00:00:00"/>
    <s v="https://image-cdn-fa.spotifycdn.com/image/ab67616d00001e02460b137f921b16041901104a"/>
    <b v="0"/>
  </r>
  <r>
    <n v="164"/>
    <s v="spotify:track:0tV6LXuVzJR4yifqwQuNwN"/>
    <x v="5"/>
    <s v="The Waiting Game"/>
    <s v="Columbia"/>
    <n v="28"/>
    <n v="2"/>
    <s v="03:35:00"/>
    <b v="0"/>
    <n v="55"/>
    <n v="42"/>
    <n v="69"/>
    <n v="4"/>
    <n v="68"/>
    <n v="0"/>
    <n v="10"/>
    <n v="31"/>
    <n v="86"/>
    <s v="Pop"/>
    <s v="6/3/2026"/>
    <s v="https://image-cdn-fa.spotifycdn.com/image/ab67616d00001e0274959140f550b11049c18a38"/>
    <b v="0"/>
  </r>
  <r>
    <n v="165"/>
    <s v="spotify:track:0tgVpDi06FyKpA1z0VMD4v"/>
    <x v="56"/>
    <s v="Perfect"/>
    <s v="Atlantic Records UK"/>
    <n v="4"/>
    <n v="467"/>
    <d v="1899-12-30T04:23:00"/>
    <b v="0"/>
    <n v="60"/>
    <n v="45"/>
    <n v="89"/>
    <n v="2"/>
    <n v="16"/>
    <n v="0"/>
    <n v="11"/>
    <n v="17"/>
    <n v="95"/>
    <s v="Pop"/>
    <d v="2017-09-26T00:00:00"/>
    <s v="https://image-cdn-fa.spotifycdn.com/image/ab67616d00001e02ba5db46f4b838ef6027e6f96"/>
    <b v="0"/>
  </r>
  <r>
    <n v="166"/>
    <s v="spotify:track:0u2P5u6lvoDfwTYjAADbn4"/>
    <x v="65"/>
    <s v="lovely (with Khalid)"/>
    <s v="Darkroom"/>
    <n v="24"/>
    <n v="400"/>
    <d v="1899-12-30T03:20:00"/>
    <b v="0"/>
    <n v="35"/>
    <n v="30"/>
    <n v="83"/>
    <n v="3"/>
    <n v="93"/>
    <n v="0"/>
    <n v="10"/>
    <n v="12"/>
    <n v="115"/>
    <s v="Pop"/>
    <d v="2018-04-19T00:00:00"/>
    <s v="https://image-cdn-ak.spotifycdn.com/image/ab67616d00001e028a3f0a3ca7929dea23cd274c"/>
    <b v="0"/>
  </r>
  <r>
    <n v="166"/>
    <s v="spotify:track:0u2P5u6lvoDfwTYjAADbn4"/>
    <x v="176"/>
    <s v="lovely (with Khalid)"/>
    <s v="Darkroom"/>
    <n v="24"/>
    <n v="400"/>
    <d v="1899-12-30T03:20:00"/>
    <b v="0"/>
    <n v="35"/>
    <n v="30"/>
    <n v="83"/>
    <n v="3"/>
    <n v="93"/>
    <n v="0"/>
    <n v="10"/>
    <n v="12"/>
    <n v="115"/>
    <s v="Pop"/>
    <d v="2018-04-19T00:00:00"/>
    <s v="https://image-cdn-ak.spotifycdn.com/image/ab67616d00001e028a3f0a3ca7929dea23cd274c"/>
    <b v="0"/>
  </r>
  <r>
    <n v="167"/>
    <s v="spotify:track:0ug5NqcwcFR2xrfTkc7k8e"/>
    <x v="19"/>
    <s v="Style"/>
    <s v="Taylor Swift"/>
    <n v="24"/>
    <n v="53"/>
    <d v="1899-12-30T03:51:00"/>
    <b v="0"/>
    <n v="59"/>
    <n v="79"/>
    <n v="91"/>
    <n v="4"/>
    <n v="0"/>
    <n v="0"/>
    <n v="12"/>
    <n v="49"/>
    <n v="95"/>
    <s v="Pop"/>
    <d v="2014-10-27T00:00:00"/>
    <s v="https://image-cdn-ak.spotifycdn.com/image/ab67616d00001e0252b2a3824413eefe9e33817a"/>
    <b v="0"/>
  </r>
  <r>
    <n v="168"/>
    <s v="spotify:track:0vtgMfyOVM2Y97DcVVJw3m"/>
    <x v="177"/>
    <s v="Shapeshifter"/>
    <s v="Universal Music New Zealand Limited"/>
    <n v="138"/>
    <n v="1"/>
    <s v="03:12:00"/>
    <b v="0"/>
    <n v="68"/>
    <n v="58"/>
    <n v="71"/>
    <n v="5"/>
    <n v="45"/>
    <n v="2"/>
    <n v="12"/>
    <n v="51"/>
    <n v="112"/>
    <s v="Alternative"/>
    <s v="30/5/2025"/>
    <s v="https://image-cdn-ak.spotifycdn.com/image/ab67616d00001e0223d41bf736920a032e222a78"/>
    <b v="0"/>
  </r>
  <r>
    <n v="169"/>
    <s v="spotify:track:0wHayguZd1CeQDLYohXNMS"/>
    <x v="178"/>
    <s v="Turn The Lights Off"/>
    <s v="disco:wax"/>
    <n v="128"/>
    <n v="3"/>
    <d v="1899-12-30T03:18:00"/>
    <b v="0"/>
    <n v="80"/>
    <n v="78"/>
    <n v="81"/>
    <n v="8"/>
    <n v="10"/>
    <n v="0"/>
    <n v="13"/>
    <n v="68"/>
    <n v="126"/>
    <s v="House"/>
    <d v="2024-06-14T00:00:00"/>
    <s v="https://image-cdn-fa.spotifycdn.com/image/ab67616d00001e022046ff71c29ccec4268dcac6"/>
    <b v="0"/>
  </r>
  <r>
    <n v="169"/>
    <s v="spotify:track:0wHayguZd1CeQDLYohXNMS"/>
    <x v="179"/>
    <s v="Turn The Lights Off"/>
    <s v="disco:wax"/>
    <n v="128"/>
    <n v="3"/>
    <d v="1899-12-30T03:18:00"/>
    <b v="0"/>
    <n v="80"/>
    <n v="78"/>
    <n v="81"/>
    <n v="8"/>
    <n v="10"/>
    <n v="0"/>
    <n v="13"/>
    <n v="68"/>
    <n v="126"/>
    <s v="House"/>
    <d v="2024-06-14T00:00:00"/>
    <s v="https://image-cdn-fa.spotifycdn.com/image/ab67616d00001e022046ff71c29ccec4268dcac6"/>
    <b v="0"/>
  </r>
  <r>
    <n v="170"/>
    <s v="spotify:track:0xGQTpN4ESETtl1Sp6rzd2"/>
    <x v="180"/>
    <s v="São Paulo (feat. Anitta)"/>
    <s v="XO / Republic Records"/>
    <n v="13"/>
    <n v="10"/>
    <d v="1899-12-30T03:38:00"/>
    <b v="1"/>
    <n v="54"/>
    <n v="66"/>
    <n v="88"/>
    <n v="8"/>
    <n v="4"/>
    <n v="0"/>
    <n v="57"/>
    <n v="55"/>
    <n v="127"/>
    <s v="R&amp;B"/>
    <d v="2024-10-31T00:00:00"/>
    <s v="https://image-cdn-ak.spotifycdn.com/image/ab67616d00001e020f7761c6df5822925daf3738"/>
    <b v="0"/>
  </r>
  <r>
    <n v="170"/>
    <s v="spotify:track:0xGQTpN4ESETtl1Sp6rzd2"/>
    <x v="55"/>
    <s v="São Paulo (feat. Anitta)"/>
    <s v="XO / Republic Records"/>
    <n v="13"/>
    <n v="10"/>
    <d v="1899-12-30T03:38:00"/>
    <b v="1"/>
    <n v="54"/>
    <n v="66"/>
    <n v="88"/>
    <n v="8"/>
    <n v="4"/>
    <n v="0"/>
    <n v="57"/>
    <n v="55"/>
    <n v="127"/>
    <s v="R&amp;B"/>
    <d v="2024-10-31T00:00:00"/>
    <s v="https://image-cdn-ak.spotifycdn.com/image/ab67616d00001e020f7761c6df5822925daf3738"/>
    <b v="0"/>
  </r>
  <r>
    <n v="171"/>
    <s v="spotify:track:0xXYRMvxCUBKWVptybXSjB"/>
    <x v="181"/>
    <s v="Postinho de Gasolina"/>
    <s v="Grannada Music"/>
    <n v="193"/>
    <n v="1"/>
    <d v="1899-12-30T02:48:00"/>
    <b v="1"/>
    <n v="80"/>
    <n v="75"/>
    <n v="80"/>
    <n v="12"/>
    <n v="8"/>
    <n v="0"/>
    <n v="13"/>
    <n v="68"/>
    <n v="128"/>
    <s v="Sertanejo"/>
    <d v="2025-05-09T00:00:00"/>
    <s v="https://image-cdn-ak.spotifycdn.com/image/ab67616d00001e025a5ab94b38aec77383bde6ff"/>
    <b v="0"/>
  </r>
  <r>
    <n v="171"/>
    <s v="spotify:track:0xXYRMvxCUBKWVptybXSjB"/>
    <x v="182"/>
    <s v="Postinho de Gasolina"/>
    <s v="Grannada Music"/>
    <n v="193"/>
    <n v="1"/>
    <d v="1899-12-30T02:48:00"/>
    <b v="1"/>
    <n v="80"/>
    <n v="75"/>
    <n v="80"/>
    <n v="12"/>
    <n v="8"/>
    <n v="0"/>
    <n v="13"/>
    <n v="68"/>
    <n v="128"/>
    <s v="Sertanejo"/>
    <d v="2025-05-09T00:00:00"/>
    <s v="https://image-cdn-ak.spotifycdn.com/image/ab67616d00001e025a5ab94b38aec77383bde6ff"/>
    <b v="0"/>
  </r>
  <r>
    <n v="172"/>
    <s v="spotify:track:0xxZY5C9xxij3D1HkzbnfC"/>
    <x v="183"/>
    <s v="Monster Mash"/>
    <s v="Decca Music Group Ltd."/>
    <n v="132"/>
    <n v="3"/>
    <d v="1899-12-30T03:14:00"/>
    <b v="0"/>
    <n v="60"/>
    <n v="55"/>
    <n v="74"/>
    <n v="4"/>
    <n v="35"/>
    <n v="0"/>
    <n v="15"/>
    <n v="75"/>
    <n v="140"/>
    <s v="Novelty"/>
    <d v="1962-08-25T00:00:00"/>
    <s v="https://image-cdn-ak.spotifycdn.com/image/ab67616d00001e02edf6710f9c0cd81e37fcaf3d"/>
    <b v="0"/>
  </r>
  <r>
    <n v="173"/>
    <s v="spotify:track:0yc6Gst2xkRu0eMLeRMGCX"/>
    <x v="184"/>
    <s v="Apocalypse"/>
    <s v="Partisan Records"/>
    <n v="62"/>
    <n v="135"/>
    <d v="1899-12-30T04:50:00"/>
    <b v="0"/>
    <n v="37"/>
    <n v="47"/>
    <n v="85"/>
    <n v="3"/>
    <n v="2"/>
    <n v="46"/>
    <n v="11"/>
    <n v="17"/>
    <n v="94"/>
    <s v="Dream Pop"/>
    <d v="2017-06-09T00:00:00"/>
    <s v="https://image-cdn-ak.spotifycdn.com/image/ab67616d00001e0212b69bf576f5e80291f75161"/>
    <b v="0"/>
  </r>
  <r>
    <n v="174"/>
    <s v="spotify:track:105Fwh9wijwT41rrfgSnrE"/>
    <x v="185"/>
    <s v="Dangerous"/>
    <s v="Sleep Token/RCA Records"/>
    <n v="166"/>
    <n v="1"/>
    <s v="04:12:00"/>
    <b v="0"/>
    <n v="54"/>
    <n v="62"/>
    <n v="71"/>
    <n v="4"/>
    <n v="48"/>
    <n v="1"/>
    <n v="14"/>
    <n v="36"/>
    <n v="120"/>
    <s v="Alternative Metal"/>
    <s v="30/5/2025"/>
    <s v="https://image-cdn-ak.spotifycdn.com/image/ab67616d00001e02882265cd9bdded9ea9a153b9"/>
    <b v="0"/>
  </r>
  <r>
    <n v="175"/>
    <s v="spotify:track:1097cG16gzkhlPgkUt6KA0"/>
    <x v="7"/>
    <s v="CHAMPAIN &amp; VACAY"/>
    <s v="Cactus Jack / Epic"/>
    <n v="54"/>
    <n v="2"/>
    <s v="03:28:00"/>
    <b v="1"/>
    <n v="74"/>
    <n v="68"/>
    <n v="73"/>
    <n v="7"/>
    <n v="18"/>
    <n v="0"/>
    <n v="15"/>
    <n v="54"/>
    <n v="130"/>
    <s v="Hip-Hop/Rap"/>
    <s v="27/6/2025"/>
    <s v="https://image-cdn-ak.spotifycdn.com/image/ab67616d00001e02124869b6f7df071e3c77d646"/>
    <b v="0"/>
  </r>
  <r>
    <n v="175"/>
    <s v="spotify:track:1097cG16gzkhlPgkUt6KA0"/>
    <x v="186"/>
    <s v="CHAMPAIN &amp; VACAY"/>
    <s v="Cactus Jack / Epic"/>
    <n v="54"/>
    <n v="2"/>
    <s v="03:28:00"/>
    <b v="1"/>
    <n v="74"/>
    <n v="68"/>
    <n v="73"/>
    <n v="7"/>
    <n v="18"/>
    <n v="0"/>
    <n v="15"/>
    <n v="54"/>
    <n v="130"/>
    <s v="Hip-Hop/Rap"/>
    <s v="27/6/2025"/>
    <s v="https://image-cdn-ak.spotifycdn.com/image/ab67616d00001e02124869b6f7df071e3c77d646"/>
    <b v="0"/>
  </r>
  <r>
    <n v="176"/>
    <s v="spotify:track:10MpBpx64MNixmUMNj7f6b"/>
    <x v="22"/>
    <s v="LATINA FOREVA"/>
    <s v="Bichota/Interscope Records"/>
    <n v="68"/>
    <n v="4"/>
    <s v="02:48:00"/>
    <b v="1"/>
    <n v="82"/>
    <n v="76"/>
    <n v="75"/>
    <n v="7"/>
    <n v="16"/>
    <n v="0"/>
    <n v="11"/>
    <n v="80"/>
    <n v="124"/>
    <s v="Reggaeton"/>
    <s v="6/6/2025"/>
    <s v="https://image-cdn-ak.spotifycdn.com/image/ab67616d00001e022bcae9fa5d95c564ddcaea00"/>
    <b v="0"/>
  </r>
  <r>
    <n v="177"/>
    <s v="spotify:track:10nyNJ6zNy2YVYLrcwLccB"/>
    <x v="187"/>
    <s v="No Surprises"/>
    <s v="XL Recordings"/>
    <n v="125"/>
    <n v="8"/>
    <d v="1899-12-30T03:49:00"/>
    <b v="0"/>
    <n v="26"/>
    <n v="39"/>
    <n v="82"/>
    <n v="3"/>
    <n v="6"/>
    <n v="0"/>
    <n v="11"/>
    <n v="12"/>
    <n v="76"/>
    <s v="Alternative"/>
    <d v="1997-05-21T00:00:00"/>
    <s v="https://image-cdn-ak.spotifycdn.com/image/ab67616d00001e02c8b444df094279e70d0ed856"/>
    <b v="0"/>
  </r>
  <r>
    <n v="178"/>
    <s v="spotify:track:10uxlzuPGekUTay2ZpZ4pR"/>
    <x v="147"/>
    <s v="Sauvignon Blanc"/>
    <s v="Columbia"/>
    <n v="174"/>
    <n v="1"/>
    <s v="03:05:00"/>
    <b v="0"/>
    <n v="76"/>
    <n v="65"/>
    <n v="73"/>
    <n v="9"/>
    <n v="24"/>
    <n v="0"/>
    <n v="14"/>
    <n v="68"/>
    <n v="122"/>
    <s v="Flamenco"/>
    <s v="7/11/2025"/>
    <s v="https://image-cdn-ak.spotifycdn.com/image/ab67616d00001e0293ee2e2f2dfb7de9befcc164"/>
    <b v="0"/>
  </r>
  <r>
    <n v="179"/>
    <s v="spotify:track:10zywlg5b0gQOC3q1A7ADx"/>
    <x v="188"/>
    <s v="earthquake"/>
    <s v="Warner Records"/>
    <n v="108"/>
    <n v="2"/>
    <d v="1899-12-30T02:55:00"/>
    <b v="0"/>
    <n v="78"/>
    <n v="81"/>
    <n v="92"/>
    <n v="6"/>
    <n v="0"/>
    <n v="0"/>
    <n v="14"/>
    <n v="60"/>
    <n v="127"/>
    <s v="K-Pop"/>
    <d v="2025-02-14T00:00:00"/>
    <s v="https://image-cdn-ak.spotifycdn.com/image/ab67616d00001e02ea76f03ff30a6cb758809982"/>
    <b v="0"/>
  </r>
  <r>
    <n v="180"/>
    <s v="spotify:track:11BKm0j4eYoCPPpCONAVwA"/>
    <x v="10"/>
    <s v="Bloody Mary"/>
    <s v="Interscope"/>
    <n v="31"/>
    <n v="17"/>
    <d v="1899-12-30T04:05:00"/>
    <b v="0"/>
    <n v="59"/>
    <n v="63"/>
    <n v="89"/>
    <n v="3"/>
    <n v="1"/>
    <n v="0"/>
    <n v="11"/>
    <n v="44"/>
    <n v="100"/>
    <s v="Pop"/>
    <d v="2011-05-23T00:00:00"/>
    <s v="https://image-cdn-ak.spotifycdn.com/image/ab67616d00001e02a47c0e156ea3cebe37fdcab8"/>
    <b v="0"/>
  </r>
  <r>
    <n v="181"/>
    <s v="spotify:track:11GUkH18CKNFLKCHORkceJ"/>
    <x v="189"/>
    <s v="Good Reason"/>
    <s v="Gracie Abrams, under exclusive license to Interscope Records"/>
    <n v="183"/>
    <n v="1"/>
    <s v="03:28:00"/>
    <b v="0"/>
    <n v="55"/>
    <n v="38"/>
    <n v="69"/>
    <n v="4"/>
    <n v="72"/>
    <n v="0"/>
    <n v="11"/>
    <n v="30"/>
    <n v="112"/>
    <s v="Indie Pop"/>
    <s v="10/7/2026"/>
    <s v="https://image-cdn-ak.spotifycdn.com/image/ab67616d00001e0299bc33b47a0a67fd50783055"/>
    <b v="0"/>
  </r>
  <r>
    <n v="182"/>
    <s v="spotify:track:11P4sSu6BH2lAbWk1sL6cK"/>
    <x v="150"/>
    <s v="Step Into Christmas - Remastered 1995"/>
    <s v="EMI"/>
    <n v="31"/>
    <n v="27"/>
    <d v="1899-12-30T04:32:00"/>
    <b v="0"/>
    <n v="65"/>
    <n v="68"/>
    <n v="78"/>
    <n v="5"/>
    <n v="25"/>
    <n v="0"/>
    <n v="14"/>
    <n v="80"/>
    <n v="128"/>
    <s v="Christmas"/>
    <d v="1973-11-30T00:00:00"/>
    <s v="https://image-cdn-fa.spotifycdn.com/image/ab67616d00001e0268f5959744717483eed212b2"/>
    <b v="1"/>
  </r>
  <r>
    <n v="183"/>
    <s v="spotify:track:11hcBLPtbMp4aQI6zGQLub"/>
    <x v="19"/>
    <s v="Patient Zero"/>
    <s v="Taylor Swift"/>
    <n v="1"/>
    <n v="1"/>
    <s v="04:11:00"/>
    <b v="0"/>
    <n v="58"/>
    <n v="46"/>
    <n v="70"/>
    <n v="5"/>
    <n v="59"/>
    <n v="0"/>
    <n v="10"/>
    <n v="35"/>
    <n v="118"/>
    <s v="Pop"/>
    <s v="3/10/2025"/>
    <s v="https://image-cdn-ak.spotifycdn.com/image/ab67616d00001e02cf3de6b538d8b1ed73a4d5d1"/>
    <b v="0"/>
  </r>
  <r>
    <n v="184"/>
    <s v="spotify:track:12bYYQaLqHliSXvRIYlq8G"/>
    <x v="39"/>
    <s v="I Just Might"/>
    <s v="Atlantic Records"/>
    <n v="3"/>
    <n v="7"/>
    <s v="03:05:00"/>
    <b v="0"/>
    <n v="70"/>
    <n v="58"/>
    <n v="72"/>
    <n v="5"/>
    <n v="29"/>
    <n v="0"/>
    <n v="11"/>
    <n v="54"/>
    <n v="98"/>
    <s v="Pop"/>
    <s v="12/9/2025"/>
    <s v="https://image-cdn-fa.spotifycdn.com/image/ab67616d00001e02e7623a0a60f330ee2b24d498"/>
    <b v="0"/>
  </r>
  <r>
    <n v="185"/>
    <s v="spotify:track:136BeIIoBGrrU9fI1jbcDR"/>
    <x v="61"/>
    <s v="daño"/>
    <s v="Double P Records"/>
    <n v="32"/>
    <n v="29"/>
    <d v="1899-12-30T03:08:00"/>
    <b v="1"/>
    <n v="78"/>
    <n v="74"/>
    <n v="80"/>
    <n v="10"/>
    <n v="15"/>
    <n v="0"/>
    <n v="12"/>
    <n v="58"/>
    <n v="108"/>
    <s v="Regional Mexicano"/>
    <d v="2025-04-18T00:00:00"/>
    <s v="https://image-cdn-ak.spotifycdn.com/image/ab67616d00001e02a9e6a250ea86a8f387873ef9"/>
    <b v="0"/>
  </r>
  <r>
    <n v="185"/>
    <s v="spotify:track:136BeIIoBGrrU9fI1jbcDR"/>
    <x v="31"/>
    <s v="daño"/>
    <s v="Double P Records"/>
    <n v="32"/>
    <n v="29"/>
    <d v="1899-12-30T03:08:00"/>
    <b v="1"/>
    <n v="78"/>
    <n v="74"/>
    <n v="80"/>
    <n v="10"/>
    <n v="15"/>
    <n v="0"/>
    <n v="12"/>
    <n v="58"/>
    <n v="108"/>
    <s v="Regional Mexicano"/>
    <d v="2025-04-18T00:00:00"/>
    <s v="https://image-cdn-ak.spotifycdn.com/image/ab67616d00001e02a9e6a250ea86a8f387873ef9"/>
    <b v="0"/>
  </r>
  <r>
    <n v="186"/>
    <s v="spotify:track:13CwOTXUgBugeBByE9oIWb"/>
    <x v="168"/>
    <s v="kota ini tak sama tanpamu"/>
    <s v="After School"/>
    <n v="48"/>
    <n v="17"/>
    <d v="1899-12-30T03:42:00"/>
    <b v="0"/>
    <n v="55"/>
    <n v="55"/>
    <n v="74"/>
    <n v="5"/>
    <n v="45"/>
    <n v="0"/>
    <n v="10"/>
    <n v="50"/>
    <n v="88"/>
    <s v="Indie Pop"/>
    <d v="2025-03-14T00:00:00"/>
    <s v="https://image-cdn-ak.spotifycdn.com/image/ab67616d00001e02f3e3f888fbfcc916ecce50a9"/>
    <b v="0"/>
  </r>
  <r>
    <n v="187"/>
    <s v="spotify:track:13HD3tYTiz8oSRxWzXEq7g"/>
    <x v="190"/>
    <s v="Be Her"/>
    <s v="SAWGOD/Columbia"/>
    <n v="105"/>
    <n v="17"/>
    <s v="03:12:00"/>
    <b v="0"/>
    <n v="59"/>
    <n v="55"/>
    <n v="72"/>
    <n v="4"/>
    <n v="42"/>
    <n v="0"/>
    <n v="11"/>
    <n v="47"/>
    <n v="132"/>
    <s v="Country"/>
    <s v="30/5/2025"/>
    <s v="https://image-cdn-ak.spotifycdn.com/image/ab67616d00001e028606848da949bbaddf447d87"/>
    <b v="0"/>
  </r>
  <r>
    <n v="188"/>
    <s v="spotify:track:142PiXzA84lmEw2RstFHFa"/>
    <x v="98"/>
    <s v="supernatural"/>
    <s v="Republic Records"/>
    <n v="18"/>
    <n v="6"/>
    <d v="1899-12-30T03:05:00"/>
    <b v="0"/>
    <n v="58"/>
    <n v="71"/>
    <n v="88"/>
    <n v="12"/>
    <n v="10"/>
    <n v="0"/>
    <n v="16"/>
    <n v="52"/>
    <n v="76"/>
    <s v="Pop"/>
    <d v="2024-03-08T00:00:00"/>
    <s v="https://image-cdn-ak.spotifycdn.com/image/ab67616d00001e028b58d20f1b77295730db15b4"/>
    <b v="0"/>
  </r>
  <r>
    <n v="189"/>
    <s v="spotify:track:14QaXYIK3K3QPtezqxRRPN"/>
    <x v="103"/>
    <s v="PIToRRO DE COCO"/>
    <s v="Rimas Entertainment LLC."/>
    <n v="33"/>
    <n v="5"/>
    <d v="1899-12-30T02:48:00"/>
    <b v="0"/>
    <n v="64"/>
    <n v="67"/>
    <n v="92"/>
    <n v="3"/>
    <n v="25"/>
    <n v="0"/>
    <n v="12"/>
    <n v="54"/>
    <n v="98"/>
    <s v="Reggaeton"/>
    <d v="2025-01-05T00:00:00"/>
    <s v="https://image-cdn-ak.spotifycdn.com/image/ab67616d00001e02bbd45c8d36e0e045ef640411"/>
    <b v="0"/>
  </r>
  <r>
    <n v="190"/>
    <s v="spotify:track:157BtwkY54FQ3Xl8DsTso1"/>
    <x v="191"/>
    <s v="Dhurandhar The Revenge - Aari Aari"/>
    <s v="T-Series"/>
    <n v="153"/>
    <n v="1"/>
    <s v="03:48:00"/>
    <b v="1"/>
    <n v="75"/>
    <n v="82"/>
    <n v="76"/>
    <n v="11"/>
    <n v="14"/>
    <n v="0"/>
    <n v="28"/>
    <n v="70"/>
    <n v="130"/>
    <s v="Bollywood"/>
    <s v="13/3/2026"/>
    <s v="https://image-cdn-ak.spotifycdn.com/image/ab67616d00001e024c3eeb98521e02693a46d6db"/>
    <b v="0"/>
  </r>
  <r>
    <n v="190"/>
    <s v="spotify:track:157BtwkY54FQ3Xl8DsTso1"/>
    <x v="89"/>
    <s v="Dhurandhar The Revenge - Aari Aari"/>
    <s v="T-Series"/>
    <n v="153"/>
    <n v="1"/>
    <s v="03:48:00"/>
    <b v="1"/>
    <n v="75"/>
    <n v="82"/>
    <n v="76"/>
    <n v="11"/>
    <n v="14"/>
    <n v="0"/>
    <n v="28"/>
    <n v="70"/>
    <n v="130"/>
    <s v="Bollywood"/>
    <s v="13/3/2026"/>
    <s v="https://image-cdn-ak.spotifycdn.com/image/ab67616d00001e024c3eeb98521e02693a46d6db"/>
    <b v="0"/>
  </r>
  <r>
    <n v="190"/>
    <s v="spotify:track:157BtwkY54FQ3Xl8DsTso1"/>
    <x v="192"/>
    <s v="Dhurandhar The Revenge - Aari Aari"/>
    <s v="T-Series"/>
    <n v="153"/>
    <n v="1"/>
    <s v="03:48:00"/>
    <b v="1"/>
    <n v="75"/>
    <n v="82"/>
    <n v="76"/>
    <n v="11"/>
    <n v="14"/>
    <n v="0"/>
    <n v="28"/>
    <n v="70"/>
    <n v="130"/>
    <s v="Bollywood"/>
    <s v="13/3/2026"/>
    <s v="https://image-cdn-ak.spotifycdn.com/image/ab67616d00001e024c3eeb98521e02693a46d6db"/>
    <b v="0"/>
  </r>
  <r>
    <n v="190"/>
    <s v="spotify:track:157BtwkY54FQ3Xl8DsTso1"/>
    <x v="193"/>
    <s v="Dhurandhar The Revenge - Aari Aari"/>
    <s v="T-Series"/>
    <n v="153"/>
    <n v="1"/>
    <s v="03:48:00"/>
    <b v="1"/>
    <n v="75"/>
    <n v="82"/>
    <n v="76"/>
    <n v="11"/>
    <n v="14"/>
    <n v="0"/>
    <n v="28"/>
    <n v="70"/>
    <n v="130"/>
    <s v="Bollywood"/>
    <s v="13/3/2026"/>
    <s v="https://image-cdn-ak.spotifycdn.com/image/ab67616d00001e024c3eeb98521e02693a46d6db"/>
    <b v="0"/>
  </r>
  <r>
    <n v="190"/>
    <s v="spotify:track:157BtwkY54FQ3Xl8DsTso1"/>
    <x v="194"/>
    <s v="Dhurandhar The Revenge - Aari Aari"/>
    <s v="T-Series"/>
    <n v="153"/>
    <n v="1"/>
    <s v="03:48:00"/>
    <b v="1"/>
    <n v="75"/>
    <n v="82"/>
    <n v="76"/>
    <n v="11"/>
    <n v="14"/>
    <n v="0"/>
    <n v="28"/>
    <n v="70"/>
    <n v="130"/>
    <s v="Bollywood"/>
    <s v="13/3/2026"/>
    <s v="https://image-cdn-ak.spotifycdn.com/image/ab67616d00001e024c3eeb98521e02693a46d6db"/>
    <b v="0"/>
  </r>
  <r>
    <n v="190"/>
    <s v="spotify:track:157BtwkY54FQ3Xl8DsTso1"/>
    <x v="195"/>
    <s v="Dhurandhar The Revenge - Aari Aari"/>
    <s v="T-Series"/>
    <n v="153"/>
    <n v="1"/>
    <s v="03:48:00"/>
    <b v="1"/>
    <n v="75"/>
    <n v="82"/>
    <n v="76"/>
    <n v="11"/>
    <n v="14"/>
    <n v="0"/>
    <n v="28"/>
    <n v="70"/>
    <n v="130"/>
    <s v="Bollywood"/>
    <s v="13/3/2026"/>
    <s v="https://image-cdn-ak.spotifycdn.com/image/ab67616d00001e024c3eeb98521e02693a46d6db"/>
    <b v="0"/>
  </r>
  <r>
    <n v="190"/>
    <s v="spotify:track:157BtwkY54FQ3Xl8DsTso1"/>
    <x v="196"/>
    <s v="Dhurandhar The Revenge - Aari Aari"/>
    <s v="T-Series"/>
    <n v="153"/>
    <n v="1"/>
    <s v="03:48:00"/>
    <b v="1"/>
    <n v="75"/>
    <n v="82"/>
    <n v="76"/>
    <n v="11"/>
    <n v="14"/>
    <n v="0"/>
    <n v="28"/>
    <n v="70"/>
    <n v="130"/>
    <s v="Bollywood"/>
    <s v="13/3/2026"/>
    <s v="https://image-cdn-ak.spotifycdn.com/image/ab67616d00001e024c3eeb98521e02693a46d6db"/>
    <b v="0"/>
  </r>
  <r>
    <n v="190"/>
    <s v="spotify:track:157BtwkY54FQ3Xl8DsTso1"/>
    <x v="197"/>
    <s v="Dhurandhar The Revenge - Aari Aari"/>
    <s v="T-Series"/>
    <n v="153"/>
    <n v="1"/>
    <s v="03:48:00"/>
    <b v="1"/>
    <n v="75"/>
    <n v="82"/>
    <n v="76"/>
    <n v="11"/>
    <n v="14"/>
    <n v="0"/>
    <n v="28"/>
    <n v="70"/>
    <n v="130"/>
    <s v="Bollywood"/>
    <s v="13/3/2026"/>
    <s v="https://image-cdn-ak.spotifycdn.com/image/ab67616d00001e024c3eeb98521e02693a46d6db"/>
    <b v="0"/>
  </r>
  <r>
    <n v="191"/>
    <s v="spotify:track:15JINEqzVMv3SvJTAXAKED"/>
    <x v="198"/>
    <s v="Love The Way You Lie"/>
    <s v="Eminem Catalog PS"/>
    <n v="138"/>
    <n v="9"/>
    <d v="1899-12-30T04:23:00"/>
    <b v="1"/>
    <n v="75"/>
    <n v="92"/>
    <n v="92"/>
    <n v="23"/>
    <n v="24"/>
    <n v="0"/>
    <n v="52"/>
    <n v="64"/>
    <n v="87"/>
    <s v="Hip-Hop/Rap"/>
    <d v="2010-06-18T00:00:00"/>
    <s v="https://image-cdn-ak.spotifycdn.com/image/ab67616d00001e02c08d5fa5c0f1a834acef5100"/>
    <b v="0"/>
  </r>
  <r>
    <n v="191"/>
    <s v="spotify:track:15JINEqzVMv3SvJTAXAKED"/>
    <x v="110"/>
    <s v="Love The Way You Lie"/>
    <s v="Eminem Catalog PS"/>
    <n v="138"/>
    <n v="9"/>
    <d v="1899-12-30T04:23:00"/>
    <b v="1"/>
    <n v="75"/>
    <n v="92"/>
    <n v="92"/>
    <n v="23"/>
    <n v="24"/>
    <n v="0"/>
    <n v="52"/>
    <n v="64"/>
    <n v="87"/>
    <s v="Hip-Hop/Rap"/>
    <d v="2010-06-18T00:00:00"/>
    <s v="https://image-cdn-ak.spotifycdn.com/image/ab67616d00001e02c08d5fa5c0f1a834acef5100"/>
    <b v="0"/>
  </r>
  <r>
    <n v="192"/>
    <s v="spotify:track:15coTBAzEN1bOeipoNDZAR"/>
    <x v="199"/>
    <s v="Merry Christmas, Happy Holidays"/>
    <s v="RCA Records Label"/>
    <n v="109"/>
    <n v="9"/>
    <d v="1899-12-30T03:42:00"/>
    <b v="0"/>
    <n v="62"/>
    <n v="62"/>
    <n v="77"/>
    <n v="5"/>
    <n v="35"/>
    <n v="0"/>
    <n v="14"/>
    <n v="78"/>
    <n v="120"/>
    <s v="Christmas"/>
    <d v="1998-11-10T00:00:00"/>
    <s v="https://image-cdn-fa.spotifycdn.com/image/ab67616d00001e02f31d7d1d7bb1e68c793c7449"/>
    <b v="1"/>
  </r>
  <r>
    <n v="193"/>
    <s v="spotify:track:15zJeVUmKFnbrxm9dxcxYD"/>
    <x v="200"/>
    <s v="Sorry I'm Here For Someone Else"/>
    <s v="Night Street Records, Inc./Warner Records Inc."/>
    <n v="69"/>
    <n v="16"/>
    <d v="1899-12-30T03:24:00"/>
    <b v="0"/>
    <n v="53"/>
    <n v="76"/>
    <n v="92"/>
    <n v="3"/>
    <n v="4"/>
    <n v="0"/>
    <n v="16"/>
    <n v="52"/>
    <n v="150"/>
    <s v="Pop"/>
    <d v="2025-04-04T00:00:00"/>
    <s v="https://image-cdn-ak.spotifycdn.com/image/ab67616d00001e023966ad1a94af993a41332d77"/>
    <b v="0"/>
  </r>
  <r>
    <n v="194"/>
    <s v="spotify:track:161DnLWsx1i3u1JT05lzqU"/>
    <x v="39"/>
    <s v="Talking to the Moon"/>
    <s v="Atlantic Records"/>
    <n v="45"/>
    <n v="81"/>
    <d v="1899-12-30T03:33:00"/>
    <b v="0"/>
    <n v="50"/>
    <n v="59"/>
    <n v="92"/>
    <n v="3"/>
    <n v="51"/>
    <n v="0"/>
    <n v="11"/>
    <n v="8"/>
    <n v="146"/>
    <s v="Pop"/>
    <d v="2010-10-01T00:00:00"/>
    <s v="https://image-cdn-ak.spotifycdn.com/image/ab67616d00001e027039c1c841fc3dfa2ad8a0d8"/>
    <b v="0"/>
  </r>
  <r>
    <n v="195"/>
    <s v="spotify:track:16Z0an8D4BJNm3VbWWpTnv"/>
    <x v="201"/>
    <s v="Past Won't Leave My Bed"/>
    <s v="Palace Creek"/>
    <n v="97"/>
    <n v="1"/>
    <d v="1899-12-30T03:15:00"/>
    <b v="0"/>
    <n v="58"/>
    <n v="55"/>
    <n v="74"/>
    <n v="5"/>
    <n v="45"/>
    <n v="0"/>
    <n v="10"/>
    <n v="40"/>
    <n v="95"/>
    <s v="Indie Pop"/>
    <d v="2025-05-09T00:00:00"/>
    <s v="https://image-cdn-ak.spotifycdn.com/image/ab67616d00001e02a51d2c2b79d59becd0e48dcd"/>
    <b v="0"/>
  </r>
  <r>
    <n v="196"/>
    <s v="spotify:track:16xRAbH0vI3iKvDEhWQ4ZO"/>
    <x v="133"/>
    <s v="less"/>
    <s v="Olivia Rodrigo PS"/>
    <n v="16"/>
    <n v="7"/>
    <s v="02:55:00"/>
    <b v="0"/>
    <n v="65"/>
    <n v="58"/>
    <n v="73"/>
    <n v="5"/>
    <n v="36"/>
    <n v="0"/>
    <n v="13"/>
    <n v="46"/>
    <n v="164"/>
    <s v="Indie Pop"/>
    <s v="12/6/2026"/>
    <s v="https://image-cdn-ak.spotifycdn.com/image/ab67616d00001e026949b83f85d782b21ce70583"/>
    <b v="0"/>
  </r>
  <r>
    <n v="197"/>
    <s v="spotify:track:16yVaWo0Gmvs2wlnmJbcH7"/>
    <x v="7"/>
    <s v="Call Back"/>
    <s v="CactusJack/Donnway/ATL"/>
    <n v="151"/>
    <n v="1"/>
    <s v="03:05:00"/>
    <b v="1"/>
    <n v="70"/>
    <n v="54"/>
    <n v="71"/>
    <n v="5"/>
    <n v="32"/>
    <n v="0"/>
    <n v="10"/>
    <n v="48"/>
    <n v="98"/>
    <s v="Hip-Hop/Rap"/>
    <s v="16/5/2025"/>
    <s v="https://image-cdn-ak.spotifycdn.com/image/ab67616d00001e0225c28f3c9fbdbab1a88dd619"/>
    <b v="0"/>
  </r>
  <r>
    <n v="198"/>
    <s v="spotify:track:17phhZDn6oGtzMe56NuWvj"/>
    <x v="202"/>
    <s v="Lose Control"/>
    <s v="Warner Records"/>
    <n v="5"/>
    <n v="151"/>
    <d v="1899-12-30T03:30:00"/>
    <b v="0"/>
    <n v="56"/>
    <n v="60"/>
    <n v="93"/>
    <n v="3"/>
    <n v="20"/>
    <n v="0"/>
    <n v="10"/>
    <n v="24"/>
    <n v="160"/>
    <s v="R&amp;B"/>
    <d v="2023-06-23T00:00:00"/>
    <s v="https://image-cdn-ak.spotifycdn.com/image/ab67616d00001e02ebea8d4457c4db5b2088f287"/>
    <b v="0"/>
  </r>
  <r>
    <n v="199"/>
    <s v="spotify:track:181yGUB8xEh4LfK8KhC4Wa"/>
    <x v="23"/>
    <s v="Siren sounds (bonus)"/>
    <s v="RCA Records Label"/>
    <n v="173"/>
    <n v="1"/>
    <d v="1899-12-30T02:48:00"/>
    <b v="0"/>
    <n v="41"/>
    <n v="68"/>
    <n v="90"/>
    <n v="4"/>
    <n v="1"/>
    <n v="0"/>
    <n v="29"/>
    <n v="14"/>
    <n v="138"/>
    <s v="Pop"/>
    <d v="2025-02-21T00:00:00"/>
    <s v="https://image-cdn-ak.spotifycdn.com/image/ab67616d00001e0281c06ae612adc448a9636365"/>
    <b v="0"/>
  </r>
  <r>
    <n v="200"/>
    <s v="spotify:track:18AMT576rBlQFMzUTS7WBa"/>
    <x v="203"/>
    <s v="THIS IS FOR"/>
    <s v="Republic Records - TWICE"/>
    <n v="125"/>
    <n v="2"/>
    <s v="03:05:00"/>
    <b v="0"/>
    <n v="76"/>
    <n v="78"/>
    <n v="76"/>
    <n v="6"/>
    <n v="15"/>
    <n v="0"/>
    <n v="13"/>
    <n v="68"/>
    <n v="120"/>
    <s v="K-Pop"/>
    <s v="11/7/2025"/>
    <s v="https://image-cdn-ak.spotifycdn.com/image/ab67616d00001e02393ae2f0bd79be4d87335d0a"/>
    <b v="0"/>
  </r>
  <r>
    <n v="201"/>
    <s v="spotify:track:18FN1Kz7KMF0ujN6ID4ans"/>
    <x v="56"/>
    <s v="A Little More"/>
    <s v="Gingerbread Man Records / Atlantic Records UK"/>
    <n v="199"/>
    <n v="1"/>
    <s v="03:12:00"/>
    <b v="0"/>
    <n v="62"/>
    <n v="46"/>
    <n v="70"/>
    <n v="4"/>
    <n v="58"/>
    <n v="0"/>
    <n v="13"/>
    <n v="47"/>
    <n v="94"/>
    <s v="Pop"/>
    <s v="12/9/2025"/>
    <s v="https://image-cdn-ak.spotifycdn.com/image/ab67616d00001e029d0de44b410a75bfe8ae7552"/>
    <b v="0"/>
  </r>
  <r>
    <n v="202"/>
    <s v="spotify:track:18uSfZqFBxQFi8CsXOIbhy"/>
    <x v="204"/>
    <s v="DJ Play A Christmas Song"/>
    <s v="Warner Records"/>
    <n v="81"/>
    <n v="2"/>
    <d v="1899-12-30T03:28:00"/>
    <b v="0"/>
    <n v="72"/>
    <n v="75"/>
    <n v="80"/>
    <n v="5"/>
    <n v="15"/>
    <n v="0"/>
    <n v="13"/>
    <n v="80"/>
    <n v="124"/>
    <s v="Christmas"/>
    <d v="2023-10-06T00:00:00"/>
    <s v="https://image-cdn-ak.spotifycdn.com/image/ab67616d00001e02f0ea030731a11fa6def90353"/>
    <b v="1"/>
  </r>
  <r>
    <n v="203"/>
    <s v="spotify:track:19GxfaRs5KdurzPKLVX3Cq"/>
    <x v="203"/>
    <s v="TAKEDOWN (JEONGYEON, JIHYO, CHAEYOUNG) - from the Netflix film KPop Demon Hunters"/>
    <s v="Republic Records - TWICE"/>
    <n v="52"/>
    <n v="18"/>
    <s v="03:05:00"/>
    <b v="0"/>
    <n v="80"/>
    <n v="82"/>
    <n v="76"/>
    <n v="7"/>
    <n v="12"/>
    <n v="0"/>
    <n v="15"/>
    <n v="74"/>
    <n v="128"/>
    <s v="K-Pop"/>
    <s v="20/6/2025"/>
    <s v="https://image-cdn-fa.spotifycdn.com/image/ab67616d00001e02acd4aef0360ae4307fa672ad"/>
    <b v="0"/>
  </r>
  <r>
    <n v="205"/>
    <s v="spotify:track:19UnXjpLshSLobPspdyxlD"/>
    <x v="141"/>
    <s v="Less than a Lover"/>
    <s v="OA Entertainment/Columbia"/>
    <n v="66"/>
    <n v="2"/>
    <d v="1899-12-30T03:08:00"/>
    <b v="0"/>
    <n v="68"/>
    <n v="65"/>
    <n v="77"/>
    <n v="7"/>
    <n v="25"/>
    <n v="0"/>
    <n v="11"/>
    <n v="52"/>
    <n v="100"/>
    <s v="Pop"/>
    <d v="2025-03-07T00:00:00"/>
    <s v="https://image-cdn-ak.spotifycdn.com/image/ab67616d00001e021568796289f10031724bc780"/>
    <b v="0"/>
  </r>
  <r>
    <n v="206"/>
    <s v="spotify:track:19XpFsce28aByvCC4g89tJ"/>
    <x v="205"/>
    <s v="Too Sweet"/>
    <s v="Rubyworks / Universal-Island Records Ltd"/>
    <n v="2"/>
    <n v="98"/>
    <d v="1899-12-30T04:11:00"/>
    <b v="0"/>
    <n v="74"/>
    <n v="64"/>
    <n v="91"/>
    <n v="4"/>
    <n v="4"/>
    <n v="0"/>
    <n v="4"/>
    <n v="96"/>
    <n v="117"/>
    <s v="Indie Folk"/>
    <d v="2024-03-15T00:00:00"/>
    <s v="https://image-cdn-fa.spotifycdn.com/image/ab67616d00001e02b07bd43d1bec442c7fcc4d1e"/>
    <b v="0"/>
  </r>
  <r>
    <n v="207"/>
    <s v="spotify:track:1AXsHbdIYx2OyKmdOcIL5T"/>
    <x v="206"/>
    <s v="PUNK ROCKY"/>
    <s v="A$AP Worldwide/RCA Records"/>
    <n v="171"/>
    <n v="2"/>
    <s v="03:18:00"/>
    <b v="1"/>
    <n v="70"/>
    <n v="72"/>
    <n v="74"/>
    <n v="12"/>
    <n v="15"/>
    <n v="1"/>
    <n v="18"/>
    <n v="49"/>
    <n v="144"/>
    <s v="Hip-Hop/Rap"/>
    <s v="27/6/2025"/>
    <s v="https://image-cdn-fa.spotifycdn.com/image/ab67616d00001e02be35d523672e13da3debc413"/>
    <b v="0"/>
  </r>
  <r>
    <n v="208"/>
    <s v="spotify:track:1B1maIpcMpPDZ8GT0WHT0V"/>
    <x v="22"/>
    <s v="Milagros"/>
    <s v="Bichota/Interscope Records"/>
    <n v="133"/>
    <n v="3"/>
    <s v="03:05:00"/>
    <b v="1"/>
    <n v="68"/>
    <n v="52"/>
    <n v="71"/>
    <n v="5"/>
    <n v="54"/>
    <n v="0"/>
    <n v="13"/>
    <n v="49"/>
    <n v="92"/>
    <s v="Reggaeton"/>
    <s v="6/6/2025"/>
    <s v="https://image-cdn-ak.spotifycdn.com/image/ab67616d00001e0258a5514e00fdaa0bf56bd848"/>
    <b v="0"/>
  </r>
  <r>
    <n v="209"/>
    <s v="spotify:track:1BDLD4c07q0bmq2VCRsXoE"/>
    <x v="11"/>
    <s v="I Ain't Comin' Back (feat. Post Malone)"/>
    <s v="Big Loud Records / Mercury Records / Republic Records"/>
    <n v="64"/>
    <n v="6"/>
    <s v="03:22:00"/>
    <b v="0"/>
    <n v="64"/>
    <n v="68"/>
    <n v="73"/>
    <n v="4"/>
    <n v="22"/>
    <n v="0"/>
    <n v="13"/>
    <n v="53"/>
    <n v="132"/>
    <s v="Country"/>
    <s v="16/5/2025"/>
    <s v="https://image-cdn-ak.spotifycdn.com/image/ab67616d00001e0235ea219ce47813b5e2dc3745"/>
    <b v="0"/>
  </r>
  <r>
    <n v="209"/>
    <s v="spotify:track:1BDLD4c07q0bmq2VCRsXoE"/>
    <x v="99"/>
    <s v="I Ain't Comin' Back (feat. Post Malone)"/>
    <s v="Big Loud Records / Mercury Records / Republic Records"/>
    <n v="64"/>
    <n v="6"/>
    <s v="03:22:00"/>
    <b v="0"/>
    <n v="64"/>
    <n v="68"/>
    <n v="73"/>
    <n v="4"/>
    <n v="22"/>
    <n v="0"/>
    <n v="13"/>
    <n v="53"/>
    <n v="132"/>
    <s v="Country"/>
    <s v="16/5/2025"/>
    <s v="https://image-cdn-ak.spotifycdn.com/image/ab67616d00001e0235ea219ce47813b5e2dc3745"/>
    <b v="0"/>
  </r>
  <r>
    <n v="210"/>
    <s v="spotify:track:1BJJbSX6muJVF2AK7uH1x4"/>
    <x v="207"/>
    <s v="Move"/>
    <s v="Keinemusik"/>
    <n v="19"/>
    <n v="40"/>
    <d v="1899-12-30T02:57:00"/>
    <b v="0"/>
    <n v="73"/>
    <n v="78"/>
    <n v="86"/>
    <n v="4"/>
    <n v="6"/>
    <n v="34"/>
    <n v="22"/>
    <n v="66"/>
    <n v="120"/>
    <s v="House"/>
    <d v="2024-05-17T00:00:00"/>
    <s v="https://image-cdn-fa.spotifycdn.com/image/ab67616d00001e02a959d221820e650bee1ca487"/>
    <b v="0"/>
  </r>
  <r>
    <n v="210"/>
    <s v="spotify:track:1BJJbSX6muJVF2AK7uH1x4"/>
    <x v="208"/>
    <s v="Move"/>
    <s v="Keinemusik"/>
    <n v="19"/>
    <n v="40"/>
    <d v="1899-12-30T02:57:00"/>
    <b v="0"/>
    <n v="73"/>
    <n v="78"/>
    <n v="86"/>
    <n v="4"/>
    <n v="6"/>
    <n v="34"/>
    <n v="22"/>
    <n v="66"/>
    <n v="120"/>
    <s v="House"/>
    <d v="2024-05-17T00:00:00"/>
    <s v="https://image-cdn-fa.spotifycdn.com/image/ab67616d00001e02a959d221820e650bee1ca487"/>
    <b v="0"/>
  </r>
  <r>
    <n v="210"/>
    <s v="spotify:track:1BJJbSX6muJVF2AK7uH1x4"/>
    <x v="209"/>
    <s v="Move"/>
    <s v="Keinemusik"/>
    <n v="19"/>
    <n v="40"/>
    <d v="1899-12-30T02:57:00"/>
    <b v="0"/>
    <n v="73"/>
    <n v="78"/>
    <n v="86"/>
    <n v="4"/>
    <n v="6"/>
    <n v="34"/>
    <n v="22"/>
    <n v="66"/>
    <n v="120"/>
    <s v="House"/>
    <d v="2024-05-17T00:00:00"/>
    <s v="https://image-cdn-fa.spotifycdn.com/image/ab67616d00001e02a959d221820e650bee1ca487"/>
    <b v="0"/>
  </r>
  <r>
    <n v="210"/>
    <s v="spotify:track:1BJJbSX6muJVF2AK7uH1x4"/>
    <x v="210"/>
    <s v="Move"/>
    <s v="Keinemusik"/>
    <n v="19"/>
    <n v="40"/>
    <d v="1899-12-30T02:57:00"/>
    <b v="0"/>
    <n v="73"/>
    <n v="78"/>
    <n v="86"/>
    <n v="4"/>
    <n v="6"/>
    <n v="34"/>
    <n v="22"/>
    <n v="66"/>
    <n v="120"/>
    <s v="House"/>
    <d v="2024-05-17T00:00:00"/>
    <s v="https://image-cdn-fa.spotifycdn.com/image/ab67616d00001e02a959d221820e650bee1ca487"/>
    <b v="0"/>
  </r>
  <r>
    <n v="210"/>
    <s v="spotify:track:1BJJbSX6muJVF2AK7uH1x4"/>
    <x v="211"/>
    <s v="Move"/>
    <s v="Keinemusik"/>
    <n v="19"/>
    <n v="40"/>
    <d v="1899-12-30T02:57:00"/>
    <b v="0"/>
    <n v="73"/>
    <n v="78"/>
    <n v="86"/>
    <n v="4"/>
    <n v="6"/>
    <n v="34"/>
    <n v="22"/>
    <n v="66"/>
    <n v="120"/>
    <s v="House"/>
    <d v="2024-05-17T00:00:00"/>
    <s v="https://image-cdn-fa.spotifycdn.com/image/ab67616d00001e02a959d221820e650bee1ca487"/>
    <b v="0"/>
  </r>
  <r>
    <n v="211"/>
    <s v="spotify:track:1BdI8NEvZx61tnkbuAxC5x"/>
    <x v="212"/>
    <s v="Joseph"/>
    <s v="Epitaph"/>
    <n v="94"/>
    <n v="1"/>
    <s v="04:05:00"/>
    <b v="0"/>
    <n v="48"/>
    <n v="88"/>
    <n v="78"/>
    <n v="9"/>
    <n v="4"/>
    <n v="1"/>
    <n v="24"/>
    <n v="35"/>
    <n v="160"/>
    <s v="Hard Rock"/>
    <s v="29/8/2025"/>
    <s v="https://image-cdn-fa.spotifycdn.com/image/ab67616d00001e02e0d59a881da7285757c1187f"/>
    <b v="0"/>
  </r>
  <r>
    <n v="211"/>
    <s v="spotify:track:1BdI8NEvZx61tnkbuAxC5x"/>
    <x v="213"/>
    <s v="Joseph"/>
    <s v="Epitaph"/>
    <n v="94"/>
    <n v="1"/>
    <s v="04:05:00"/>
    <b v="0"/>
    <n v="48"/>
    <n v="88"/>
    <n v="78"/>
    <n v="9"/>
    <n v="4"/>
    <n v="1"/>
    <n v="24"/>
    <n v="35"/>
    <n v="160"/>
    <s v="Hard Rock"/>
    <s v="29/8/2025"/>
    <s v="https://image-cdn-fa.spotifycdn.com/image/ab67616d00001e02e0d59a881da7285757c1187f"/>
    <b v="0"/>
  </r>
  <r>
    <n v="211"/>
    <s v="spotify:track:1BdI8NEvZx61tnkbuAxC5x"/>
    <x v="214"/>
    <s v="Joseph"/>
    <s v="Epitaph"/>
    <n v="94"/>
    <n v="1"/>
    <s v="04:05:00"/>
    <b v="0"/>
    <n v="48"/>
    <n v="88"/>
    <n v="78"/>
    <n v="9"/>
    <n v="4"/>
    <n v="1"/>
    <n v="24"/>
    <n v="35"/>
    <n v="160"/>
    <s v="Hard Rock"/>
    <s v="29/8/2025"/>
    <s v="https://image-cdn-fa.spotifycdn.com/image/ab67616d00001e02e0d59a881da7285757c1187f"/>
    <b v="0"/>
  </r>
  <r>
    <n v="212"/>
    <s v="spotify:track:1BxfuPKGuaTgP7aM0Bbdwr"/>
    <x v="19"/>
    <s v="Cruel Summer"/>
    <s v="Taylor Swift"/>
    <n v="2"/>
    <n v="145"/>
    <d v="1899-12-30T02:58:00"/>
    <b v="0"/>
    <n v="55"/>
    <n v="70"/>
    <n v="90"/>
    <n v="16"/>
    <n v="12"/>
    <n v="0"/>
    <n v="10"/>
    <n v="56"/>
    <n v="170"/>
    <s v="Pop"/>
    <d v="2019-08-23T00:00:00"/>
    <s v="https://image-cdn-ak.spotifycdn.com/image/ab67616d00001e02e787cffec20aa2a396a61647"/>
    <b v="0"/>
  </r>
  <r>
    <n v="213"/>
    <s v="spotify:track:1C7NXX8UJ6pgNx8EkmyZDd"/>
    <x v="215"/>
    <s v="si te pillara"/>
    <s v="5020 Records"/>
    <n v="78"/>
    <n v="17"/>
    <d v="1899-12-30T02:48:00"/>
    <b v="0"/>
    <n v="50"/>
    <n v="67"/>
    <n v="91"/>
    <n v="8"/>
    <n v="59"/>
    <n v="0"/>
    <n v="40"/>
    <n v="34"/>
    <n v="104"/>
    <s v="Reggaeton"/>
    <d v="2024-10-18T00:00:00"/>
    <s v="https://image-cdn-ak.spotifycdn.com/image/ab67616d00001e022feb67a486bcf117e7fb15b0"/>
    <b v="0"/>
  </r>
  <r>
    <n v="214"/>
    <s v="spotify:track:1C84d9abZVKWHT2YYpoean"/>
    <x v="216"/>
    <s v="Si No Quieres No"/>
    <s v="Kartel Music"/>
    <n v="28"/>
    <n v="31"/>
    <d v="1899-12-30T02:55:00"/>
    <b v="0"/>
    <n v="79"/>
    <n v="79"/>
    <n v="89"/>
    <n v="5"/>
    <n v="44"/>
    <n v="0"/>
    <n v="9"/>
    <n v="61"/>
    <n v="100"/>
    <s v="Regional Mexicano"/>
    <d v="2024-08-09T00:00:00"/>
    <s v="https://image-cdn-ak.spotifycdn.com/image/ab67616d00001e025c7365ca8cfaf7d80136c656"/>
    <b v="0"/>
  </r>
  <r>
    <n v="214"/>
    <s v="spotify:track:1C84d9abZVKWHT2YYpoean"/>
    <x v="30"/>
    <s v="Si No Quieres No"/>
    <s v="Kartel Music"/>
    <n v="28"/>
    <n v="31"/>
    <d v="1899-12-30T02:55:00"/>
    <b v="0"/>
    <n v="79"/>
    <n v="79"/>
    <n v="89"/>
    <n v="5"/>
    <n v="44"/>
    <n v="0"/>
    <n v="9"/>
    <n v="61"/>
    <n v="100"/>
    <s v="Regional Mexicano"/>
    <d v="2024-08-09T00:00:00"/>
    <s v="https://image-cdn-ak.spotifycdn.com/image/ab67616d00001e025c7365ca8cfaf7d80136c656"/>
    <b v="0"/>
  </r>
  <r>
    <n v="215"/>
    <s v="spotify:track:1CPZ5BxNNd0n0nF4Orb9JS"/>
    <x v="73"/>
    <s v="Golden"/>
    <s v="K-Pop Demon Hunters"/>
    <n v="1"/>
    <n v="67"/>
    <s v="03:14:00"/>
    <b v="0"/>
    <n v="72"/>
    <n v="64"/>
    <n v="72"/>
    <n v="6"/>
    <n v="31"/>
    <n v="0"/>
    <n v="13"/>
    <n v="58"/>
    <n v="110"/>
    <s v="K-Pop"/>
    <s v="20/6/2025"/>
    <s v="https://image-cdn-ak.spotifycdn.com/image/ab67616d00001e024dcb6c5df15cf74596ab25a4"/>
    <b v="0"/>
  </r>
  <r>
    <n v="215"/>
    <s v="spotify:track:1CPZ5BxNNd0n0nF4Orb9JS"/>
    <x v="74"/>
    <s v="Golden"/>
    <s v="K-Pop Demon Hunters"/>
    <n v="1"/>
    <n v="67"/>
    <s v="03:14:00"/>
    <b v="0"/>
    <n v="72"/>
    <n v="64"/>
    <n v="72"/>
    <n v="6"/>
    <n v="31"/>
    <n v="0"/>
    <n v="13"/>
    <n v="58"/>
    <n v="110"/>
    <s v="K-Pop"/>
    <s v="20/6/2025"/>
    <s v="https://image-cdn-ak.spotifycdn.com/image/ab67616d00001e024dcb6c5df15cf74596ab25a4"/>
    <b v="0"/>
  </r>
  <r>
    <n v="215"/>
    <s v="spotify:track:1CPZ5BxNNd0n0nF4Orb9JS"/>
    <x v="75"/>
    <s v="Golden"/>
    <s v="K-Pop Demon Hunters"/>
    <n v="1"/>
    <n v="67"/>
    <s v="03:14:00"/>
    <b v="0"/>
    <n v="72"/>
    <n v="64"/>
    <n v="72"/>
    <n v="6"/>
    <n v="31"/>
    <n v="0"/>
    <n v="13"/>
    <n v="58"/>
    <n v="110"/>
    <s v="K-Pop"/>
    <s v="20/6/2025"/>
    <s v="https://image-cdn-ak.spotifycdn.com/image/ab67616d00001e024dcb6c5df15cf74596ab25a4"/>
    <b v="0"/>
  </r>
  <r>
    <n v="215"/>
    <s v="spotify:track:1CPZ5BxNNd0n0nF4Orb9JS"/>
    <x v="15"/>
    <s v="Golden"/>
    <s v="K-Pop Demon Hunters"/>
    <n v="1"/>
    <n v="67"/>
    <s v="03:14:00"/>
    <b v="0"/>
    <n v="72"/>
    <n v="64"/>
    <n v="72"/>
    <n v="6"/>
    <n v="31"/>
    <n v="0"/>
    <n v="13"/>
    <n v="58"/>
    <n v="110"/>
    <s v="K-Pop"/>
    <s v="20/6/2025"/>
    <s v="https://image-cdn-ak.spotifycdn.com/image/ab67616d00001e024dcb6c5df15cf74596ab25a4"/>
    <b v="0"/>
  </r>
  <r>
    <n v="215"/>
    <s v="spotify:track:1CPZ5BxNNd0n0nF4Orb9JS"/>
    <x v="76"/>
    <s v="Golden"/>
    <s v="K-Pop Demon Hunters"/>
    <n v="1"/>
    <n v="67"/>
    <s v="03:14:00"/>
    <b v="0"/>
    <n v="72"/>
    <n v="64"/>
    <n v="72"/>
    <n v="6"/>
    <n v="31"/>
    <n v="0"/>
    <n v="13"/>
    <n v="58"/>
    <n v="110"/>
    <s v="K-Pop"/>
    <s v="20/6/2025"/>
    <s v="https://image-cdn-ak.spotifycdn.com/image/ab67616d00001e024dcb6c5df15cf74596ab25a4"/>
    <b v="0"/>
  </r>
  <r>
    <n v="216"/>
    <s v="spotify:track:1Cbl3Yq8rHo7hhDQmLQagU"/>
    <x v="217"/>
    <s v="PUSH 2 START"/>
    <s v="FAX Records/Epic"/>
    <n v="61"/>
    <n v="17"/>
    <d v="1899-12-30T02:28:00"/>
    <b v="0"/>
    <n v="68"/>
    <n v="81"/>
    <n v="94"/>
    <n v="5"/>
    <n v="28"/>
    <n v="1"/>
    <n v="9"/>
    <n v="76"/>
    <n v="93"/>
    <s v="Afrobeat"/>
    <d v="2024-10-11T00:00:00"/>
    <s v="https://image-cdn-ak.spotifycdn.com/image/ab67616d00001e02f6ed33df3c9e2fdb77f08170"/>
    <b v="0"/>
  </r>
  <r>
    <n v="217"/>
    <s v="spotify:track:1CgmY8fVN7kstVDZmsdM5k"/>
    <x v="38"/>
    <s v="P.Y.T. (Pretty Young Thing)"/>
    <s v="Epic"/>
    <n v="160"/>
    <n v="3"/>
    <d v="1899-12-30T03:58:00"/>
    <b v="0"/>
    <n v="89"/>
    <n v="67"/>
    <n v="84"/>
    <n v="5"/>
    <n v="17"/>
    <n v="0"/>
    <n v="7"/>
    <n v="96"/>
    <n v="127"/>
    <s v="Pop"/>
    <d v="1982-11-30T00:00:00"/>
    <s v="https://image-cdn-fa.spotifycdn.com/image/ab67616d00001e0232a7d87248d1b75463483df5"/>
    <b v="0"/>
  </r>
  <r>
    <n v="218"/>
    <s v="spotify:track:1D35BJlymlh6OLD75WupSF"/>
    <x v="218"/>
    <s v="Saiyaara (From &quot;Saiyaara&quot;)"/>
    <s v="YRF Music"/>
    <n v="6"/>
    <n v="8"/>
    <s v="04:28:00"/>
    <b v="0"/>
    <n v="62"/>
    <n v="48"/>
    <n v="70"/>
    <n v="5"/>
    <n v="59"/>
    <n v="0"/>
    <n v="12"/>
    <n v="40"/>
    <n v="105"/>
    <s v="Bollywood"/>
    <s v="18/7/2025"/>
    <s v="https://image-cdn-ak.spotifycdn.com/image/ab67616d00001e02a7e251b543c77a6ed356dfbe"/>
    <b v="0"/>
  </r>
  <r>
    <n v="218"/>
    <s v="spotify:track:1D35BJlymlh6OLD75WupSF"/>
    <x v="219"/>
    <s v="Saiyaara (From &quot;Saiyaara&quot;)"/>
    <s v="YRF Music"/>
    <n v="6"/>
    <n v="8"/>
    <s v="04:28:00"/>
    <b v="0"/>
    <n v="62"/>
    <n v="48"/>
    <n v="70"/>
    <n v="5"/>
    <n v="59"/>
    <n v="0"/>
    <n v="12"/>
    <n v="40"/>
    <n v="105"/>
    <s v="Bollywood"/>
    <s v="18/7/2025"/>
    <s v="https://image-cdn-ak.spotifycdn.com/image/ab67616d00001e02a7e251b543c77a6ed356dfbe"/>
    <b v="0"/>
  </r>
  <r>
    <n v="218"/>
    <s v="spotify:track:1D35BJlymlh6OLD75WupSF"/>
    <x v="89"/>
    <s v="Saiyaara (From &quot;Saiyaara&quot;)"/>
    <s v="YRF Music"/>
    <n v="6"/>
    <n v="8"/>
    <s v="04:28:00"/>
    <b v="0"/>
    <n v="62"/>
    <n v="48"/>
    <n v="70"/>
    <n v="5"/>
    <n v="59"/>
    <n v="0"/>
    <n v="12"/>
    <n v="40"/>
    <n v="105"/>
    <s v="Bollywood"/>
    <s v="18/7/2025"/>
    <s v="https://image-cdn-ak.spotifycdn.com/image/ab67616d00001e02a7e251b543c77a6ed356dfbe"/>
    <b v="0"/>
  </r>
  <r>
    <n v="218"/>
    <s v="spotify:track:1D35BJlymlh6OLD75WupSF"/>
    <x v="220"/>
    <s v="Saiyaara (From &quot;Saiyaara&quot;)"/>
    <s v="YRF Music"/>
    <n v="6"/>
    <n v="8"/>
    <s v="04:28:00"/>
    <b v="0"/>
    <n v="62"/>
    <n v="48"/>
    <n v="70"/>
    <n v="5"/>
    <n v="59"/>
    <n v="0"/>
    <n v="12"/>
    <n v="40"/>
    <n v="105"/>
    <s v="Bollywood"/>
    <s v="18/7/2025"/>
    <s v="https://image-cdn-ak.spotifycdn.com/image/ab67616d00001e02a7e251b543c77a6ed356dfbe"/>
    <b v="0"/>
  </r>
  <r>
    <n v="219"/>
    <s v="spotify:track:1DIXPcTDzTj8ZMHt3PDt8p"/>
    <x v="221"/>
    <s v="Gangsta's Paradise"/>
    <s v="Tommy Boy Music, LLC"/>
    <n v="40"/>
    <n v="112"/>
    <d v="1899-12-30T04:00:00"/>
    <b v="0"/>
    <n v="65"/>
    <n v="51"/>
    <n v="83"/>
    <n v="6"/>
    <n v="7"/>
    <n v="0"/>
    <n v="40"/>
    <n v="39"/>
    <n v="80"/>
    <s v="Hip-Hop/Rap"/>
    <d v="1995-08-01T00:00:00"/>
    <s v="https://image-cdn-ak.spotifycdn.com/image/ab67616d00001e027438996f6fe67c59d75d4e43"/>
    <b v="0"/>
  </r>
  <r>
    <n v="219"/>
    <s v="spotify:track:1DIXPcTDzTj8ZMHt3PDt8p"/>
    <x v="222"/>
    <s v="Gangsta's Paradise"/>
    <s v="Tommy Boy Music, LLC"/>
    <n v="40"/>
    <n v="112"/>
    <d v="1899-12-30T04:00:00"/>
    <b v="0"/>
    <n v="65"/>
    <n v="51"/>
    <n v="83"/>
    <n v="6"/>
    <n v="7"/>
    <n v="0"/>
    <n v="40"/>
    <n v="39"/>
    <n v="80"/>
    <s v="Hip-Hop/Rap"/>
    <d v="1995-08-01T00:00:00"/>
    <s v="https://image-cdn-ak.spotifycdn.com/image/ab67616d00001e027438996f6fe67c59d75d4e43"/>
    <b v="0"/>
  </r>
  <r>
    <n v="220"/>
    <s v="spotify:track:1DpC4L3JjsGRW7y6eTHaMj"/>
    <x v="166"/>
    <s v="Ojos Tristes (with The Marías)"/>
    <s v="SMG Music LLC &amp; Friends Keep Secrets under exclusive license to Interscope Records"/>
    <n v="63"/>
    <n v="6"/>
    <d v="1899-12-30T03:18:00"/>
    <b v="0"/>
    <n v="67"/>
    <n v="63"/>
    <n v="88"/>
    <n v="3"/>
    <n v="74"/>
    <n v="4"/>
    <n v="20"/>
    <n v="73"/>
    <n v="110"/>
    <s v="Pop"/>
    <d v="2025-03-21T00:00:00"/>
    <s v="https://image-cdn-fa.spotifycdn.com/image/ab67616d00001e0202479f0a8f30875dce4a35be"/>
    <b v="0"/>
  </r>
  <r>
    <n v="220"/>
    <s v="spotify:track:1DpC4L3JjsGRW7y6eTHaMj"/>
    <x v="223"/>
    <s v="Ojos Tristes (with The Marías)"/>
    <s v="SMG Music LLC &amp; Friends Keep Secrets under exclusive license to Interscope Records"/>
    <n v="63"/>
    <n v="6"/>
    <d v="1899-12-30T03:18:00"/>
    <b v="0"/>
    <n v="67"/>
    <n v="63"/>
    <n v="88"/>
    <n v="3"/>
    <n v="74"/>
    <n v="4"/>
    <n v="20"/>
    <n v="73"/>
    <n v="110"/>
    <s v="Pop"/>
    <d v="2025-03-21T00:00:00"/>
    <s v="https://image-cdn-fa.spotifycdn.com/image/ab67616d00001e0202479f0a8f30875dce4a35be"/>
    <b v="0"/>
  </r>
  <r>
    <n v="220"/>
    <s v="spotify:track:1DpC4L3JjsGRW7y6eTHaMj"/>
    <x v="64"/>
    <s v="Ojos Tristes (with The Marías)"/>
    <s v="SMG Music LLC &amp; Friends Keep Secrets under exclusive license to Interscope Records"/>
    <n v="63"/>
    <n v="6"/>
    <d v="1899-12-30T03:18:00"/>
    <b v="0"/>
    <n v="67"/>
    <n v="63"/>
    <n v="88"/>
    <n v="3"/>
    <n v="74"/>
    <n v="4"/>
    <n v="20"/>
    <n v="73"/>
    <n v="110"/>
    <s v="Pop"/>
    <d v="2025-03-21T00:00:00"/>
    <s v="https://image-cdn-fa.spotifycdn.com/image/ab67616d00001e0202479f0a8f30875dce4a35be"/>
    <b v="0"/>
  </r>
  <r>
    <n v="221"/>
    <s v="spotify:track:1DwscornXpj8fmOmYVlqZt"/>
    <x v="224"/>
    <s v="Stateside + Zara Larsson"/>
    <s v="Warner Records"/>
    <n v="2"/>
    <n v="38"/>
    <s v="02:48:00"/>
    <b v="0"/>
    <n v="79"/>
    <n v="71"/>
    <n v="74"/>
    <n v="6"/>
    <n v="14"/>
    <n v="0"/>
    <n v="12"/>
    <n v="75"/>
    <n v="132"/>
    <s v="Pop"/>
    <s v="15/8/2025"/>
    <s v="https://image-cdn-ak.spotifycdn.com/image/ab67616d00001e02684ecc5bc1b724d0106ad694"/>
    <b v="0"/>
  </r>
  <r>
    <n v="221"/>
    <s v="spotify:track:1DwscornXpj8fmOmYVlqZt"/>
    <x v="225"/>
    <s v="Stateside + Zara Larsson"/>
    <s v="Warner Records"/>
    <n v="2"/>
    <n v="38"/>
    <s v="02:48:00"/>
    <b v="0"/>
    <n v="79"/>
    <n v="71"/>
    <n v="74"/>
    <n v="6"/>
    <n v="14"/>
    <n v="0"/>
    <n v="12"/>
    <n v="75"/>
    <n v="132"/>
    <s v="Pop"/>
    <s v="15/8/2025"/>
    <s v="https://image-cdn-ak.spotifycdn.com/image/ab67616d00001e02684ecc5bc1b724d0106ad694"/>
    <b v="0"/>
  </r>
  <r>
    <n v="222"/>
    <s v="spotify:track:1E70pcxXiSQLtxdowVXkbM"/>
    <x v="166"/>
    <s v="Sunset Blvd"/>
    <s v="SMG Music LLC &amp; Friends Keep Secrets under exclusive license to Interscope Records"/>
    <n v="138"/>
    <n v="1"/>
    <d v="1899-12-30T03:05:00"/>
    <b v="0"/>
    <n v="42"/>
    <n v="68"/>
    <n v="93"/>
    <n v="6"/>
    <n v="30"/>
    <n v="0"/>
    <n v="64"/>
    <n v="50"/>
    <n v="67"/>
    <s v="Pop"/>
    <d v="2025-03-21T00:00:00"/>
    <s v="https://image-cdn-ak.spotifycdn.com/image/ab67616d00001e0202479f0a8f30875dce4a35be"/>
    <b v="0"/>
  </r>
  <r>
    <n v="222"/>
    <s v="spotify:track:1E70pcxXiSQLtxdowVXkbM"/>
    <x v="223"/>
    <s v="Sunset Blvd"/>
    <s v="SMG Music LLC &amp; Friends Keep Secrets under exclusive license to Interscope Records"/>
    <n v="138"/>
    <n v="1"/>
    <d v="1899-12-30T03:05:00"/>
    <b v="0"/>
    <n v="42"/>
    <n v="68"/>
    <n v="93"/>
    <n v="6"/>
    <n v="30"/>
    <n v="0"/>
    <n v="64"/>
    <n v="50"/>
    <n v="67"/>
    <s v="Pop"/>
    <d v="2025-03-21T00:00:00"/>
    <s v="https://image-cdn-ak.spotifycdn.com/image/ab67616d00001e0202479f0a8f30875dce4a35be"/>
    <b v="0"/>
  </r>
  <r>
    <n v="223"/>
    <s v="spotify:track:1E7zLPDdqo0OvzVmGj5aoV"/>
    <x v="226"/>
    <s v="Ada titik-titik di ujung doa"/>
    <s v="Orang Pertunjukan"/>
    <n v="109"/>
    <n v="9"/>
    <d v="1899-12-30T04:05:00"/>
    <b v="0"/>
    <n v="52"/>
    <n v="55"/>
    <n v="73"/>
    <n v="4"/>
    <n v="50"/>
    <n v="0"/>
    <n v="10"/>
    <n v="48"/>
    <n v="85"/>
    <s v="Indie Folk"/>
    <d v="2024-10-25T00:00:00"/>
    <s v="https://image-cdn-ak.spotifycdn.com/image/ab67616d00001e02686acaaa87bfc6ebb42b3bd2"/>
    <b v="0"/>
  </r>
  <r>
    <n v="224"/>
    <s v="spotify:track:1EDPVGbyPKJPeGqATwXZvN"/>
    <x v="227"/>
    <s v="The Emptiness Machine"/>
    <s v="Warner Records"/>
    <n v="6"/>
    <n v="28"/>
    <d v="1899-12-30T03:24:00"/>
    <b v="1"/>
    <n v="47"/>
    <n v="87"/>
    <n v="94"/>
    <n v="3"/>
    <n v="2"/>
    <n v="0"/>
    <n v="12"/>
    <n v="81"/>
    <n v="184"/>
    <s v="Alternative"/>
    <d v="2024-09-05T00:00:00"/>
    <s v="https://image-cdn-ak.spotifycdn.com/image/ab67616d00001e028be9eeb8f19696ef2fd3b6b4"/>
    <b v="0"/>
  </r>
  <r>
    <n v="226"/>
    <s v="spotify:track:1F6nHHDJyTHLgDDFj1ZZDt"/>
    <x v="53"/>
    <s v="SOMETHING ABOUT YOU"/>
    <s v="OVO Sound"/>
    <n v="109"/>
    <n v="1"/>
    <s v="03:28:00"/>
    <b v="1"/>
    <n v="72"/>
    <n v="54"/>
    <n v="71"/>
    <n v="9"/>
    <n v="39"/>
    <n v="0"/>
    <n v="10"/>
    <n v="44"/>
    <n v="100"/>
    <s v="R&amp;B"/>
    <s v="27/6/2025"/>
    <s v="https://image-cdn-ak.spotifycdn.com/image/ab67616d00001e02b5a28a256eae6dc0424fef59"/>
    <b v="0"/>
  </r>
  <r>
    <n v="226"/>
    <s v="spotify:track:1F6nHHDJyTHLgDDFj1ZZDt"/>
    <x v="54"/>
    <s v="SOMETHING ABOUT YOU"/>
    <s v="OVO Sound"/>
    <n v="109"/>
    <n v="1"/>
    <s v="03:28:00"/>
    <b v="1"/>
    <n v="72"/>
    <n v="54"/>
    <n v="71"/>
    <n v="9"/>
    <n v="39"/>
    <n v="0"/>
    <n v="10"/>
    <n v="44"/>
    <n v="100"/>
    <s v="R&amp;B"/>
    <s v="27/6/2025"/>
    <s v="https://image-cdn-ak.spotifycdn.com/image/ab67616d00001e02b5a28a256eae6dc0424fef59"/>
    <b v="0"/>
  </r>
  <r>
    <n v="227"/>
    <s v="spotify:track:1FEiijYPJtyswChfcpv3p0"/>
    <x v="228"/>
    <s v="Summertime Sadness"/>
    <s v="Polydor Records"/>
    <n v="83"/>
    <n v="172"/>
    <d v="1899-12-30T04:25:00"/>
    <b v="0"/>
    <n v="56"/>
    <n v="65"/>
    <n v="89"/>
    <n v="3"/>
    <n v="5"/>
    <n v="0"/>
    <n v="12"/>
    <n v="24"/>
    <n v="112"/>
    <s v="Dream Pop"/>
    <d v="2012-06-22T00:00:00"/>
    <s v="https://image-cdn-ak.spotifycdn.com/image/ab67616d00001e02959280fee07d485cb5b56fe7"/>
    <b v="0"/>
  </r>
  <r>
    <n v="228"/>
    <s v="spotify:track:1FsURdV1P2M3VCKdbTsZak"/>
    <x v="229"/>
    <s v="Gut Genug (mit Blumengarten &amp; Shirin David)"/>
    <s v="Four Music/SoulForce Records"/>
    <n v="148"/>
    <n v="2"/>
    <s v="02:48:00"/>
    <b v="0"/>
    <n v="73"/>
    <n v="52"/>
    <n v="71"/>
    <n v="6"/>
    <n v="48"/>
    <n v="0"/>
    <n v="12"/>
    <n v="54"/>
    <n v="98"/>
    <s v="Pop"/>
    <s v="12/6/2026"/>
    <s v="https://image-cdn-ak.spotifycdn.com/image/ab67616d00001e027c8ca044c71fda2957065c06"/>
    <b v="0"/>
  </r>
  <r>
    <n v="228"/>
    <s v="spotify:track:1FsURdV1P2M3VCKdbTsZak"/>
    <x v="230"/>
    <s v="Gut Genug (mit Blumengarten &amp; Shirin David)"/>
    <s v="Four Music/SoulForce Records"/>
    <n v="148"/>
    <n v="2"/>
    <s v="02:48:00"/>
    <b v="0"/>
    <n v="73"/>
    <n v="52"/>
    <n v="71"/>
    <n v="6"/>
    <n v="48"/>
    <n v="0"/>
    <n v="12"/>
    <n v="54"/>
    <n v="98"/>
    <s v="Pop"/>
    <s v="12/6/2026"/>
    <s v="https://image-cdn-ak.spotifycdn.com/image/ab67616d00001e027c8ca044c71fda2957065c06"/>
    <b v="0"/>
  </r>
  <r>
    <n v="228"/>
    <s v="spotify:track:1FsURdV1P2M3VCKdbTsZak"/>
    <x v="231"/>
    <s v="Gut Genug (mit Blumengarten &amp; Shirin David)"/>
    <s v="Four Music/SoulForce Records"/>
    <n v="148"/>
    <n v="2"/>
    <s v="02:48:00"/>
    <b v="0"/>
    <n v="73"/>
    <n v="52"/>
    <n v="71"/>
    <n v="6"/>
    <n v="48"/>
    <n v="0"/>
    <n v="12"/>
    <n v="54"/>
    <n v="98"/>
    <s v="Pop"/>
    <s v="12/6/2026"/>
    <s v="https://image-cdn-ak.spotifycdn.com/image/ab67616d00001e027c8ca044c71fda2957065c06"/>
    <b v="0"/>
  </r>
  <r>
    <n v="229"/>
    <s v="spotify:track:1G391cbiT3v3Cywg8T7DM1"/>
    <x v="232"/>
    <s v="Scar Tissue"/>
    <s v="Warner Records"/>
    <n v="194"/>
    <n v="1"/>
    <d v="1899-12-30T03:35:00"/>
    <b v="0"/>
    <n v="60"/>
    <n v="72"/>
    <n v="92"/>
    <n v="3"/>
    <n v="8"/>
    <n v="0"/>
    <n v="11"/>
    <n v="55"/>
    <n v="89"/>
    <s v="Alternative"/>
    <d v="1999-05-25T00:00:00"/>
    <s v="https://image-cdn-ak.spotifycdn.com/image/ab67616d00001e0294d08ab63e57b0cae74e8595"/>
    <b v="0"/>
  </r>
  <r>
    <n v="230"/>
    <s v="spotify:track:1GFQthxDi4Tqe3wJ5j0G5S"/>
    <x v="233"/>
    <s v="Dhun (From &quot;Saiyaara&quot;)"/>
    <s v="YRF Music"/>
    <n v="100"/>
    <n v="2"/>
    <s v="04:12:00"/>
    <b v="0"/>
    <n v="50"/>
    <n v="42"/>
    <n v="69"/>
    <n v="4"/>
    <n v="72"/>
    <n v="0"/>
    <n v="11"/>
    <n v="32"/>
    <n v="82"/>
    <s v="Bollywood"/>
    <s v="18/7/2025"/>
    <s v="https://image-cdn-ak.spotifycdn.com/image/ab67616d00001e02781faf59a3cb980fe3b493f8"/>
    <b v="0"/>
  </r>
  <r>
    <n v="230"/>
    <s v="spotify:track:1GFQthxDi4Tqe3wJ5j0G5S"/>
    <x v="234"/>
    <s v="Dhun (From &quot;Saiyaara&quot;)"/>
    <s v="YRF Music"/>
    <n v="100"/>
    <n v="2"/>
    <s v="04:12:00"/>
    <b v="0"/>
    <n v="50"/>
    <n v="42"/>
    <n v="69"/>
    <n v="4"/>
    <n v="72"/>
    <n v="0"/>
    <n v="11"/>
    <n v="32"/>
    <n v="82"/>
    <s v="Bollywood"/>
    <s v="18/7/2025"/>
    <s v="https://image-cdn-ak.spotifycdn.com/image/ab67616d00001e02781faf59a3cb980fe3b493f8"/>
    <b v="0"/>
  </r>
  <r>
    <n v="231"/>
    <s v="spotify:track:1GfRjLG3DivFZEr85b6k7G"/>
    <x v="235"/>
    <s v="CEREMONY"/>
    <s v="Republic Records - Stray Kids"/>
    <n v="60"/>
    <n v="2"/>
    <s v="03:05:00"/>
    <b v="0"/>
    <n v="78"/>
    <n v="83"/>
    <n v="76"/>
    <n v="9"/>
    <n v="10"/>
    <n v="0"/>
    <n v="18"/>
    <n v="74"/>
    <n v="135"/>
    <s v="K-Pop"/>
    <s v="22/8/2025"/>
    <s v="https://image-cdn-ak.spotifycdn.com/image/ab67616d00001e02e1bb8a1ad0a48eb7f53a448e"/>
    <b v="0"/>
  </r>
  <r>
    <n v="232"/>
    <s v="spotify:track:1HEwEN64NjgTaHmo7LfkX8"/>
    <x v="215"/>
    <s v="no tiene sentido"/>
    <s v="5020 Records"/>
    <n v="18"/>
    <n v="43"/>
    <d v="1899-12-30T02:55:00"/>
    <b v="0"/>
    <n v="67"/>
    <n v="60"/>
    <n v="87"/>
    <n v="6"/>
    <n v="9"/>
    <n v="0"/>
    <n v="12"/>
    <n v="50"/>
    <n v="122"/>
    <s v="Reggaeton"/>
    <d v="2024-09-20T00:00:00"/>
    <s v="https://image-cdn-ak.spotifycdn.com/image/ab67616d00001e022feb67a486bcf117e7fb15b0"/>
    <b v="0"/>
  </r>
  <r>
    <n v="233"/>
    <s v="spotify:track:1HJU78CRk4vxvjE5Cs1BCt"/>
    <x v="236"/>
    <s v="Vidrado Em Você"/>
    <s v="GR6 Music"/>
    <n v="166"/>
    <n v="4"/>
    <d v="1899-12-30T02:38:00"/>
    <b v="0"/>
    <n v="84"/>
    <n v="92"/>
    <n v="100"/>
    <n v="10"/>
    <n v="14"/>
    <n v="0"/>
    <n v="11"/>
    <n v="59"/>
    <n v="160"/>
    <s v="Funk Brasileiro"/>
    <d v="2025-03-14T00:00:00"/>
    <s v="https://image-cdn-ak.spotifycdn.com/image/ab67616d00001e0229973cb046d5ba20621bea36"/>
    <b v="0"/>
  </r>
  <r>
    <n v="233"/>
    <s v="spotify:track:1HJU78CRk4vxvjE5Cs1BCt"/>
    <x v="237"/>
    <s v="Vidrado Em Você"/>
    <s v="GR6 Music"/>
    <n v="166"/>
    <n v="4"/>
    <d v="1899-12-30T02:38:00"/>
    <b v="0"/>
    <n v="84"/>
    <n v="92"/>
    <n v="100"/>
    <n v="10"/>
    <n v="14"/>
    <n v="0"/>
    <n v="11"/>
    <n v="59"/>
    <n v="160"/>
    <s v="Funk Brasileiro"/>
    <d v="2025-03-14T00:00:00"/>
    <s v="https://image-cdn-ak.spotifycdn.com/image/ab67616d00001e0229973cb046d5ba20621bea36"/>
    <b v="0"/>
  </r>
  <r>
    <n v="234"/>
    <s v="spotify:track:1Hg0e997pObvZ91w1FCPFk"/>
    <x v="103"/>
    <s v="LO QUE LE PASÓ A HAWAii"/>
    <s v="Rimas Entertainment LLC."/>
    <n v="51"/>
    <n v="5"/>
    <d v="1899-12-30T03:18:00"/>
    <b v="0"/>
    <n v="9"/>
    <n v="0"/>
    <n v="9"/>
    <n v="6"/>
    <n v="25"/>
    <n v="0"/>
    <n v="24"/>
    <n v="7"/>
    <n v="83"/>
    <s v="Reggaeton"/>
    <d v="2025-01-05T00:00:00"/>
    <s v="https://image-cdn-fa.spotifycdn.com/image/ab67616d00001e02bbd45c8d36e0e045ef640411"/>
    <b v="0"/>
  </r>
  <r>
    <n v="235"/>
    <s v="spotify:track:1I37Zz2g3hk9eWxaNkj031"/>
    <x v="12"/>
    <s v="Your Idol"/>
    <s v="K-Pop Demon Hunters"/>
    <n v="4"/>
    <n v="28"/>
    <s v="03:08:00"/>
    <b v="0"/>
    <n v="76"/>
    <n v="70"/>
    <n v="74"/>
    <n v="8"/>
    <n v="18"/>
    <n v="0"/>
    <n v="11"/>
    <n v="67"/>
    <n v="118"/>
    <s v="K-Pop"/>
    <s v="20/6/2025"/>
    <s v="https://image-cdn-ak.spotifycdn.com/image/ab67616d00001e024dcb6c5df15cf74596ab25a4"/>
    <b v="0"/>
  </r>
  <r>
    <n v="235"/>
    <s v="spotify:track:1I37Zz2g3hk9eWxaNkj031"/>
    <x v="13"/>
    <s v="Your Idol"/>
    <s v="K-Pop Demon Hunters"/>
    <n v="4"/>
    <n v="28"/>
    <s v="03:08:00"/>
    <b v="0"/>
    <n v="76"/>
    <n v="70"/>
    <n v="74"/>
    <n v="8"/>
    <n v="18"/>
    <n v="0"/>
    <n v="11"/>
    <n v="67"/>
    <n v="118"/>
    <s v="K-Pop"/>
    <s v="20/6/2025"/>
    <s v="https://image-cdn-ak.spotifycdn.com/image/ab67616d00001e024dcb6c5df15cf74596ab25a4"/>
    <b v="0"/>
  </r>
  <r>
    <n v="235"/>
    <s v="spotify:track:1I37Zz2g3hk9eWxaNkj031"/>
    <x v="14"/>
    <s v="Your Idol"/>
    <s v="K-Pop Demon Hunters"/>
    <n v="4"/>
    <n v="28"/>
    <s v="03:08:00"/>
    <b v="0"/>
    <n v="76"/>
    <n v="70"/>
    <n v="74"/>
    <n v="8"/>
    <n v="18"/>
    <n v="0"/>
    <n v="11"/>
    <n v="67"/>
    <n v="118"/>
    <s v="K-Pop"/>
    <s v="20/6/2025"/>
    <s v="https://image-cdn-ak.spotifycdn.com/image/ab67616d00001e024dcb6c5df15cf74596ab25a4"/>
    <b v="0"/>
  </r>
  <r>
    <n v="235"/>
    <s v="spotify:track:1I37Zz2g3hk9eWxaNkj031"/>
    <x v="15"/>
    <s v="Your Idol"/>
    <s v="K-Pop Demon Hunters"/>
    <n v="4"/>
    <n v="28"/>
    <s v="03:08:00"/>
    <b v="0"/>
    <n v="76"/>
    <n v="70"/>
    <n v="74"/>
    <n v="8"/>
    <n v="18"/>
    <n v="0"/>
    <n v="11"/>
    <n v="67"/>
    <n v="118"/>
    <s v="K-Pop"/>
    <s v="20/6/2025"/>
    <s v="https://image-cdn-ak.spotifycdn.com/image/ab67616d00001e024dcb6c5df15cf74596ab25a4"/>
    <b v="0"/>
  </r>
  <r>
    <n v="235"/>
    <s v="spotify:track:1I37Zz2g3hk9eWxaNkj031"/>
    <x v="16"/>
    <s v="Your Idol"/>
    <s v="K-Pop Demon Hunters"/>
    <n v="4"/>
    <n v="28"/>
    <s v="03:08:00"/>
    <b v="0"/>
    <n v="76"/>
    <n v="70"/>
    <n v="74"/>
    <n v="8"/>
    <n v="18"/>
    <n v="0"/>
    <n v="11"/>
    <n v="67"/>
    <n v="118"/>
    <s v="K-Pop"/>
    <s v="20/6/2025"/>
    <s v="https://image-cdn-ak.spotifycdn.com/image/ab67616d00001e024dcb6c5df15cf74596ab25a4"/>
    <b v="0"/>
  </r>
  <r>
    <n v="235"/>
    <s v="spotify:track:1I37Zz2g3hk9eWxaNkj031"/>
    <x v="17"/>
    <s v="Your Idol"/>
    <s v="K-Pop Demon Hunters"/>
    <n v="4"/>
    <n v="28"/>
    <s v="03:08:00"/>
    <b v="0"/>
    <n v="76"/>
    <n v="70"/>
    <n v="74"/>
    <n v="8"/>
    <n v="18"/>
    <n v="0"/>
    <n v="11"/>
    <n v="67"/>
    <n v="118"/>
    <s v="K-Pop"/>
    <s v="20/6/2025"/>
    <s v="https://image-cdn-ak.spotifycdn.com/image/ab67616d00001e024dcb6c5df15cf74596ab25a4"/>
    <b v="0"/>
  </r>
  <r>
    <n v="235"/>
    <s v="spotify:track:1I37Zz2g3hk9eWxaNkj031"/>
    <x v="18"/>
    <s v="Your Idol"/>
    <s v="K-Pop Demon Hunters"/>
    <n v="4"/>
    <n v="28"/>
    <s v="03:08:00"/>
    <b v="0"/>
    <n v="76"/>
    <n v="70"/>
    <n v="74"/>
    <n v="8"/>
    <n v="18"/>
    <n v="0"/>
    <n v="11"/>
    <n v="67"/>
    <n v="118"/>
    <s v="K-Pop"/>
    <s v="20/6/2025"/>
    <s v="https://image-cdn-ak.spotifycdn.com/image/ab67616d00001e024dcb6c5df15cf74596ab25a4"/>
    <b v="0"/>
  </r>
  <r>
    <n v="236"/>
    <s v="spotify:track:1IF3hx6HU46Pitm0dOdVJO"/>
    <x v="238"/>
    <s v="Stop Playing With Me"/>
    <s v="Columbia"/>
    <n v="107"/>
    <n v="1"/>
    <s v="03:05:00"/>
    <b v="1"/>
    <n v="75"/>
    <n v="65"/>
    <n v="73"/>
    <n v="24"/>
    <n v="26"/>
    <n v="0"/>
    <n v="14"/>
    <n v="53"/>
    <n v="95"/>
    <s v="Hip-Hop/Rap"/>
    <s v="18/7/2025"/>
    <s v="https://image-cdn-fa.spotifycdn.com/image/ab67616d00001e024b7fbb849ed845ddedcce346"/>
    <b v="0"/>
  </r>
  <r>
    <n v="237"/>
    <s v="spotify:track:1IHWl5LamUGEuP4ozKQSXZ"/>
    <x v="103"/>
    <s v="Tití Me Preguntó"/>
    <s v="Rimas Entertainment LLC."/>
    <n v="4"/>
    <n v="91"/>
    <d v="1899-12-30T04:03:00"/>
    <b v="1"/>
    <n v="65"/>
    <n v="72"/>
    <n v="91"/>
    <n v="25"/>
    <n v="10"/>
    <n v="0"/>
    <n v="13"/>
    <n v="19"/>
    <n v="107"/>
    <s v="Reggaeton"/>
    <d v="2022-05-06T00:00:00"/>
    <s v="https://image-cdn-ak.spotifycdn.com/image/ab67616d00001e0249d694203245f241a1bcaa72"/>
    <b v="0"/>
  </r>
  <r>
    <n v="238"/>
    <s v="spotify:track:1IcR6RlgvDczfvoWJSSY2A"/>
    <x v="239"/>
    <s v="It's the Most Wonderful Time of the Year"/>
    <s v="Columbia"/>
    <n v="7"/>
    <n v="52"/>
    <d v="1899-12-30T02:46:00"/>
    <b v="0"/>
    <n v="60"/>
    <n v="62"/>
    <n v="77"/>
    <n v="4"/>
    <n v="40"/>
    <n v="0"/>
    <n v="15"/>
    <n v="82"/>
    <n v="125"/>
    <s v="Christmas"/>
    <d v="1963-10-14T00:00:00"/>
    <s v="https://image-cdn-ak.spotifycdn.com/image/ab67616d00001e02585897779cf3591ba0f07650"/>
    <b v="1"/>
  </r>
  <r>
    <n v="240"/>
    <s v="spotify:track:1JSTJqkT5qHq8MDJnJbRE1"/>
    <x v="240"/>
    <s v="Every Breath You Take"/>
    <s v="Polydor Records"/>
    <n v="8"/>
    <n v="251"/>
    <d v="1899-12-30T04:13:00"/>
    <b v="0"/>
    <n v="82"/>
    <n v="45"/>
    <n v="84"/>
    <n v="3"/>
    <n v="54"/>
    <n v="0"/>
    <n v="7"/>
    <n v="74"/>
    <n v="117"/>
    <s v="Pop Rock"/>
    <d v="1983-05-20T00:00:00"/>
    <s v="https://image-cdn-ak.spotifycdn.com/image/ab67616d00001e02c8e97cafeb2acb85b21a777e"/>
    <b v="0"/>
  </r>
  <r>
    <n v="241"/>
    <s v="spotify:track:1JUmsSEfVwhdJCVBG83XGU"/>
    <x v="241"/>
    <s v="SEQUÊNCIA FEITICEIRA"/>
    <s v="WM Brazil"/>
    <n v="163"/>
    <n v="7"/>
    <d v="1899-12-30T02:28:00"/>
    <b v="1"/>
    <n v="85"/>
    <n v="82"/>
    <n v="82"/>
    <n v="16"/>
    <n v="5"/>
    <n v="0"/>
    <n v="15"/>
    <n v="72"/>
    <n v="130"/>
    <s v="Funk Brasileiro"/>
    <d v="2025-04-11T00:00:00"/>
    <s v="https://image-cdn-ak.spotifycdn.com/image/ab67616d00001e02cb98f69e53e890fd816e81f2"/>
    <b v="0"/>
  </r>
  <r>
    <n v="241"/>
    <s v="spotify:track:1JUmsSEfVwhdJCVBG83XGU"/>
    <x v="242"/>
    <s v="SEQUÊNCIA FEITICEIRA"/>
    <s v="WM Brazil"/>
    <n v="163"/>
    <n v="7"/>
    <d v="1899-12-30T02:28:00"/>
    <b v="1"/>
    <n v="85"/>
    <n v="82"/>
    <n v="82"/>
    <n v="16"/>
    <n v="5"/>
    <n v="0"/>
    <n v="15"/>
    <n v="72"/>
    <n v="130"/>
    <s v="Funk Brasileiro"/>
    <d v="2025-04-11T00:00:00"/>
    <s v="https://image-cdn-ak.spotifycdn.com/image/ab67616d00001e02cb98f69e53e890fd816e81f2"/>
    <b v="0"/>
  </r>
  <r>
    <n v="241"/>
    <s v="spotify:track:1JUmsSEfVwhdJCVBG83XGU"/>
    <x v="243"/>
    <s v="SEQUÊNCIA FEITICEIRA"/>
    <s v="WM Brazil"/>
    <n v="163"/>
    <n v="7"/>
    <d v="1899-12-30T02:28:00"/>
    <b v="1"/>
    <n v="85"/>
    <n v="82"/>
    <n v="82"/>
    <n v="16"/>
    <n v="5"/>
    <n v="0"/>
    <n v="15"/>
    <n v="72"/>
    <n v="130"/>
    <s v="Funk Brasileiro"/>
    <d v="2025-04-11T00:00:00"/>
    <s v="https://image-cdn-ak.spotifycdn.com/image/ab67616d00001e02cb98f69e53e890fd816e81f2"/>
    <b v="0"/>
  </r>
  <r>
    <n v="241"/>
    <s v="spotify:track:1JUmsSEfVwhdJCVBG83XGU"/>
    <x v="44"/>
    <s v="SEQUÊNCIA FEITICEIRA"/>
    <s v="WM Brazil"/>
    <n v="163"/>
    <n v="7"/>
    <d v="1899-12-30T02:28:00"/>
    <b v="1"/>
    <n v="85"/>
    <n v="82"/>
    <n v="82"/>
    <n v="16"/>
    <n v="5"/>
    <n v="0"/>
    <n v="15"/>
    <n v="72"/>
    <n v="130"/>
    <s v="Funk Brasileiro"/>
    <d v="2025-04-11T00:00:00"/>
    <s v="https://image-cdn-ak.spotifycdn.com/image/ab67616d00001e02cb98f69e53e890fd816e81f2"/>
    <b v="0"/>
  </r>
  <r>
    <n v="241"/>
    <s v="spotify:track:1JUmsSEfVwhdJCVBG83XGU"/>
    <x v="244"/>
    <s v="SEQUÊNCIA FEITICEIRA"/>
    <s v="WM Brazil"/>
    <n v="163"/>
    <n v="7"/>
    <d v="1899-12-30T02:28:00"/>
    <b v="1"/>
    <n v="85"/>
    <n v="82"/>
    <n v="82"/>
    <n v="16"/>
    <n v="5"/>
    <n v="0"/>
    <n v="15"/>
    <n v="72"/>
    <n v="130"/>
    <s v="Funk Brasileiro"/>
    <d v="2025-04-11T00:00:00"/>
    <s v="https://image-cdn-ak.spotifycdn.com/image/ab67616d00001e02cb98f69e53e890fd816e81f2"/>
    <b v="0"/>
  </r>
  <r>
    <n v="242"/>
    <s v="spotify:track:1JjHQ4lfAjbDq7wmOmH9wM"/>
    <x v="245"/>
    <s v="Shabab(e)s im VIP"/>
    <s v="Urban"/>
    <n v="160"/>
    <n v="1"/>
    <d v="1899-12-30T02:55:00"/>
    <b v="1"/>
    <n v="72"/>
    <n v="75"/>
    <n v="79"/>
    <n v="14"/>
    <n v="10"/>
    <n v="0"/>
    <n v="12"/>
    <n v="55"/>
    <n v="120"/>
    <s v="German Rap"/>
    <d v="2025-05-16T00:00:00"/>
    <s v="https://image-cdn-ak.spotifycdn.com/image/ab67616d00001e029edf8855e6b1b876281d65f1"/>
    <b v="0"/>
  </r>
  <r>
    <n v="242"/>
    <s v="spotify:track:1JjHQ4lfAjbDq7wmOmH9wM"/>
    <x v="246"/>
    <s v="Shabab(e)s im VIP"/>
    <s v="Urban"/>
    <n v="160"/>
    <n v="1"/>
    <d v="1899-12-30T02:55:00"/>
    <b v="1"/>
    <n v="72"/>
    <n v="75"/>
    <n v="79"/>
    <n v="14"/>
    <n v="10"/>
    <n v="0"/>
    <n v="12"/>
    <n v="55"/>
    <n v="120"/>
    <s v="German Rap"/>
    <d v="2025-05-16T00:00:00"/>
    <s v="https://image-cdn-ak.spotifycdn.com/image/ab67616d00001e029edf8855e6b1b876281d65f1"/>
    <b v="0"/>
  </r>
  <r>
    <n v="243"/>
    <s v="spotify:track:1Jo0Zg7XlrA6z0mFTZVdkn"/>
    <x v="110"/>
    <s v="Don't Stop The Music"/>
    <s v="Def Jam Recordings"/>
    <n v="60"/>
    <n v="49"/>
    <d v="1899-12-30T04:27:00"/>
    <b v="0"/>
    <n v="83"/>
    <n v="67"/>
    <n v="91"/>
    <n v="6"/>
    <n v="3"/>
    <n v="0"/>
    <n v="5"/>
    <n v="55"/>
    <n v="123"/>
    <s v="Dance Pop"/>
    <d v="2007-06-01T00:00:00"/>
    <s v="https://image-cdn-ak.spotifycdn.com/image/ab67616d00001e02b9ff0a5f40d3406aed5e5e3b"/>
    <b v="0"/>
  </r>
  <r>
    <n v="244"/>
    <s v="spotify:track:1KGi9sZVMeszgZOWivFpxs"/>
    <x v="247"/>
    <s v="No Scrubs"/>
    <s v="Arista/LaFace Records"/>
    <n v="55"/>
    <n v="4"/>
    <d v="1899-12-30T03:34:00"/>
    <b v="0"/>
    <n v="74"/>
    <n v="68"/>
    <n v="93"/>
    <n v="10"/>
    <n v="3"/>
    <n v="0"/>
    <n v="7"/>
    <n v="59"/>
    <n v="93"/>
    <s v="R&amp;B"/>
    <d v="1999-02-02T00:00:00"/>
    <s v="https://image-cdn-fa.spotifycdn.com/image/ab67616d00001e0261ffafd5e31a37336531cf95"/>
    <b v="0"/>
  </r>
  <r>
    <n v="245"/>
    <s v="spotify:track:1KZG1H1OCugGqIRmk1wF9m"/>
    <x v="248"/>
    <s v="Indigo (feat. Avery Anna)"/>
    <s v="Lockeland Springs/Atlantic"/>
    <n v="168"/>
    <n v="4"/>
    <d v="1899-12-30T03:05:00"/>
    <b v="0"/>
    <n v="50"/>
    <n v="33"/>
    <n v="83"/>
    <n v="3"/>
    <n v="46"/>
    <n v="0"/>
    <n v="10"/>
    <n v="10"/>
    <n v="83"/>
    <s v="Country"/>
    <d v="2025-02-28T00:00:00"/>
    <s v="https://image-cdn-fa.spotifycdn.com/image/ab67616d00001e02294c76aa576e98529e4a3bb2"/>
    <b v="0"/>
  </r>
  <r>
    <n v="245"/>
    <s v="spotify:track:1KZG1H1OCugGqIRmk1wF9m"/>
    <x v="249"/>
    <s v="Indigo (feat. Avery Anna)"/>
    <s v="Lockeland Springs/Atlantic"/>
    <n v="168"/>
    <n v="4"/>
    <d v="1899-12-30T03:05:00"/>
    <b v="0"/>
    <n v="50"/>
    <n v="33"/>
    <n v="83"/>
    <n v="3"/>
    <n v="46"/>
    <n v="0"/>
    <n v="10"/>
    <n v="10"/>
    <n v="83"/>
    <s v="Country"/>
    <d v="2025-02-28T00:00:00"/>
    <s v="https://image-cdn-fa.spotifycdn.com/image/ab67616d00001e02294c76aa576e98529e4a3bb2"/>
    <b v="0"/>
  </r>
  <r>
    <n v="246"/>
    <s v="spotify:track:1LFM6gtGwcTe8CXX6y1IK2"/>
    <x v="147"/>
    <s v="Mundo Nuevo"/>
    <s v="Columbia"/>
    <n v="143"/>
    <n v="1"/>
    <s v="03:12:00"/>
    <b v="0"/>
    <n v="68"/>
    <n v="58"/>
    <n v="71"/>
    <n v="6"/>
    <n v="38"/>
    <n v="0"/>
    <n v="11"/>
    <n v="52"/>
    <n v="110"/>
    <s v="Flamenco"/>
    <s v="7/11/2025"/>
    <s v="https://image-cdn-ak.spotifycdn.com/image/ab67616d00001e0293ee2e2f2dfb7de9befcc164"/>
    <b v="0"/>
  </r>
  <r>
    <n v="247"/>
    <s v="spotify:track:1LzNfuep1bnAUR9skqdHCK"/>
    <x v="250"/>
    <s v="Fade Into You"/>
    <s v="Capitol Records"/>
    <n v="105"/>
    <n v="8"/>
    <d v="1899-12-30T04:55:00"/>
    <b v="0"/>
    <n v="42"/>
    <n v="33"/>
    <n v="77"/>
    <n v="3"/>
    <n v="25"/>
    <n v="0"/>
    <n v="7"/>
    <n v="18"/>
    <n v="157"/>
    <s v="Dream Pop"/>
    <d v="1993-09-07T00:00:00"/>
    <s v="https://image-cdn-fa.spotifycdn.com/image/ab67616d00001e0289a392107ebd79818022b3ea"/>
    <b v="0"/>
  </r>
  <r>
    <n v="248"/>
    <s v="spotify:track:1MPs1qa830QkHuyAOnaRqe"/>
    <x v="84"/>
    <s v="OJITOS MENTIROSOS"/>
    <s v="Streetmob Records"/>
    <n v="51"/>
    <n v="4"/>
    <d v="1899-12-30T02:55:00"/>
    <b v="1"/>
    <n v="78"/>
    <n v="74"/>
    <n v="80"/>
    <n v="10"/>
    <n v="15"/>
    <n v="0"/>
    <n v="12"/>
    <n v="58"/>
    <n v="108"/>
    <s v="Regional Mexicano"/>
    <d v="2025-05-09T00:00:00"/>
    <s v="https://image-cdn-ak.spotifycdn.com/image/ab67616d00001e025b39691fe091d0d9070bc6ab"/>
    <b v="0"/>
  </r>
  <r>
    <n v="249"/>
    <s v="spotify:track:1MhXchY126AX5Iuv4Odbe8"/>
    <x v="7"/>
    <s v="LV Bag (feat. j-hope of BTS &amp; Pharrell Williams)"/>
    <s v="Cactus Jack / Atlantic"/>
    <n v="45"/>
    <n v="3"/>
    <d v="1899-12-30T03:28:00"/>
    <b v="1"/>
    <n v="77"/>
    <n v="53"/>
    <n v="88"/>
    <n v="3"/>
    <n v="2"/>
    <n v="0"/>
    <n v="4"/>
    <n v="31"/>
    <n v="122"/>
    <s v="Hip-Hop/Rap"/>
    <d v="2025-05-16T00:00:00"/>
    <s v="https://image-cdn-ak.spotifycdn.com/image/ab67616d00001e028e53d91ae9735b67c78c8c3f"/>
    <b v="0"/>
  </r>
  <r>
    <n v="249"/>
    <s v="spotify:track:1MhXchY126AX5Iuv4Odbe8"/>
    <x v="251"/>
    <s v="LV Bag (feat. j-hope of BTS &amp; Pharrell Williams)"/>
    <s v="Cactus Jack / Atlantic"/>
    <n v="45"/>
    <n v="3"/>
    <d v="1899-12-30T03:28:00"/>
    <b v="1"/>
    <n v="77"/>
    <n v="53"/>
    <n v="88"/>
    <n v="3"/>
    <n v="2"/>
    <n v="0"/>
    <n v="4"/>
    <n v="31"/>
    <n v="122"/>
    <s v="Hip-Hop/Rap"/>
    <d v="2025-05-16T00:00:00"/>
    <s v="https://image-cdn-ak.spotifycdn.com/image/ab67616d00001e028e53d91ae9735b67c78c8c3f"/>
    <b v="0"/>
  </r>
  <r>
    <n v="249"/>
    <s v="spotify:track:1MhXchY126AX5Iuv4Odbe8"/>
    <x v="252"/>
    <s v="LV Bag (feat. j-hope of BTS &amp; Pharrell Williams)"/>
    <s v="Cactus Jack / Atlantic"/>
    <n v="45"/>
    <n v="3"/>
    <d v="1899-12-30T03:28:00"/>
    <b v="1"/>
    <n v="77"/>
    <n v="53"/>
    <n v="88"/>
    <n v="3"/>
    <n v="2"/>
    <n v="0"/>
    <n v="4"/>
    <n v="31"/>
    <n v="122"/>
    <s v="Hip-Hop/Rap"/>
    <d v="2025-05-16T00:00:00"/>
    <s v="https://image-cdn-ak.spotifycdn.com/image/ab67616d00001e028e53d91ae9735b67c78c8c3f"/>
    <b v="0"/>
  </r>
  <r>
    <n v="249"/>
    <s v="spotify:track:1MhXchY126AX5Iuv4Odbe8"/>
    <x v="253"/>
    <s v="LV Bag (feat. j-hope of BTS &amp; Pharrell Williams)"/>
    <s v="Cactus Jack / Atlantic"/>
    <n v="45"/>
    <n v="3"/>
    <d v="1899-12-30T03:28:00"/>
    <b v="1"/>
    <n v="77"/>
    <n v="53"/>
    <n v="88"/>
    <n v="3"/>
    <n v="2"/>
    <n v="0"/>
    <n v="4"/>
    <n v="31"/>
    <n v="122"/>
    <s v="Hip-Hop/Rap"/>
    <d v="2025-05-16T00:00:00"/>
    <s v="https://image-cdn-ak.spotifycdn.com/image/ab67616d00001e028e53d91ae9735b67c78c8c3f"/>
    <b v="0"/>
  </r>
  <r>
    <n v="250"/>
    <s v="spotify:track:1N1ZpYUJc9fwrqk53FGgWv"/>
    <x v="156"/>
    <s v="Santa's Coming for Us"/>
    <s v="Monkey Puzzle/Atlantic"/>
    <n v="71"/>
    <n v="14"/>
    <d v="1899-12-30T03:25:00"/>
    <b v="0"/>
    <n v="68"/>
    <n v="72"/>
    <n v="78"/>
    <n v="5"/>
    <n v="25"/>
    <n v="0"/>
    <n v="13"/>
    <n v="80"/>
    <n v="122"/>
    <s v="Christmas"/>
    <d v="2017-10-13T00:00:00"/>
    <s v="https://image-cdn-ak.spotifycdn.com/image/ab67616d00001e02a75e532b61dac3ddafd022ef"/>
    <b v="1"/>
  </r>
  <r>
    <n v="251"/>
    <s v="spotify:track:1NXbNEAcPvY5G1xvfN57aA"/>
    <x v="254"/>
    <s v="Dracula"/>
    <s v="Columbia"/>
    <n v="35"/>
    <n v="45"/>
    <s v="04:05:00"/>
    <b v="0"/>
    <n v="73"/>
    <n v="70"/>
    <n v="73"/>
    <n v="5"/>
    <n v="22"/>
    <n v="2"/>
    <n v="11"/>
    <n v="63"/>
    <n v="120"/>
    <s v="Psychedelic Pop"/>
    <s v="22/8/2025"/>
    <s v="https://image-cdn-ak.spotifycdn.com/image/ab67616d00001e02208500450dcd0fd294d7bd3b"/>
    <b v="0"/>
  </r>
  <r>
    <n v="252"/>
    <s v="spotify:track:1NaSrCqTnZdlusQ82SJhGN"/>
    <x v="255"/>
    <s v="TWENTIES"/>
    <s v="Epic"/>
    <n v="127"/>
    <n v="2"/>
    <d v="1899-12-30T03:35:00"/>
    <b v="0"/>
    <n v="55"/>
    <n v="58"/>
    <n v="87"/>
    <n v="5"/>
    <n v="5"/>
    <n v="0"/>
    <n v="30"/>
    <n v="40"/>
    <n v="79"/>
    <s v="R&amp;B"/>
    <d v="2025-04-25T00:00:00"/>
    <s v="https://image-cdn-ak.spotifycdn.com/image/ab67616d00001e02f48cf519fe66c496c2e5bf4c"/>
    <b v="0"/>
  </r>
  <r>
    <n v="254"/>
    <s v="spotify:track:1OdvKyTexzm8ZEmdCxhGsX"/>
    <x v="166"/>
    <s v="Call Me When You Break Up (with Gracie Abrams)"/>
    <s v="SMG Music LLC &amp; Friends Keep Secrets under exclusive license to Interscope Records"/>
    <n v="92"/>
    <n v="4"/>
    <d v="1899-12-30T03:05:00"/>
    <b v="0"/>
    <n v="79"/>
    <n v="70"/>
    <n v="92"/>
    <n v="13"/>
    <n v="37"/>
    <n v="0"/>
    <n v="5"/>
    <n v="85"/>
    <n v="148"/>
    <s v="Pop"/>
    <d v="2025-03-21T00:00:00"/>
    <s v="https://image-cdn-fa.spotifycdn.com/image/ab67616d00001e0202479f0a8f30875dce4a35be"/>
    <b v="0"/>
  </r>
  <r>
    <n v="254"/>
    <s v="spotify:track:1OdvKyTexzm8ZEmdCxhGsX"/>
    <x v="189"/>
    <s v="Call Me When You Break Up (with Gracie Abrams)"/>
    <s v="SMG Music LLC &amp; Friends Keep Secrets under exclusive license to Interscope Records"/>
    <n v="92"/>
    <n v="4"/>
    <d v="1899-12-30T03:05:00"/>
    <b v="0"/>
    <n v="79"/>
    <n v="70"/>
    <n v="92"/>
    <n v="13"/>
    <n v="37"/>
    <n v="0"/>
    <n v="5"/>
    <n v="85"/>
    <n v="148"/>
    <s v="Pop"/>
    <d v="2025-03-21T00:00:00"/>
    <s v="https://image-cdn-fa.spotifycdn.com/image/ab67616d00001e0202479f0a8f30875dce4a35be"/>
    <b v="0"/>
  </r>
  <r>
    <n v="254"/>
    <s v="spotify:track:1OdvKyTexzm8ZEmdCxhGsX"/>
    <x v="223"/>
    <s v="Call Me When You Break Up (with Gracie Abrams)"/>
    <s v="SMG Music LLC &amp; Friends Keep Secrets under exclusive license to Interscope Records"/>
    <n v="92"/>
    <n v="4"/>
    <d v="1899-12-30T03:05:00"/>
    <b v="0"/>
    <n v="79"/>
    <n v="70"/>
    <n v="92"/>
    <n v="13"/>
    <n v="37"/>
    <n v="0"/>
    <n v="5"/>
    <n v="85"/>
    <n v="148"/>
    <s v="Pop"/>
    <d v="2025-03-21T00:00:00"/>
    <s v="https://image-cdn-fa.spotifycdn.com/image/ab67616d00001e0202479f0a8f30875dce4a35be"/>
    <b v="0"/>
  </r>
  <r>
    <n v="255"/>
    <s v="spotify:track:1PREzVLuDT6PSE9sej4wnV"/>
    <x v="256"/>
    <s v="COQUETA"/>
    <s v="Rancho Humilde/Streetmob Records/Grupo Frontera/Sony Music Latin"/>
    <n v="88"/>
    <n v="73"/>
    <d v="1899-12-30T03:12:00"/>
    <b v="0"/>
    <n v="74"/>
    <n v="82"/>
    <n v="92"/>
    <n v="9"/>
    <n v="24"/>
    <n v="0"/>
    <n v="11"/>
    <n v="88"/>
    <n v="79"/>
    <s v="Regional Mexicano"/>
    <d v="2025-02-14T00:00:00"/>
    <s v="https://image-cdn-fa.spotifycdn.com/image/ab67616d00001e0204874856f3c501181d060128"/>
    <b v="0"/>
  </r>
  <r>
    <n v="255"/>
    <s v="spotify:track:1PREzVLuDT6PSE9sej4wnV"/>
    <x v="86"/>
    <s v="COQUETA"/>
    <s v="Rancho Humilde/Streetmob Records/Grupo Frontera/Sony Music Latin"/>
    <n v="88"/>
    <n v="73"/>
    <d v="1899-12-30T03:12:00"/>
    <b v="0"/>
    <n v="74"/>
    <n v="82"/>
    <n v="92"/>
    <n v="9"/>
    <n v="24"/>
    <n v="0"/>
    <n v="11"/>
    <n v="88"/>
    <n v="79"/>
    <s v="Regional Mexicano"/>
    <d v="2025-02-14T00:00:00"/>
    <s v="https://image-cdn-fa.spotifycdn.com/image/ab67616d00001e0204874856f3c501181d060128"/>
    <b v="0"/>
  </r>
  <r>
    <n v="256"/>
    <s v="spotify:track:1PdUyYYw9sGU0yhLrpeHKt"/>
    <x v="124"/>
    <s v="Never Getting Laid"/>
    <s v="Island Records"/>
    <n v="31"/>
    <n v="3"/>
    <s v="03:05:00"/>
    <b v="0"/>
    <n v="74"/>
    <n v="58"/>
    <n v="72"/>
    <n v="6"/>
    <n v="28"/>
    <n v="0"/>
    <n v="10"/>
    <n v="61"/>
    <n v="110"/>
    <s v="Pop"/>
    <s v="29/8/2025"/>
    <s v="https://image-cdn-ak.spotifycdn.com/image/ab67616d00001e02b1863bf95557ea7f357c4947"/>
    <b v="0"/>
  </r>
  <r>
    <n v="257"/>
    <s v="spotify:track:1PtQJZVZIdWIYdARpZRDFO"/>
    <x v="257"/>
    <s v="Running Up That Hill (A Deal With God)"/>
    <s v="Fish People"/>
    <n v="1"/>
    <n v="47"/>
    <d v="1899-12-30T04:58:00"/>
    <b v="0"/>
    <n v="63"/>
    <n v="55"/>
    <n v="78"/>
    <n v="5"/>
    <n v="72"/>
    <n v="0"/>
    <n v="6"/>
    <n v="19"/>
    <n v="108"/>
    <s v="Art Pop"/>
    <d v="1985-08-05T00:00:00"/>
    <s v="https://image-cdn-fa.spotifycdn.com/image/ab67616d00001e02ad08f4b38efbff0c0da0f252"/>
    <b v="0"/>
  </r>
  <r>
    <n v="258"/>
    <s v="spotify:track:1Q7EgiMOuwDcB0PJC6AzON"/>
    <x v="258"/>
    <s v="Best Part (feat. H.E.R.)"/>
    <s v="HV Recordings"/>
    <n v="110"/>
    <n v="35"/>
    <d v="1899-12-30T03:29:00"/>
    <b v="0"/>
    <n v="52"/>
    <n v="36"/>
    <n v="83"/>
    <n v="4"/>
    <n v="81"/>
    <n v="0"/>
    <n v="10"/>
    <n v="44"/>
    <n v="75"/>
    <s v="R&amp;B"/>
    <d v="2017-08-25T00:00:00"/>
    <s v="https://image-cdn-ak.spotifycdn.com/image/ab67616d00001e027aa8783ad8def37cc548a9cf"/>
    <b v="0"/>
  </r>
  <r>
    <n v="258"/>
    <s v="spotify:track:1Q7EgiMOuwDcB0PJC6AzON"/>
    <x v="259"/>
    <s v="Best Part (feat. H.E.R.)"/>
    <s v="HV Recordings"/>
    <n v="110"/>
    <n v="35"/>
    <d v="1899-12-30T03:29:00"/>
    <b v="0"/>
    <n v="52"/>
    <n v="36"/>
    <n v="83"/>
    <n v="4"/>
    <n v="81"/>
    <n v="0"/>
    <n v="10"/>
    <n v="44"/>
    <n v="75"/>
    <s v="R&amp;B"/>
    <d v="2017-08-25T00:00:00"/>
    <s v="https://image-cdn-ak.spotifycdn.com/image/ab67616d00001e027aa8783ad8def37cc548a9cf"/>
    <b v="0"/>
  </r>
  <r>
    <n v="259"/>
    <s v="spotify:track:1Q9Efnm5csdCMFynISxL2x"/>
    <x v="103"/>
    <s v="PERFuMITO NUEVO"/>
    <s v="Rimas Entertainment LLC."/>
    <n v="14"/>
    <n v="9"/>
    <d v="1899-12-30T03:05:00"/>
    <b v="1"/>
    <n v="51"/>
    <n v="3"/>
    <n v="44"/>
    <n v="7"/>
    <n v="100"/>
    <n v="98"/>
    <n v="15"/>
    <n v="56"/>
    <n v="120"/>
    <s v="Reggaeton"/>
    <d v="2025-01-05T00:00:00"/>
    <s v="https://image-cdn-ak.spotifycdn.com/image/ab67616d00001e02bbd45c8d36e0e045ef640411"/>
    <b v="0"/>
  </r>
  <r>
    <n v="259"/>
    <s v="spotify:track:1Q9Efnm5csdCMFynISxL2x"/>
    <x v="260"/>
    <s v="PERFuMITO NUEVO"/>
    <s v="Rimas Entertainment LLC."/>
    <n v="14"/>
    <n v="9"/>
    <d v="1899-12-30T03:05:00"/>
    <b v="1"/>
    <n v="51"/>
    <n v="3"/>
    <n v="44"/>
    <n v="7"/>
    <n v="100"/>
    <n v="98"/>
    <n v="15"/>
    <n v="56"/>
    <n v="120"/>
    <s v="Reggaeton"/>
    <d v="2025-01-05T00:00:00"/>
    <s v="https://image-cdn-ak.spotifycdn.com/image/ab67616d00001e02bbd45c8d36e0e045ef640411"/>
    <b v="0"/>
  </r>
  <r>
    <n v="260"/>
    <s v="spotify:track:1QFh8OH1e78dGd3VyJZCAC"/>
    <x v="261"/>
    <s v="Boys Don't Cry"/>
    <s v="UMC (Universal Music Catalogue)"/>
    <n v="143"/>
    <n v="9"/>
    <d v="1899-12-30T02:35:00"/>
    <b v="0"/>
    <n v="46"/>
    <n v="84"/>
    <n v="90"/>
    <n v="6"/>
    <n v="1"/>
    <n v="0"/>
    <n v="18"/>
    <n v="67"/>
    <n v="169"/>
    <s v="Post-Punk"/>
    <d v="1979-06-01T00:00:00"/>
    <s v="https://image-cdn-fa.spotifycdn.com/image/ab67616d00001e02145f62824c79efecf474081f"/>
    <b v="0"/>
  </r>
  <r>
    <n v="261"/>
    <s v="spotify:track:1QV6tiMFM6fSOKOGLMHYYg"/>
    <x v="10"/>
    <s v="Poker Face"/>
    <s v="Streamline/Interscope"/>
    <n v="37"/>
    <n v="76"/>
    <d v="1899-12-30T03:57:00"/>
    <b v="1"/>
    <n v="85"/>
    <n v="81"/>
    <n v="92"/>
    <n v="8"/>
    <n v="12"/>
    <n v="0"/>
    <n v="12"/>
    <n v="77"/>
    <n v="119"/>
    <s v="Dance Pop"/>
    <d v="2008-09-26T00:00:00"/>
    <s v="https://image-cdn-ak.spotifycdn.com/image/ab67616d00001e02e691217483df8798445c82e2"/>
    <b v="0"/>
  </r>
  <r>
    <n v="262"/>
    <s v="spotify:track:1QrbZhFYlViXd60g130vw1"/>
    <x v="185"/>
    <s v="Caramel"/>
    <s v="Sleep Token/RCA Records"/>
    <n v="67"/>
    <n v="2"/>
    <s v="04:12:00"/>
    <b v="0"/>
    <n v="50"/>
    <n v="45"/>
    <n v="69"/>
    <n v="4"/>
    <n v="66"/>
    <n v="4"/>
    <n v="11"/>
    <n v="28"/>
    <n v="86"/>
    <s v="Alternative Metal"/>
    <s v="30/5/2025"/>
    <s v="https://image-cdn-ak.spotifycdn.com/image/ab67616d00001e02882265cd9bdded9ea9a153b9"/>
    <b v="0"/>
  </r>
  <r>
    <n v="263"/>
    <s v="spotify:track:1Qrg8KqiBpW07V7PNxwwwL"/>
    <x v="20"/>
    <s v="Kill Bill"/>
    <s v="Top Dawg Entertainment/RCA Records"/>
    <n v="1"/>
    <n v="121"/>
    <d v="1899-12-30T02:33:00"/>
    <b v="0"/>
    <n v="64"/>
    <n v="74"/>
    <n v="90"/>
    <n v="4"/>
    <n v="5"/>
    <n v="14"/>
    <n v="16"/>
    <n v="42"/>
    <n v="89"/>
    <s v="R&amp;B"/>
    <d v="2022-12-09T00:00:00"/>
    <s v="https://image-cdn-ak.spotifycdn.com/image/ab67616d00001e02c5276ed6cb0287df8d9be07f"/>
    <b v="0"/>
  </r>
  <r>
    <n v="265"/>
    <s v="spotify:track:1RnPdd7EKKhKN3E4o4DRsh"/>
    <x v="262"/>
    <s v="MONTAGEM BAILÃO"/>
    <s v="repsaj"/>
    <n v="171"/>
    <n v="3"/>
    <d v="1899-12-30T02:28:00"/>
    <b v="1"/>
    <n v="85"/>
    <n v="82"/>
    <n v="82"/>
    <n v="14"/>
    <n v="5"/>
    <n v="0"/>
    <n v="15"/>
    <n v="72"/>
    <n v="130"/>
    <s v="Phonk"/>
    <d v="2025-02-14T00:00:00"/>
    <s v="https://image-cdn-ak.spotifycdn.com/image/ab67616d00001e029c89916016a225674490025b"/>
    <b v="0"/>
  </r>
  <r>
    <n v="265"/>
    <s v="spotify:track:1RnPdd7EKKhKN3E4o4DRsh"/>
    <x v="242"/>
    <s v="MONTAGEM BAILÃO"/>
    <s v="repsaj"/>
    <n v="171"/>
    <n v="3"/>
    <d v="1899-12-30T02:28:00"/>
    <b v="1"/>
    <n v="85"/>
    <n v="82"/>
    <n v="82"/>
    <n v="14"/>
    <n v="5"/>
    <n v="0"/>
    <n v="15"/>
    <n v="72"/>
    <n v="130"/>
    <s v="Phonk"/>
    <d v="2025-02-14T00:00:00"/>
    <s v="https://image-cdn-ak.spotifycdn.com/image/ab67616d00001e029c89916016a225674490025b"/>
    <b v="0"/>
  </r>
  <r>
    <n v="265"/>
    <s v="spotify:track:1RnPdd7EKKhKN3E4o4DRsh"/>
    <x v="263"/>
    <s v="MONTAGEM BAILÃO"/>
    <s v="repsaj"/>
    <n v="171"/>
    <n v="3"/>
    <d v="1899-12-30T02:28:00"/>
    <b v="1"/>
    <n v="85"/>
    <n v="82"/>
    <n v="82"/>
    <n v="14"/>
    <n v="5"/>
    <n v="0"/>
    <n v="15"/>
    <n v="72"/>
    <n v="130"/>
    <s v="Phonk"/>
    <d v="2025-02-14T00:00:00"/>
    <s v="https://image-cdn-ak.spotifycdn.com/image/ab67616d00001e029c89916016a225674490025b"/>
    <b v="0"/>
  </r>
  <r>
    <n v="265"/>
    <s v="spotify:track:1RnPdd7EKKhKN3E4o4DRsh"/>
    <x v="264"/>
    <s v="MONTAGEM BAILÃO"/>
    <s v="repsaj"/>
    <n v="171"/>
    <n v="3"/>
    <d v="1899-12-30T02:28:00"/>
    <b v="1"/>
    <n v="85"/>
    <n v="82"/>
    <n v="82"/>
    <n v="14"/>
    <n v="5"/>
    <n v="0"/>
    <n v="15"/>
    <n v="72"/>
    <n v="130"/>
    <s v="Phonk"/>
    <d v="2025-02-14T00:00:00"/>
    <s v="https://image-cdn-ak.spotifycdn.com/image/ab67616d00001e029c89916016a225674490025b"/>
    <b v="0"/>
  </r>
  <r>
    <n v="266"/>
    <s v="spotify:track:1RwVkonL4anIGeNZo0OPp1"/>
    <x v="265"/>
    <s v="git"/>
    <s v="Mundo Music"/>
    <n v="184"/>
    <n v="1"/>
    <d v="1899-12-30T02:42:00"/>
    <b v="1"/>
    <n v="72"/>
    <n v="75"/>
    <n v="79"/>
    <n v="14"/>
    <n v="12"/>
    <n v="0"/>
    <n v="11"/>
    <n v="52"/>
    <n v="120"/>
    <s v="Turkish Rap"/>
    <d v="2025-04-18T00:00:00"/>
    <s v="https://image-cdn-fa.spotifycdn.com/image/ab67616d00001e02e25c4335171904f5a6c2e2ce"/>
    <b v="0"/>
  </r>
  <r>
    <n v="267"/>
    <s v="spotify:track:1SV1fxF65n9NhRHp3KlBuu"/>
    <x v="266"/>
    <s v="Wonderful Christmastime - Edited Version / Remastered 2011"/>
    <s v="Paul McCartney Catalog"/>
    <n v="15"/>
    <n v="43"/>
    <d v="1899-12-30T03:47:00"/>
    <b v="0"/>
    <n v="65"/>
    <n v="62"/>
    <n v="77"/>
    <n v="5"/>
    <n v="35"/>
    <n v="0"/>
    <n v="14"/>
    <n v="78"/>
    <n v="122"/>
    <s v="Christmas"/>
    <d v="1979-11-16T00:00:00"/>
    <s v="https://image-cdn-ak.spotifycdn.com/image/ab67616d00001e023cef016d13d82873d45af84a"/>
    <b v="1"/>
  </r>
  <r>
    <n v="268"/>
    <s v="spotify:track:1SVhTS4l0sLFsP2Abme05l"/>
    <x v="6"/>
    <s v="Just Us (feat. Doja Cat)"/>
    <s v="Generation Now/Atlantic"/>
    <n v="187"/>
    <n v="1"/>
    <s v="03:05:00"/>
    <b v="1"/>
    <n v="80"/>
    <n v="65"/>
    <n v="73"/>
    <n v="11"/>
    <n v="22"/>
    <n v="0"/>
    <n v="13"/>
    <n v="59"/>
    <n v="116"/>
    <s v="Hip-Hop/Rap"/>
    <s v="27/6/2025"/>
    <s v="https://image-cdn-ak.spotifycdn.com/image/ab67616d00001e0278bf2de64a126dc53381c908"/>
    <b v="0"/>
  </r>
  <r>
    <n v="268"/>
    <s v="spotify:track:1SVhTS4l0sLFsP2Abme05l"/>
    <x v="3"/>
    <s v="Just Us (feat. Doja Cat)"/>
    <s v="Generation Now/Atlantic"/>
    <n v="187"/>
    <n v="1"/>
    <s v="03:05:00"/>
    <b v="1"/>
    <n v="80"/>
    <n v="65"/>
    <n v="73"/>
    <n v="11"/>
    <n v="22"/>
    <n v="0"/>
    <n v="13"/>
    <n v="59"/>
    <n v="116"/>
    <s v="Hip-Hop/Rap"/>
    <s v="27/6/2025"/>
    <s v="https://image-cdn-ak.spotifycdn.com/image/ab67616d00001e0278bf2de64a126dc53381c908"/>
    <b v="0"/>
  </r>
  <r>
    <n v="269"/>
    <s v="spotify:track:1TfqLAPs4K3s2rJMoCokcS"/>
    <x v="267"/>
    <s v="Sweet Dreams (Are Made of This) - 2005 Remaster"/>
    <s v="RCA Records Label"/>
    <n v="181"/>
    <n v="4"/>
    <d v="1899-12-30T03:36:00"/>
    <b v="0"/>
    <n v="69"/>
    <n v="71"/>
    <n v="88"/>
    <n v="3"/>
    <n v="22"/>
    <n v="0"/>
    <n v="12"/>
    <n v="88"/>
    <n v="125"/>
    <s v="Synth-Pop"/>
    <d v="1983-01-21T00:00:00"/>
    <s v="https://image-cdn-ak.spotifycdn.com/image/ab67616d00001e02b3994c94dfb241923664bb4d"/>
    <b v="0"/>
  </r>
  <r>
    <n v="269"/>
    <s v="spotify:track:1TfqLAPs4K3s2rJMoCokcS"/>
    <x v="268"/>
    <s v="Sweet Dreams (Are Made of This) - 2005 Remaster"/>
    <s v="RCA Records Label"/>
    <n v="181"/>
    <n v="4"/>
    <d v="1899-12-30T03:36:00"/>
    <b v="0"/>
    <n v="69"/>
    <n v="71"/>
    <n v="88"/>
    <n v="3"/>
    <n v="22"/>
    <n v="0"/>
    <n v="12"/>
    <n v="88"/>
    <n v="125"/>
    <s v="Synth-Pop"/>
    <d v="1983-01-21T00:00:00"/>
    <s v="https://image-cdn-ak.spotifycdn.com/image/ab67616d00001e02b3994c94dfb241923664bb4d"/>
    <b v="0"/>
  </r>
  <r>
    <n v="269"/>
    <s v="spotify:track:1TfqLAPs4K3s2rJMoCokcS"/>
    <x v="269"/>
    <s v="Sweet Dreams (Are Made of This) - 2005 Remaster"/>
    <s v="RCA Records Label"/>
    <n v="181"/>
    <n v="4"/>
    <d v="1899-12-30T03:36:00"/>
    <b v="0"/>
    <n v="69"/>
    <n v="71"/>
    <n v="88"/>
    <n v="3"/>
    <n v="22"/>
    <n v="0"/>
    <n v="12"/>
    <n v="88"/>
    <n v="125"/>
    <s v="Synth-Pop"/>
    <d v="1983-01-21T00:00:00"/>
    <s v="https://image-cdn-ak.spotifycdn.com/image/ab67616d00001e02b3994c94dfb241923664bb4d"/>
    <b v="0"/>
  </r>
  <r>
    <n v="270"/>
    <s v="spotify:track:1U90UBmMrQTx9GNweUA4LZ"/>
    <x v="189"/>
    <s v="Hit the Wall"/>
    <s v="Gracie Abrams, under exclusive license to Interscope Records"/>
    <n v="67"/>
    <n v="3"/>
    <s v="03:18:00"/>
    <b v="0"/>
    <n v="58"/>
    <n v="41"/>
    <n v="70"/>
    <n v="4"/>
    <n v="67"/>
    <n v="0"/>
    <n v="10"/>
    <n v="35"/>
    <n v="116"/>
    <s v="Indie Pop"/>
    <s v="19/6/2026"/>
    <s v="https://image-cdn-ak.spotifycdn.com/image/ab67616d00001e021f4ba58b0e4dcef24a8df0cf"/>
    <b v="0"/>
  </r>
  <r>
    <n v="271"/>
    <s v="spotify:track:1UHS8Rf6h5Ar3CDWRd3wjF"/>
    <x v="124"/>
    <s v="Bed Chem"/>
    <s v="Island Records"/>
    <n v="9"/>
    <n v="35"/>
    <d v="1899-12-30T02:48:00"/>
    <b v="0"/>
    <n v="74"/>
    <n v="73"/>
    <n v="90"/>
    <n v="4"/>
    <n v="7"/>
    <n v="0"/>
    <n v="10"/>
    <n v="68"/>
    <n v="95"/>
    <s v="Pop"/>
    <d v="2024-08-23T00:00:00"/>
    <s v="https://image-cdn-ak.spotifycdn.com/image/ab67616d00001e02fd8d7a8d96871e791cb1f626"/>
    <b v="0"/>
  </r>
  <r>
    <n v="272"/>
    <s v="spotify:track:1UPB5rYJ0bzn6mNSoAHrZC"/>
    <x v="270"/>
    <s v="You'll Be in My Heart"/>
    <s v="88rising Music"/>
    <n v="19"/>
    <n v="23"/>
    <d v="1899-12-30T03:38:00"/>
    <b v="0"/>
    <n v="58"/>
    <n v="55"/>
    <n v="74"/>
    <n v="5"/>
    <n v="45"/>
    <n v="0"/>
    <n v="10"/>
    <n v="55"/>
    <n v="95"/>
    <s v="Pop"/>
    <d v="2025-02-14T00:00:00"/>
    <s v="https://image-cdn-ak.spotifycdn.com/image/ab67616d00001e027cd329ea4a204a8a47caf3d5"/>
    <b v="0"/>
  </r>
  <r>
    <n v="273"/>
    <s v="spotify:track:1VWiDyYTrqQhhmnWANWkFa"/>
    <x v="271"/>
    <s v="SaWaDiKa"/>
    <s v="Lloud Co./RCA Records"/>
    <n v="28"/>
    <n v="4"/>
    <d v="1899-12-30T02:48:00"/>
    <b v="0"/>
    <n v="80"/>
    <n v="78"/>
    <n v="81"/>
    <n v="10"/>
    <n v="8"/>
    <n v="0"/>
    <n v="13"/>
    <n v="62"/>
    <n v="120"/>
    <s v="K-Pop"/>
    <d v="2025-04-11T00:00:00"/>
    <s v="https://image-cdn-ak.spotifycdn.com/image/ab67616d00001e0273ae1df692b540f56d14617e"/>
    <b v="0"/>
  </r>
  <r>
    <n v="274"/>
    <s v="spotify:track:1VuAamHM7P3VQQEXYGG3Uu"/>
    <x v="171"/>
    <s v="Joy To The World"/>
    <s v="CAPITOL CATALOG MKT (C92)"/>
    <n v="97"/>
    <n v="10"/>
    <d v="1899-12-30T01:52:00"/>
    <b v="0"/>
    <n v="55"/>
    <n v="50"/>
    <n v="72"/>
    <n v="4"/>
    <n v="55"/>
    <n v="0"/>
    <n v="15"/>
    <n v="75"/>
    <n v="130"/>
    <s v="Christmas"/>
    <d v="1960-11-01T00:00:00"/>
    <s v="https://image-cdn-ak.spotifycdn.com/image/ab67616d00001e0230dc6027fd140c7ba68e900c"/>
    <b v="1"/>
  </r>
  <r>
    <n v="275"/>
    <s v="spotify:track:1WYrTfvKjQYaYfVziGG1ET"/>
    <x v="272"/>
    <s v="Linger - Remastered 2026"/>
    <s v="Island Records"/>
    <n v="93"/>
    <n v="8"/>
    <d v="1899-12-30T04:33:00"/>
    <b v="0"/>
    <n v="44"/>
    <n v="43"/>
    <n v="75"/>
    <n v="3"/>
    <n v="8"/>
    <n v="0"/>
    <n v="14"/>
    <n v="20"/>
    <n v="95"/>
    <s v="Alternative"/>
    <d v="1993-02-22T00:00:00"/>
    <s v="https://image-cdn-ak.spotifycdn.com/image/ab67616d00001e02753dbf92830094154a21b193"/>
    <b v="0"/>
  </r>
  <r>
    <n v="276"/>
    <s v="spotify:track:1Wf14bTyb6UeKojy8ykPYm"/>
    <x v="239"/>
    <s v="Happy Holiday / The Holiday Season"/>
    <s v="Columbia"/>
    <n v="126"/>
    <n v="3"/>
    <d v="1899-12-30T02:38:00"/>
    <b v="0"/>
    <n v="58"/>
    <n v="55"/>
    <n v="74"/>
    <n v="4"/>
    <n v="50"/>
    <n v="0"/>
    <n v="15"/>
    <n v="78"/>
    <n v="130"/>
    <s v="Christmas"/>
    <d v="1963-10-14T00:00:00"/>
    <s v="https://image-cdn-ak.spotifycdn.com/image/ab67616d00001e02585897779cf3591ba0f07650"/>
    <b v="1"/>
  </r>
  <r>
    <n v="277"/>
    <s v="spotify:track:1WkYhJMWhofw1XgVWfdMWE"/>
    <x v="273"/>
    <s v="Cuando No Era Cantante"/>
    <s v="Candela Music"/>
    <n v="18"/>
    <n v="29"/>
    <d v="1899-12-30T03:05:00"/>
    <b v="1"/>
    <n v="74"/>
    <n v="80"/>
    <n v="91"/>
    <n v="5"/>
    <n v="23"/>
    <n v="0"/>
    <n v="6"/>
    <n v="76"/>
    <n v="166"/>
    <s v="Reggaeton"/>
    <d v="2024-12-06T00:00:00"/>
    <s v="https://image-cdn-ak.spotifycdn.com/image/ab67616d00001e02842ff43668299304d6f021b2"/>
    <b v="0"/>
  </r>
  <r>
    <n v="277"/>
    <s v="spotify:track:1WkYhJMWhofw1XgVWfdMWE"/>
    <x v="274"/>
    <s v="Cuando No Era Cantante"/>
    <s v="Candela Music"/>
    <n v="18"/>
    <n v="29"/>
    <d v="1899-12-30T03:05:00"/>
    <b v="1"/>
    <n v="74"/>
    <n v="80"/>
    <n v="91"/>
    <n v="5"/>
    <n v="23"/>
    <n v="0"/>
    <n v="6"/>
    <n v="76"/>
    <n v="166"/>
    <s v="Reggaeton"/>
    <d v="2024-12-06T00:00:00"/>
    <s v="https://image-cdn-ak.spotifycdn.com/image/ab67616d00001e02842ff43668299304d6f021b2"/>
    <b v="0"/>
  </r>
  <r>
    <n v="278"/>
    <s v="spotify:track:1WmBVbFmLt0w6zPP37TeCG"/>
    <x v="224"/>
    <s v="Illegal"/>
    <s v="Warner Records"/>
    <n v="91"/>
    <n v="6"/>
    <d v="1899-12-30T02:28:00"/>
    <b v="0"/>
    <n v="72"/>
    <n v="68"/>
    <n v="78"/>
    <n v="8"/>
    <n v="20"/>
    <n v="0"/>
    <n v="11"/>
    <n v="55"/>
    <n v="125"/>
    <s v="Pop"/>
    <d v="2025-02-14T00:00:00"/>
    <s v="https://image-cdn-ak.spotifycdn.com/image/ab67616d00001e022a6a5bd7ec690d91a384245d"/>
    <b v="0"/>
  </r>
  <r>
    <n v="279"/>
    <s v="spotify:track:1WwQ714xuznu44tEnkem2g"/>
    <x v="275"/>
    <s v="I Run"/>
    <s v="Isekai / Broke / AAO"/>
    <n v="101"/>
    <n v="8"/>
    <s v="03:12:00"/>
    <b v="0"/>
    <n v="66"/>
    <n v="52"/>
    <n v="70"/>
    <n v="5"/>
    <n v="50"/>
    <n v="0"/>
    <n v="12"/>
    <n v="41"/>
    <n v="125"/>
    <s v="Indie Pop"/>
    <s v="30/5/2025"/>
    <s v="https://image-cdn-ak.spotifycdn.com/image/ab67616d00001e02d95b891b1ddb4a6d412efdfd"/>
    <b v="0"/>
  </r>
  <r>
    <n v="279"/>
    <s v="spotify:track:1WwQ714xuznu44tEnkem2g"/>
    <x v="276"/>
    <s v="I Run"/>
    <s v="Isekai / Broke / AAO"/>
    <n v="101"/>
    <n v="8"/>
    <s v="03:12:00"/>
    <b v="0"/>
    <n v="66"/>
    <n v="52"/>
    <n v="70"/>
    <n v="5"/>
    <n v="50"/>
    <n v="0"/>
    <n v="12"/>
    <n v="41"/>
    <n v="125"/>
    <s v="Indie Pop"/>
    <s v="30/5/2025"/>
    <s v="https://image-cdn-ak.spotifycdn.com/image/ab67616d00001e02d95b891b1ddb4a6d412efdfd"/>
    <b v="0"/>
  </r>
  <r>
    <n v="280"/>
    <s v="spotify:track:1XBYiRV30ykHw5f4wm6qEn"/>
    <x v="277"/>
    <s v="NIGHTS LIKE THIS"/>
    <s v="Columbia"/>
    <n v="41"/>
    <n v="63"/>
    <d v="1899-12-30T02:48:00"/>
    <b v="0"/>
    <n v="48"/>
    <n v="76"/>
    <n v="92"/>
    <n v="4"/>
    <n v="1"/>
    <n v="0"/>
    <n v="14"/>
    <n v="12"/>
    <n v="143"/>
    <s v="Pop"/>
    <d v="2024-06-21T00:00:00"/>
    <s v="https://image-cdn-ak.spotifycdn.com/image/ab67616d00001e022a182fb516812ea67edde2b8"/>
    <b v="0"/>
  </r>
  <r>
    <n v="281"/>
    <s v="spotify:track:1XGmzt0PVuFgQYYnV2It7A"/>
    <x v="278"/>
    <s v="Payphone"/>
    <s v="Interscope Records*"/>
    <n v="61"/>
    <n v="123"/>
    <d v="1899-12-30T03:51:00"/>
    <b v="1"/>
    <n v="74"/>
    <n v="75"/>
    <n v="92"/>
    <n v="4"/>
    <n v="2"/>
    <n v="0"/>
    <n v="29"/>
    <n v="55"/>
    <n v="110"/>
    <s v="Pop"/>
    <d v="2012-06-19T00:00:00"/>
    <s v="https://image-cdn-fa.spotifycdn.com/image/ab67616d00001e02fc8633e22a7dba6aab817bff"/>
    <b v="0"/>
  </r>
  <r>
    <n v="281"/>
    <s v="spotify:track:1XGmzt0PVuFgQYYnV2It7A"/>
    <x v="279"/>
    <s v="Payphone"/>
    <s v="Interscope Records*"/>
    <n v="61"/>
    <n v="123"/>
    <d v="1899-12-30T03:51:00"/>
    <b v="1"/>
    <n v="74"/>
    <n v="75"/>
    <n v="92"/>
    <n v="4"/>
    <n v="2"/>
    <n v="0"/>
    <n v="29"/>
    <n v="55"/>
    <n v="110"/>
    <s v="Pop"/>
    <d v="2012-06-19T00:00:00"/>
    <s v="https://image-cdn-fa.spotifycdn.com/image/ab67616d00001e02fc8633e22a7dba6aab817bff"/>
    <b v="0"/>
  </r>
  <r>
    <n v="282"/>
    <s v="spotify:track:1XpVhaI4HzWrhRWIpdfyJB"/>
    <x v="69"/>
    <s v="Please"/>
    <s v="BIGHIT MUSIC"/>
    <n v="16"/>
    <n v="12"/>
    <s v="03:18:00"/>
    <b v="0"/>
    <n v="68"/>
    <n v="54"/>
    <n v="71"/>
    <n v="5"/>
    <n v="42"/>
    <n v="0"/>
    <n v="11"/>
    <n v="48"/>
    <n v="92"/>
    <s v="K-Pop"/>
    <s v="20/3/2026"/>
    <s v="https://image-cdn-ak.spotifycdn.com/image/ab67616d00001e02dfa17fad7f190c901603270e"/>
    <b v="0"/>
  </r>
  <r>
    <n v="283"/>
    <s v="spotify:track:1Y373MqadDRtclJNdnUXVc"/>
    <x v="280"/>
    <s v="Paranoid - 2009 Remaster"/>
    <s v="Sanctuary Records"/>
    <n v="33"/>
    <n v="4"/>
    <d v="1899-12-30T02:48:00"/>
    <b v="0"/>
    <n v="42"/>
    <n v="68"/>
    <n v="84"/>
    <n v="8"/>
    <n v="0"/>
    <n v="1"/>
    <n v="13"/>
    <n v="33"/>
    <n v="163"/>
    <s v="Heavy Metal"/>
    <d v="1970-09-18T00:00:00"/>
    <s v="https://image-cdn-ak.spotifycdn.com/image/ab67616d00001e02d5fccf9ce08b6a1e7d12a222"/>
    <b v="0"/>
  </r>
  <r>
    <n v="284"/>
    <s v="spotify:track:1Y66A5zH3iPOWCDIuSDQR5"/>
    <x v="124"/>
    <s v="Bad Reviews"/>
    <s v="Island Records"/>
    <n v="196"/>
    <n v="1"/>
    <s v="03:05:00"/>
    <b v="0"/>
    <n v="71"/>
    <n v="63"/>
    <n v="73"/>
    <n v="5"/>
    <n v="22"/>
    <n v="0"/>
    <n v="12"/>
    <n v="56"/>
    <n v="124"/>
    <s v="Pop"/>
    <s v="29/8/2025"/>
    <s v="https://image-cdn-ak.spotifycdn.com/image/ab67616d00001e02047d6b756e8f5e3f8b50f025"/>
    <b v="0"/>
  </r>
  <r>
    <n v="285"/>
    <s v="spotify:track:1YAWMfsmduIrpqrjP45pFn"/>
    <x v="281"/>
    <s v="FOREVER TU GANTEL"/>
    <s v="Rimas Entertainment LLC."/>
    <n v="134"/>
    <n v="3"/>
    <d v="1899-12-30T03:12:00"/>
    <b v="1"/>
    <n v="82"/>
    <n v="78"/>
    <n v="81"/>
    <n v="12"/>
    <n v="8"/>
    <n v="0"/>
    <n v="13"/>
    <n v="62"/>
    <n v="96"/>
    <s v="Reggaeton"/>
    <d v="2025-05-09T00:00:00"/>
    <s v="https://image-cdn-ak.spotifycdn.com/image/ab67616d00001e0290af5246adcaa93acb721c17"/>
    <b v="0"/>
  </r>
  <r>
    <n v="285"/>
    <s v="spotify:track:1YAWMfsmduIrpqrjP45pFn"/>
    <x v="105"/>
    <s v="FOREVER TU GANTEL"/>
    <s v="Rimas Entertainment LLC."/>
    <n v="134"/>
    <n v="3"/>
    <d v="1899-12-30T03:12:00"/>
    <b v="1"/>
    <n v="82"/>
    <n v="78"/>
    <n v="81"/>
    <n v="12"/>
    <n v="8"/>
    <n v="0"/>
    <n v="13"/>
    <n v="62"/>
    <n v="96"/>
    <s v="Reggaeton"/>
    <d v="2025-05-09T00:00:00"/>
    <s v="https://image-cdn-ak.spotifycdn.com/image/ab67616d00001e0290af5246adcaa93acb721c17"/>
    <b v="0"/>
  </r>
  <r>
    <n v="286"/>
    <s v="spotify:track:1YHQQFtKqFSFrqL4cNvstU"/>
    <x v="53"/>
    <s v="SMALL TOWN FAME"/>
    <s v="OVO Sound"/>
    <n v="166"/>
    <n v="1"/>
    <s v="03:28:00"/>
    <b v="1"/>
    <n v="68"/>
    <n v="48"/>
    <n v="70"/>
    <n v="32"/>
    <n v="56"/>
    <n v="0"/>
    <n v="10"/>
    <n v="30"/>
    <n v="90"/>
    <s v="Hip-Hop/Rap"/>
    <s v="20/6/2025"/>
    <s v="https://image-cdn-fa.spotifycdn.com/image/ab67616d00001e02b5a28a256eae6dc0424fef59"/>
    <b v="0"/>
  </r>
  <r>
    <n v="287"/>
    <s v="spotify:track:1YYfyJ2yCvGFCxwjsIqEK9"/>
    <x v="154"/>
    <s v="Khé?"/>
    <s v="Sony Music Latin/Duars Entertainment"/>
    <n v="22"/>
    <n v="28"/>
    <d v="1899-12-30T03:38:00"/>
    <b v="0"/>
    <n v="69"/>
    <n v="63"/>
    <n v="92"/>
    <n v="18"/>
    <n v="33"/>
    <n v="0"/>
    <n v="9"/>
    <n v="47"/>
    <n v="156"/>
    <s v="Reggaeton"/>
    <d v="2024-11-15T00:00:00"/>
    <s v="https://image-cdn-ak.spotifycdn.com/image/ab67616d00001e02a6224f2f93c0ab4b2e01b44b"/>
    <b v="0"/>
  </r>
  <r>
    <n v="287"/>
    <s v="spotify:track:1YYfyJ2yCvGFCxwjsIqEK9"/>
    <x v="282"/>
    <s v="Khé?"/>
    <s v="Sony Music Latin/Duars Entertainment"/>
    <n v="22"/>
    <n v="28"/>
    <d v="1899-12-30T03:38:00"/>
    <b v="0"/>
    <n v="69"/>
    <n v="63"/>
    <n v="92"/>
    <n v="18"/>
    <n v="33"/>
    <n v="0"/>
    <n v="9"/>
    <n v="47"/>
    <n v="156"/>
    <s v="Reggaeton"/>
    <d v="2024-11-15T00:00:00"/>
    <s v="https://image-cdn-ak.spotifycdn.com/image/ab67616d00001e02a6224f2f93c0ab4b2e01b44b"/>
    <b v="0"/>
  </r>
  <r>
    <n v="288"/>
    <s v="spotify:track:1ZNolq7VI7efGlh2hb2VVr"/>
    <x v="69"/>
    <s v="Into the Sun"/>
    <s v="BIGHIT MUSIC"/>
    <n v="20"/>
    <n v="13"/>
    <s v="03:22:00"/>
    <b v="0"/>
    <n v="74"/>
    <n v="70"/>
    <n v="74"/>
    <n v="6"/>
    <n v="19"/>
    <n v="0"/>
    <n v="15"/>
    <n v="66"/>
    <n v="115"/>
    <s v="K-Pop"/>
    <s v="20/3/2026"/>
    <s v="https://image-cdn-ak.spotifycdn.com/image/ab67616d00001e02dfa17fad7f190c901603270e"/>
    <b v="0"/>
  </r>
  <r>
    <n v="289"/>
    <s v="spotify:track:1a7onn7lPqqRWul5ogyMyX"/>
    <x v="256"/>
    <s v="ANSIEDAD"/>
    <s v="Rancho Humilde/Street Mob Records/Sony Music Latin"/>
    <n v="97"/>
    <n v="18"/>
    <d v="1899-12-30T03:05:00"/>
    <b v="1"/>
    <n v="78"/>
    <n v="74"/>
    <n v="80"/>
    <n v="10"/>
    <n v="15"/>
    <n v="0"/>
    <n v="12"/>
    <n v="55"/>
    <n v="108"/>
    <s v="Regional Mexicano"/>
    <d v="2025-03-14T00:00:00"/>
    <s v="https://image-cdn-ak.spotifycdn.com/image/ab67616d00001e02a2e90fbdec84b25e46573469"/>
    <b v="0"/>
  </r>
  <r>
    <n v="290"/>
    <s v="spotify:track:1aUTJpaxVd8LpUfbb19wZH"/>
    <x v="40"/>
    <s v="Yellow"/>
    <s v="Parlophone UK"/>
    <n v="19"/>
    <n v="283"/>
    <d v="1899-12-30T04:29:00"/>
    <b v="0"/>
    <n v="43"/>
    <n v="66"/>
    <n v="88"/>
    <n v="3"/>
    <n v="0"/>
    <n v="0"/>
    <n v="23"/>
    <n v="28"/>
    <n v="173"/>
    <s v="Alternative Rock"/>
    <d v="2000-06-26T00:00:00"/>
    <s v="https://image-cdn-ak.spotifycdn.com/image/ab67616d00001e023f5dc0fa4526c8378f1b06a3"/>
    <b v="0"/>
  </r>
  <r>
    <n v="291"/>
    <s v="spotify:track:1appZ3c336FkPvCuywfmrs"/>
    <x v="19"/>
    <s v="CANCELLED!"/>
    <s v="Taylor Swift"/>
    <n v="7"/>
    <n v="6"/>
    <s v="03:48:00"/>
    <b v="0"/>
    <n v="74"/>
    <n v="72"/>
    <n v="75"/>
    <n v="8"/>
    <n v="18"/>
    <n v="0"/>
    <n v="15"/>
    <n v="66"/>
    <n v="126"/>
    <s v="Pop"/>
    <s v="3/10/2025"/>
    <s v="https://image-cdn-ak.spotifycdn.com/image/ab67616d00001e02d7812467811a7da6e6a44902"/>
    <b v="0"/>
  </r>
  <r>
    <n v="292"/>
    <s v="spotify:track:1bMkimTb47umgNP6xCi4A1"/>
    <x v="283"/>
    <s v="Arz Kiya Hai | Coke Studio Bharat"/>
    <s v="Universal Music India Pvt Ltd."/>
    <n v="90"/>
    <n v="13"/>
    <d v="1899-12-30T04:12:00"/>
    <b v="0"/>
    <n v="52"/>
    <n v="55"/>
    <n v="73"/>
    <n v="4"/>
    <n v="50"/>
    <n v="0"/>
    <n v="10"/>
    <n v="50"/>
    <n v="88"/>
    <s v="Bollywood"/>
    <d v="2024-12-06T00:00:00"/>
    <s v="https://image-cdn-ak.spotifycdn.com/image/ab67616d00001e0225fa2d19b2363a9520a34409"/>
    <b v="0"/>
  </r>
  <r>
    <n v="293"/>
    <s v="spotify:track:1cOboCuWYI2osTOfolMRS6"/>
    <x v="256"/>
    <s v="Tu Boda"/>
    <s v="Rancho Humilde/Sony Music Latin"/>
    <n v="5"/>
    <n v="35"/>
    <d v="1899-12-30T03:22:00"/>
    <b v="1"/>
    <n v="69"/>
    <n v="65"/>
    <n v="88"/>
    <n v="8"/>
    <n v="50"/>
    <n v="0"/>
    <n v="8"/>
    <n v="47"/>
    <n v="113"/>
    <s v="Regional Mexicano"/>
    <d v="2024-09-13T00:00:00"/>
    <s v="https://image-cdn-fa.spotifycdn.com/image/ab67616d00001e021841b15585341c98f761d252"/>
    <b v="0"/>
  </r>
  <r>
    <n v="293"/>
    <s v="spotify:track:1cOboCuWYI2osTOfolMRS6"/>
    <x v="284"/>
    <s v="Tu Boda"/>
    <s v="Rancho Humilde/Sony Music Latin"/>
    <n v="5"/>
    <n v="35"/>
    <d v="1899-12-30T03:22:00"/>
    <b v="1"/>
    <n v="69"/>
    <n v="65"/>
    <n v="88"/>
    <n v="8"/>
    <n v="50"/>
    <n v="0"/>
    <n v="8"/>
    <n v="47"/>
    <n v="113"/>
    <s v="Regional Mexicano"/>
    <d v="2024-09-13T00:00:00"/>
    <s v="https://image-cdn-fa.spotifycdn.com/image/ab67616d00001e021841b15585341c98f761d252"/>
    <b v="0"/>
  </r>
  <r>
    <n v="294"/>
    <s v="spotify:track:1cmfXbOvNJt7iDrnJy5BRE"/>
    <x v="285"/>
    <s v="DROGA"/>
    <s v="Rimas Entertainment LLC."/>
    <n v="127"/>
    <n v="1"/>
    <d v="1899-12-30T02:55:00"/>
    <b v="1"/>
    <n v="80"/>
    <n v="75"/>
    <n v="80"/>
    <n v="12"/>
    <n v="12"/>
    <n v="0"/>
    <n v="11"/>
    <n v="55"/>
    <n v="105"/>
    <s v="Reggaeton"/>
    <d v="2025-05-16T00:00:00"/>
    <s v="https://image-cdn-ak.spotifycdn.com/image/ab67616d00001e024cbf1f88953e2f87db81f9bd"/>
    <b v="0"/>
  </r>
  <r>
    <n v="294"/>
    <s v="spotify:track:1cmfXbOvNJt7iDrnJy5BRE"/>
    <x v="286"/>
    <s v="DROGA"/>
    <s v="Rimas Entertainment LLC."/>
    <n v="127"/>
    <n v="1"/>
    <d v="1899-12-30T02:55:00"/>
    <b v="1"/>
    <n v="80"/>
    <n v="75"/>
    <n v="80"/>
    <n v="12"/>
    <n v="12"/>
    <n v="0"/>
    <n v="11"/>
    <n v="55"/>
    <n v="105"/>
    <s v="Reggaeton"/>
    <d v="2025-05-16T00:00:00"/>
    <s v="https://image-cdn-ak.spotifycdn.com/image/ab67616d00001e024cbf1f88953e2f87db81f9bd"/>
    <b v="0"/>
  </r>
  <r>
    <n v="295"/>
    <s v="spotify:track:1dByUyyoRKL99fJJ6VCQzb"/>
    <x v="23"/>
    <s v="TIT FOR TAT"/>
    <s v="RCA Records Label"/>
    <n v="5"/>
    <n v="13"/>
    <d v="1899-12-30T02:48:00"/>
    <b v="0"/>
    <n v="75"/>
    <n v="78"/>
    <n v="80"/>
    <n v="8"/>
    <n v="12"/>
    <n v="0"/>
    <n v="12"/>
    <n v="60"/>
    <n v="115"/>
    <s v="Pop"/>
    <d v="2025-02-21T00:00:00"/>
    <s v="https://image-cdn-ak.spotifycdn.com/image/ab67616d00001e02c40dccc1952bb5ed96986869"/>
    <b v="0"/>
  </r>
  <r>
    <n v="296"/>
    <s v="spotify:track:1dGr1c8CrMLDpV6mPbImSI"/>
    <x v="19"/>
    <s v="Lover"/>
    <s v="Taylor Swift"/>
    <n v="2"/>
    <n v="73"/>
    <d v="1899-12-30T03:41:00"/>
    <b v="0"/>
    <n v="36"/>
    <n v="54"/>
    <n v="87"/>
    <n v="9"/>
    <n v="49"/>
    <n v="0"/>
    <n v="12"/>
    <n v="45"/>
    <n v="69"/>
    <s v="Pop"/>
    <d v="2019-08-16T00:00:00"/>
    <s v="https://image-cdn-ak.spotifycdn.com/image/ab67616d00001e02e787cffec20aa2a396a61647"/>
    <b v="0"/>
  </r>
  <r>
    <n v="297"/>
    <s v="spotify:track:1dp0MRcrgCxEESP1LrF2yA"/>
    <x v="147"/>
    <s v="Sexo, Violencia y Llantas"/>
    <s v="Columbia"/>
    <n v="38"/>
    <n v="2"/>
    <s v="03:08:00"/>
    <b v="0"/>
    <n v="72"/>
    <n v="70"/>
    <n v="74"/>
    <n v="11"/>
    <n v="20"/>
    <n v="0"/>
    <n v="16"/>
    <n v="61"/>
    <n v="135"/>
    <s v="Flamenco"/>
    <s v="7/11/2025"/>
    <s v="https://image-cdn-fa.spotifycdn.com/image/ab67616d00001e0293ee2e2f2dfb7de9befcc164"/>
    <b v="0"/>
  </r>
  <r>
    <n v="298"/>
    <s v="spotify:track:1dzQoRqT5ucxXVaAhTcT0J"/>
    <x v="287"/>
    <s v="Just Dance"/>
    <s v="Streamline/Interscope"/>
    <n v="93"/>
    <n v="11"/>
    <d v="1899-12-30T04:02:00"/>
    <b v="0"/>
    <n v="82"/>
    <n v="74"/>
    <n v="92"/>
    <n v="3"/>
    <n v="3"/>
    <n v="0"/>
    <n v="18"/>
    <n v="74"/>
    <n v="119"/>
    <s v="Dance Pop"/>
    <d v="2008-04-08T00:00:00"/>
    <s v="https://image-cdn-ak.spotifycdn.com/image/ab67616d00001e02e691217483df8798445c82e2"/>
    <b v="0"/>
  </r>
  <r>
    <n v="298"/>
    <s v="spotify:track:1dzQoRqT5ucxXVaAhTcT0J"/>
    <x v="10"/>
    <s v="Just Dance"/>
    <s v="Streamline/Interscope"/>
    <n v="93"/>
    <n v="11"/>
    <d v="1899-12-30T04:02:00"/>
    <b v="0"/>
    <n v="82"/>
    <n v="74"/>
    <n v="92"/>
    <n v="3"/>
    <n v="3"/>
    <n v="0"/>
    <n v="18"/>
    <n v="74"/>
    <n v="119"/>
    <s v="Dance Pop"/>
    <d v="2008-04-08T00:00:00"/>
    <s v="https://image-cdn-ak.spotifycdn.com/image/ab67616d00001e02e691217483df8798445c82e2"/>
    <b v="0"/>
  </r>
  <r>
    <n v="299"/>
    <s v="spotify:track:1eTaznNW4Xxtx9za2SMTXB"/>
    <x v="288"/>
    <s v="DENIAL IS A RIVER"/>
    <s v="Top Dawg Entertainment/Capitol Records"/>
    <n v="21"/>
    <n v="16"/>
    <d v="1899-12-30T03:32:00"/>
    <b v="1"/>
    <n v="82"/>
    <n v="64"/>
    <n v="95"/>
    <n v="33"/>
    <n v="9"/>
    <n v="0"/>
    <n v="8"/>
    <n v="62"/>
    <n v="93"/>
    <s v="Hip-Hop/Rap"/>
    <d v="2024-08-30T00:00:00"/>
    <s v="https://image-cdn-ak.spotifycdn.com/image/ab67616d00001e02b245099fe26319344ddf6054"/>
    <b v="0"/>
  </r>
  <r>
    <n v="300"/>
    <s v="spotify:track:1edcyazKIdKrIuz9cWpXU6"/>
    <x v="98"/>
    <s v="twilight zone"/>
    <s v="Republic Records"/>
    <n v="9"/>
    <n v="7"/>
    <s v="03:05:00"/>
    <b v="0"/>
    <n v="65"/>
    <n v="48"/>
    <n v="72"/>
    <n v="4"/>
    <n v="52"/>
    <n v="0"/>
    <n v="10"/>
    <n v="44"/>
    <n v="110"/>
    <s v="Pop"/>
    <s v="7/8/2026"/>
    <s v="https://image-cdn-ak.spotifycdn.com/image/ab67616d00001e0296094d0c80f0f321da705f88"/>
    <b v="0"/>
  </r>
  <r>
    <n v="301"/>
    <s v="spotify:track:1efXUbx5gsLd2sqjszBtx1"/>
    <x v="289"/>
    <s v="Headphones On"/>
    <s v="Columbia"/>
    <n v="153"/>
    <n v="1"/>
    <s v="02:48:00"/>
    <b v="0"/>
    <n v="82"/>
    <n v="76"/>
    <n v="74"/>
    <n v="6"/>
    <n v="14"/>
    <n v="0"/>
    <n v="12"/>
    <n v="80"/>
    <n v="125"/>
    <s v="Pop"/>
    <s v="20/6/2025"/>
    <s v="https://image-cdn-ak.spotifycdn.com/image/ab67616d00001e02af57b16a39b355cb80008e73"/>
    <b v="0"/>
  </r>
  <r>
    <n v="302"/>
    <s v="spotify:track:1eunv1DeEi29UfAcVEoLTt"/>
    <x v="31"/>
    <s v="POR SUS BESOS"/>
    <s v="Double P Records"/>
    <n v="28"/>
    <n v="16"/>
    <d v="1899-12-30T02:55:00"/>
    <b v="1"/>
    <n v="80"/>
    <n v="75"/>
    <n v="80"/>
    <n v="10"/>
    <n v="12"/>
    <n v="0"/>
    <n v="12"/>
    <n v="62"/>
    <n v="108"/>
    <s v="Regional Mexicano"/>
    <d v="2025-04-18T00:00:00"/>
    <s v="https://image-cdn-ak.spotifycdn.com/image/ab67616d00001e020072b075cd6ba3f7d6944c62"/>
    <b v="0"/>
  </r>
  <r>
    <n v="303"/>
    <s v="spotify:track:1fDFHXcykq4iw8Gg7s5hG9"/>
    <x v="290"/>
    <s v="About You"/>
    <s v="Dirty Hit"/>
    <n v="173"/>
    <n v="2"/>
    <d v="1899-12-30T05:22:00"/>
    <b v="0"/>
    <n v="42"/>
    <n v="76"/>
    <n v="88"/>
    <n v="3"/>
    <n v="31"/>
    <n v="80"/>
    <n v="6"/>
    <n v="46"/>
    <n v="96"/>
    <s v="Indie Pop"/>
    <d v="2022-10-14T00:00:00"/>
    <s v="https://image-cdn-ak.spotifycdn.com/image/ab67616d00001e021f44db452a68e229650a302c"/>
    <b v="0"/>
  </r>
  <r>
    <n v="304"/>
    <s v="spotify:track:1foCxQtxBweJtZmdxhEHVO"/>
    <x v="291"/>
    <s v="Santa Baby (with Henri René &amp; His Orchestra)"/>
    <s v="RCA Bluebird"/>
    <n v="48"/>
    <n v="22"/>
    <d v="1899-12-30T03:24:00"/>
    <b v="0"/>
    <n v="60"/>
    <n v="55"/>
    <n v="74"/>
    <n v="4"/>
    <n v="50"/>
    <n v="0"/>
    <n v="15"/>
    <n v="72"/>
    <n v="120"/>
    <s v="Christmas"/>
    <d v="1953-11-15T00:00:00"/>
    <s v="https://image-cdn-ak.spotifycdn.com/image/ab67616d00001e02cfbcba7cc35a40e08e5aff67"/>
    <b v="1"/>
  </r>
  <r>
    <n v="304"/>
    <s v="spotify:track:1foCxQtxBweJtZmdxhEHVO"/>
    <x v="292"/>
    <s v="Santa Baby (with Henri René &amp; His Orchestra)"/>
    <s v="RCA Bluebird"/>
    <n v="48"/>
    <n v="22"/>
    <d v="1899-12-30T03:24:00"/>
    <b v="0"/>
    <n v="60"/>
    <n v="55"/>
    <n v="74"/>
    <n v="4"/>
    <n v="50"/>
    <n v="0"/>
    <n v="15"/>
    <n v="72"/>
    <n v="120"/>
    <s v="Christmas"/>
    <d v="1953-11-15T00:00:00"/>
    <s v="https://image-cdn-ak.spotifycdn.com/image/ab67616d00001e02cfbcba7cc35a40e08e5aff67"/>
    <b v="1"/>
  </r>
  <r>
    <n v="305"/>
    <s v="spotify:track:1hlHeIZ36Idpr57xPI8OCD"/>
    <x v="293"/>
    <s v="Garam &amp; Madu (Sakit Dadaku)"/>
    <s v="Mighty Record"/>
    <n v="111"/>
    <n v="7"/>
    <d v="1899-12-30T03:05:00"/>
    <b v="0"/>
    <n v="92"/>
    <n v="78"/>
    <n v="91"/>
    <n v="5"/>
    <n v="35"/>
    <n v="0"/>
    <n v="21"/>
    <n v="46"/>
    <n v="125"/>
    <s v="Indie Pop"/>
    <d v="2025-02-14T00:00:00"/>
    <s v="https://image-cdn-ak.spotifycdn.com/image/ab67616d00001e02cb0c0208f8bf8c753f6c3d30"/>
    <b v="0"/>
  </r>
  <r>
    <n v="305"/>
    <s v="spotify:track:1hlHeIZ36Idpr57xPI8OCD"/>
    <x v="294"/>
    <s v="Garam &amp; Madu (Sakit Dadaku)"/>
    <s v="Mighty Record"/>
    <n v="111"/>
    <n v="7"/>
    <d v="1899-12-30T03:05:00"/>
    <b v="0"/>
    <n v="92"/>
    <n v="78"/>
    <n v="91"/>
    <n v="5"/>
    <n v="35"/>
    <n v="0"/>
    <n v="21"/>
    <n v="46"/>
    <n v="125"/>
    <s v="Indie Pop"/>
    <d v="2025-02-14T00:00:00"/>
    <s v="https://image-cdn-ak.spotifycdn.com/image/ab67616d00001e02cb0c0208f8bf8c753f6c3d30"/>
    <b v="0"/>
  </r>
  <r>
    <n v="305"/>
    <s v="spotify:track:1hlHeIZ36Idpr57xPI8OCD"/>
    <x v="295"/>
    <s v="Garam &amp; Madu (Sakit Dadaku)"/>
    <s v="Mighty Record"/>
    <n v="111"/>
    <n v="7"/>
    <d v="1899-12-30T03:05:00"/>
    <b v="0"/>
    <n v="92"/>
    <n v="78"/>
    <n v="91"/>
    <n v="5"/>
    <n v="35"/>
    <n v="0"/>
    <n v="21"/>
    <n v="46"/>
    <n v="125"/>
    <s v="Indie Pop"/>
    <d v="2025-02-14T00:00:00"/>
    <s v="https://image-cdn-ak.spotifycdn.com/image/ab67616d00001e02cb0c0208f8bf8c753f6c3d30"/>
    <b v="0"/>
  </r>
  <r>
    <n v="306"/>
    <s v="spotify:track:1horGWxHKfwctCKdHwrO0n"/>
    <x v="296"/>
    <s v="Keşke"/>
    <s v="Lais Records"/>
    <n v="116"/>
    <n v="2"/>
    <d v="1899-12-30T02:48:00"/>
    <b v="1"/>
    <n v="72"/>
    <n v="75"/>
    <n v="79"/>
    <n v="14"/>
    <n v="12"/>
    <n v="0"/>
    <n v="11"/>
    <n v="52"/>
    <n v="120"/>
    <s v="Turkish Rap"/>
    <d v="2025-03-14T00:00:00"/>
    <s v="https://image-cdn-ak.spotifycdn.com/image/ab67616d00001e023a9bd13e9e63c1440a4e5380"/>
    <b v="0"/>
  </r>
  <r>
    <n v="306"/>
    <s v="spotify:track:1horGWxHKfwctCKdHwrO0n"/>
    <x v="265"/>
    <s v="Keşke"/>
    <s v="Lais Records"/>
    <n v="116"/>
    <n v="2"/>
    <d v="1899-12-30T02:48:00"/>
    <b v="1"/>
    <n v="72"/>
    <n v="75"/>
    <n v="79"/>
    <n v="14"/>
    <n v="12"/>
    <n v="0"/>
    <n v="11"/>
    <n v="52"/>
    <n v="120"/>
    <s v="Turkish Rap"/>
    <d v="2025-03-14T00:00:00"/>
    <s v="https://image-cdn-ak.spotifycdn.com/image/ab67616d00001e023a9bd13e9e63c1440a4e5380"/>
    <b v="0"/>
  </r>
  <r>
    <n v="307"/>
    <s v="spotify:track:1hu2s7qkm5bo03eODpRQO3"/>
    <x v="38"/>
    <s v="Wanna Be Startin' Somethin'"/>
    <s v="Epic"/>
    <n v="196"/>
    <n v="2"/>
    <d v="1899-12-30T06:03:00"/>
    <b v="0"/>
    <n v="75"/>
    <n v="78"/>
    <n v="81"/>
    <n v="5"/>
    <n v="10"/>
    <n v="0"/>
    <n v="13"/>
    <n v="78"/>
    <n v="122"/>
    <s v="Pop"/>
    <d v="1982-11-30T00:00:00"/>
    <s v="https://image-cdn-ak.spotifycdn.com/image/ab67616d00001e0232a7d87248d1b75463483df5"/>
    <b v="0"/>
  </r>
  <r>
    <n v="308"/>
    <s v="spotify:track:1ic3Thr0mG0IsBE98pPcQ2"/>
    <x v="297"/>
    <s v="Dirty Work"/>
    <s v="aespa"/>
    <n v="107"/>
    <n v="1"/>
    <s v="02:48:00"/>
    <b v="0"/>
    <n v="78"/>
    <n v="80"/>
    <n v="76"/>
    <n v="7"/>
    <n v="11"/>
    <n v="0"/>
    <n v="17"/>
    <n v="73"/>
    <n v="125"/>
    <s v="K-Pop"/>
    <s v="27/6/2025"/>
    <s v="https://image-cdn-ak.spotifycdn.com/image/ab67616d00001e0287e8756164e89e8732a3045e"/>
    <b v="0"/>
  </r>
  <r>
    <n v="309"/>
    <s v="spotify:track:1ijYk2EYwj0rGqYwtjiAUJ"/>
    <x v="53"/>
    <s v="Burning Bridges"/>
    <s v="OVO/Republic"/>
    <n v="29"/>
    <n v="2"/>
    <s v="03:18:00"/>
    <b v="1"/>
    <n v="70"/>
    <n v="54"/>
    <n v="71"/>
    <n v="18"/>
    <n v="41"/>
    <n v="0"/>
    <n v="14"/>
    <n v="36"/>
    <n v="102"/>
    <s v="Hip-Hop/Rap"/>
    <s v="20/6/2025"/>
    <s v="https://image-cdn-fa.spotifycdn.com/image/ab67616d00001e02fe9d3ab9adb1d3b59835b81c"/>
    <b v="0"/>
  </r>
  <r>
    <n v="310"/>
    <s v="spotify:track:1j15Ar0qGDzIR0v3CQv3JL"/>
    <x v="298"/>
    <s v="Gnarly"/>
    <s v="HYBE/Geffen"/>
    <n v="46"/>
    <n v="33"/>
    <d v="1899-12-30T02:48:00"/>
    <b v="0"/>
    <n v="80"/>
    <n v="82"/>
    <n v="82"/>
    <n v="12"/>
    <n v="6"/>
    <n v="0"/>
    <n v="13"/>
    <n v="65"/>
    <n v="125"/>
    <s v="K-Pop"/>
    <d v="2025-04-18T00:00:00"/>
    <s v="https://image-cdn-ak.spotifycdn.com/image/ab67616d00001e022ca769bb73374b00d09a1c82"/>
    <b v="0"/>
  </r>
  <r>
    <n v="311"/>
    <s v="spotify:track:1j8TmNa6vaFAEAws43kP0Q"/>
    <x v="2"/>
    <s v="THINGS YOU DO"/>
    <s v="JRC Entertainment, LLC / ILH Production Co. LLC / Def Jam Recordings"/>
    <n v="36"/>
    <n v="1"/>
    <s v="03:05:00"/>
    <b v="0"/>
    <n v="76"/>
    <n v="63"/>
    <n v="73"/>
    <n v="7"/>
    <n v="22"/>
    <n v="0"/>
    <n v="10"/>
    <n v="66"/>
    <n v="112"/>
    <s v="Pop"/>
    <s v="12/9/2025"/>
    <s v="https://image-cdn-ak.spotifycdn.com/image/ab67616d00001e02d65c4773bc5061fd27facc5b"/>
    <b v="0"/>
  </r>
  <r>
    <n v="312"/>
    <s v="spotify:track:1jgTiNob5cVyXeJ3WgX5bL"/>
    <x v="19"/>
    <s v="Elizabeth Taylor"/>
    <s v="Taylor Swift"/>
    <n v="3"/>
    <n v="9"/>
    <s v="03:38:00"/>
    <b v="0"/>
    <n v="61"/>
    <n v="44"/>
    <n v="71"/>
    <n v="4"/>
    <n v="64"/>
    <n v="0"/>
    <n v="11"/>
    <n v="38"/>
    <n v="92"/>
    <s v="Pop"/>
    <s v="3/10/2025"/>
    <s v="https://image-cdn-ak.spotifycdn.com/image/ab67616d00001e02d7812467811a7da6e6a44902"/>
    <b v="0"/>
  </r>
  <r>
    <n v="313"/>
    <s v="spotify:track:1jux3g1YXNub0NkYbLTLIp"/>
    <x v="206"/>
    <s v="ORDER OF PROTECTION"/>
    <s v="A$AP Worldwide/RCA Records"/>
    <n v="184"/>
    <n v="1"/>
    <s v="03:28:00"/>
    <b v="1"/>
    <n v="65"/>
    <n v="58"/>
    <n v="71"/>
    <n v="16"/>
    <n v="42"/>
    <n v="0"/>
    <n v="14"/>
    <n v="38"/>
    <n v="85"/>
    <s v="Hip-Hop/Rap"/>
    <s v="27/6/2025"/>
    <s v="https://image-cdn-ak.spotifycdn.com/image/ab67616d00001e02be35d523672e13da3debc413"/>
    <b v="0"/>
  </r>
  <r>
    <n v="314"/>
    <s v="spotify:track:1k0JAiH11gHL9dc5dfQjQr"/>
    <x v="299"/>
    <s v="NOT CUTE ANYMORE"/>
    <s v="BELIFT LAB"/>
    <n v="113"/>
    <n v="8"/>
    <d v="1899-12-30T02:48:00"/>
    <b v="0"/>
    <n v="78"/>
    <n v="80"/>
    <n v="81"/>
    <n v="10"/>
    <n v="8"/>
    <n v="0"/>
    <n v="13"/>
    <n v="62"/>
    <n v="122"/>
    <s v="K-Pop"/>
    <d v="2025-03-24T00:00:00"/>
    <s v="https://image-cdn-ak.spotifycdn.com/image/ab67616d00001e023d09075f6c7fabe9a7234cb3"/>
    <b v="0"/>
  </r>
  <r>
    <n v="315"/>
    <s v="spotify:track:1k2pQc5i348DCHwbn5KTdc"/>
    <x v="115"/>
    <s v="Pink Pony Club"/>
    <s v="Chappell Roan PS/ Island"/>
    <n v="64"/>
    <n v="23"/>
    <d v="1899-12-30T04:18:00"/>
    <b v="0"/>
    <n v="61"/>
    <n v="65"/>
    <n v="90"/>
    <n v="5"/>
    <n v="40"/>
    <n v="0"/>
    <n v="11"/>
    <n v="51"/>
    <n v="107"/>
    <s v="Pop"/>
    <d v="2020-04-03T00:00:00"/>
    <s v="https://image-cdn-ak.spotifycdn.com/image/ab67616d00001e0296fa88fb1789be437d5cb4b6"/>
    <b v="0"/>
  </r>
  <r>
    <n v="316"/>
    <s v="spotify:track:1kUyOJb3fzUo8r0OCz5SQk"/>
    <x v="141"/>
    <s v="Mantra"/>
    <s v="OA Entertainment/Columbia"/>
    <n v="11"/>
    <n v="13"/>
    <d v="1899-12-30T02:48:00"/>
    <b v="1"/>
    <n v="89"/>
    <n v="72"/>
    <n v="92"/>
    <n v="4"/>
    <n v="0"/>
    <n v="0"/>
    <n v="8"/>
    <n v="84"/>
    <n v="117"/>
    <s v="K-Pop"/>
    <d v="2024-10-11T00:00:00"/>
    <s v="https://image-cdn-ak.spotifycdn.com/image/ab67616d00001e02dcf27dec5e479b2e39c4c993"/>
    <b v="0"/>
  </r>
  <r>
    <n v="317"/>
    <s v="spotify:track:1lJOLxDS8kS2rihrqezMcv"/>
    <x v="300"/>
    <s v="Century"/>
    <s v="Lizzy Records"/>
    <n v="172"/>
    <n v="2"/>
    <s v="02:55:00"/>
    <b v="1"/>
    <n v="68"/>
    <n v="58"/>
    <n v="71"/>
    <n v="6"/>
    <n v="36"/>
    <n v="0"/>
    <n v="14"/>
    <n v="50"/>
    <n v="120"/>
    <s v="UK Rap"/>
    <s v="16/1/2026"/>
    <s v="https://image-cdn-ak.spotifycdn.com/image/ab67616d00001e026a27219d9d1b921ef86a13fb"/>
    <b v="0"/>
  </r>
  <r>
    <n v="318"/>
    <s v="spotify:track:1lOe9qE0vR9zwWQAOk6CoO"/>
    <x v="301"/>
    <s v="Ransom"/>
    <s v="Republic Records"/>
    <n v="3"/>
    <n v="72"/>
    <d v="1899-12-30T02:05:00"/>
    <b v="1"/>
    <n v="74"/>
    <n v="64"/>
    <n v="90"/>
    <n v="29"/>
    <n v="2"/>
    <n v="0"/>
    <n v="7"/>
    <n v="23"/>
    <n v="180"/>
    <s v="Hip-Hop/Rap"/>
    <d v="2019-09-20T00:00:00"/>
    <s v="https://image-cdn-ak.spotifycdn.com/image/ab67616d00001e02bd69bbde4aeee723d6d08058"/>
    <b v="0"/>
  </r>
  <r>
    <n v="319"/>
    <s v="spotify:track:1lTqq0aC6r2bXLviQ3oaVt"/>
    <x v="238"/>
    <s v="Ring Ring Ring"/>
    <s v="Columbia"/>
    <n v="45"/>
    <n v="3"/>
    <s v="03:18:00"/>
    <b v="1"/>
    <n v="80"/>
    <n v="61"/>
    <n v="72"/>
    <n v="19"/>
    <n v="32"/>
    <n v="0"/>
    <n v="12"/>
    <n v="58"/>
    <n v="112"/>
    <s v="Hip-Hop/Rap"/>
    <s v="18/7/2025"/>
    <s v="https://image-cdn-fa.spotifycdn.com/image/ab67616d00001e024b7fbb849ed845ddedcce346"/>
    <b v="0"/>
  </r>
  <r>
    <n v="320"/>
    <s v="spotify:track:1lbNgoJ5iMrMluCyhI4OQP"/>
    <x v="302"/>
    <s v="Victory Lap"/>
    <s v="Atlantic Records UK"/>
    <n v="123"/>
    <n v="2"/>
    <s v="03:35:00"/>
    <b v="0"/>
    <n v="76"/>
    <n v="72"/>
    <n v="72"/>
    <n v="14"/>
    <n v="15"/>
    <n v="0"/>
    <n v="25"/>
    <n v="58"/>
    <n v="140"/>
    <s v="Electronic"/>
    <s v="22/8/2025"/>
    <s v="https://image-cdn-fa.spotifycdn.com/image/ab67616d00001e02bf705b821b031cefe91d7b90"/>
    <b v="0"/>
  </r>
  <r>
    <n v="320"/>
    <s v="spotify:track:1lbNgoJ5iMrMluCyhI4OQP"/>
    <x v="303"/>
    <s v="Victory Lap"/>
    <s v="Atlantic Records UK"/>
    <n v="123"/>
    <n v="2"/>
    <s v="03:35:00"/>
    <b v="0"/>
    <n v="76"/>
    <n v="72"/>
    <n v="72"/>
    <n v="14"/>
    <n v="15"/>
    <n v="0"/>
    <n v="25"/>
    <n v="58"/>
    <n v="140"/>
    <s v="Electronic"/>
    <s v="22/8/2025"/>
    <s v="https://image-cdn-fa.spotifycdn.com/image/ab67616d00001e02bf705b821b031cefe91d7b90"/>
    <b v="0"/>
  </r>
  <r>
    <n v="320"/>
    <s v="spotify:track:1lbNgoJ5iMrMluCyhI4OQP"/>
    <x v="304"/>
    <s v="Victory Lap"/>
    <s v="Atlantic Records UK"/>
    <n v="123"/>
    <n v="2"/>
    <s v="03:35:00"/>
    <b v="0"/>
    <n v="76"/>
    <n v="72"/>
    <n v="72"/>
    <n v="14"/>
    <n v="15"/>
    <n v="0"/>
    <n v="25"/>
    <n v="58"/>
    <n v="140"/>
    <s v="Electronic"/>
    <s v="22/8/2025"/>
    <s v="https://image-cdn-fa.spotifycdn.com/image/ab67616d00001e02bf705b821b031cefe91d7b90"/>
    <b v="0"/>
  </r>
  <r>
    <n v="321"/>
    <s v="spotify:track:1lcBt7LoEikqYmhUoa2cez"/>
    <x v="305"/>
    <s v="number one girl"/>
    <s v="Atlantic Records"/>
    <n v="46"/>
    <n v="9"/>
    <d v="1899-12-30T03:15:00"/>
    <b v="0"/>
    <n v="29"/>
    <n v="38"/>
    <n v="87"/>
    <n v="3"/>
    <n v="29"/>
    <n v="0"/>
    <n v="10"/>
    <n v="14"/>
    <n v="175"/>
    <s v="Pop"/>
    <d v="2024-12-06T00:00:00"/>
    <s v="https://image-cdn-ak.spotifycdn.com/image/ab67616d00001e027be65ce6672ed7e5aac6e966"/>
    <b v="0"/>
  </r>
  <r>
    <n v="322"/>
    <s v="spotify:track:1lfO0bqThTLimzHsvk3LrN"/>
    <x v="301"/>
    <s v="OWA OWA"/>
    <s v="Galactic / Republic Records"/>
    <n v="73"/>
    <n v="4"/>
    <s v="02:18:00"/>
    <b v="1"/>
    <n v="82"/>
    <n v="59"/>
    <n v="71"/>
    <n v="14"/>
    <n v="26"/>
    <n v="0"/>
    <n v="11"/>
    <n v="66"/>
    <n v="140"/>
    <s v="Hip-Hop/Rap"/>
    <s v="13/6/2025"/>
    <s v="https://image-cdn-fa.spotifycdn.com/image/ab67616d00001e0286c8cd0e15776fa1e18715ec"/>
    <b v="0"/>
  </r>
  <r>
    <n v="323"/>
    <s v="spotify:track:1mEQbSq0PCNjyL6oMgHKFQ"/>
    <x v="2"/>
    <s v="LOVE SONG"/>
    <s v="JRC Entertainment, LLC / ILH Production Co. LLC / Def Jam Recordings"/>
    <n v="148"/>
    <n v="1"/>
    <s v="03:05:00"/>
    <b v="0"/>
    <n v="64"/>
    <n v="48"/>
    <n v="71"/>
    <n v="5"/>
    <n v="49"/>
    <n v="0"/>
    <n v="12"/>
    <n v="45"/>
    <n v="90"/>
    <s v="Pop"/>
    <s v="12/9/2025"/>
    <s v="https://image-cdn-fa.spotifycdn.com/image/ab67616d00001e02a958d093e94944dd0e7258b2"/>
    <b v="0"/>
  </r>
  <r>
    <n v="324"/>
    <s v="spotify:track:1mH6tZC6iXIHPI6EixCwxw"/>
    <x v="306"/>
    <s v="I Wish It Could Be Christmas Everyday"/>
    <s v="Parlophone UK"/>
    <n v="135"/>
    <n v="6"/>
    <d v="1899-12-30T04:38:00"/>
    <b v="0"/>
    <n v="68"/>
    <n v="72"/>
    <n v="78"/>
    <n v="5"/>
    <n v="25"/>
    <n v="0"/>
    <n v="14"/>
    <n v="82"/>
    <n v="130"/>
    <s v="Christmas"/>
    <d v="1973-11-30T00:00:00"/>
    <s v="https://image-cdn-ak.spotifycdn.com/image/ab67616d00001e029109e03c3af357db6c39c085"/>
    <b v="1"/>
  </r>
  <r>
    <n v="325"/>
    <s v="spotify:track:1mKXFLRA179hdOWQBwUk9e"/>
    <x v="307"/>
    <s v="Just Give Me a Reason (feat. Nate Ruess)"/>
    <s v="RCA Records Label"/>
    <n v="55"/>
    <n v="8"/>
    <d v="1899-12-30T04:02:00"/>
    <b v="0"/>
    <n v="78"/>
    <n v="55"/>
    <n v="88"/>
    <n v="5"/>
    <n v="34"/>
    <n v="0"/>
    <n v="13"/>
    <n v="44"/>
    <n v="95"/>
    <s v="Pop"/>
    <d v="2013-02-26T00:00:00"/>
    <s v="https://image-cdn-ak.spotifycdn.com/image/ab67616d00001e0224a1ac503b55e6eef9a7bb8c"/>
    <b v="0"/>
  </r>
  <r>
    <n v="325"/>
    <s v="spotify:track:1mKXFLRA179hdOWQBwUk9e"/>
    <x v="308"/>
    <s v="Just Give Me a Reason (feat. Nate Ruess)"/>
    <s v="RCA Records Label"/>
    <n v="55"/>
    <n v="8"/>
    <d v="1899-12-30T04:02:00"/>
    <b v="0"/>
    <n v="78"/>
    <n v="55"/>
    <n v="88"/>
    <n v="5"/>
    <n v="34"/>
    <n v="0"/>
    <n v="13"/>
    <n v="44"/>
    <n v="95"/>
    <s v="Pop"/>
    <d v="2013-02-26T00:00:00"/>
    <s v="https://image-cdn-ak.spotifycdn.com/image/ab67616d00001e0224a1ac503b55e6eef9a7bb8c"/>
    <b v="0"/>
  </r>
  <r>
    <n v="326"/>
    <s v="spotify:track:1mea3bSkSGXuIRvnydlB5b"/>
    <x v="40"/>
    <s v="Viva La Vida"/>
    <s v="Parlophone UK"/>
    <n v="31"/>
    <n v="214"/>
    <d v="1899-12-30T04:02:00"/>
    <b v="0"/>
    <n v="49"/>
    <n v="62"/>
    <n v="88"/>
    <n v="3"/>
    <n v="10"/>
    <n v="0"/>
    <n v="11"/>
    <n v="42"/>
    <n v="138"/>
    <s v="Alternative Rock"/>
    <d v="2008-05-25T00:00:00"/>
    <s v="https://image-cdn-ak.spotifycdn.com/image/ab67616d00001e02e21cc1db05580b6f2d2a3b6e"/>
    <b v="0"/>
  </r>
  <r>
    <n v="327"/>
    <s v="spotify:track:1mfvWzF39LwVpAm8g0LhQT"/>
    <x v="263"/>
    <s v="MONTAGEM TOMADA - Slowed"/>
    <s v="Enarma Records"/>
    <n v="161"/>
    <n v="1"/>
    <d v="1899-12-30T02:35:00"/>
    <b v="1"/>
    <n v="85"/>
    <n v="82"/>
    <n v="82"/>
    <n v="14"/>
    <n v="5"/>
    <n v="0"/>
    <n v="15"/>
    <n v="72"/>
    <n v="130"/>
    <s v="Phonk"/>
    <d v="2025-03-14T00:00:00"/>
    <s v="https://image-cdn-ak.spotifycdn.com/image/ab67616d00001e027341f6edbaeea29a38cbee2b"/>
    <b v="0"/>
  </r>
  <r>
    <n v="328"/>
    <s v="spotify:track:1mgoLJV5W6JSWanT5bgf3o"/>
    <x v="265"/>
    <s v="KUSURA BAKMA"/>
    <s v="Mundo Music"/>
    <n v="29"/>
    <n v="5"/>
    <d v="1899-12-30T02:48:00"/>
    <b v="1"/>
    <n v="72"/>
    <n v="75"/>
    <n v="79"/>
    <n v="14"/>
    <n v="12"/>
    <n v="0"/>
    <n v="11"/>
    <n v="52"/>
    <n v="120"/>
    <s v="Turkish Rap"/>
    <d v="2025-02-14T00:00:00"/>
    <s v="https://image-cdn-ak.spotifycdn.com/image/ab67616d00001e0233f51b5590a571fef62c26bc"/>
    <b v="0"/>
  </r>
  <r>
    <n v="329"/>
    <s v="spotify:track:1musbempyJAw5gfSKZHXP9"/>
    <x v="288"/>
    <s v="Anxiety"/>
    <s v="Top Dawg Entertainment/Capitol Records"/>
    <n v="5"/>
    <n v="1"/>
    <s v="03:18:00"/>
    <b v="1"/>
    <n v="65"/>
    <n v="58"/>
    <n v="71"/>
    <n v="11"/>
    <n v="36"/>
    <n v="0"/>
    <n v="16"/>
    <n v="42"/>
    <n v="92"/>
    <s v="Hip-Hop/Rap"/>
    <s v="15/8/2025"/>
    <s v="https://image-cdn-ak.spotifycdn.com/image/ab67616d00001e023de7e97b3e5aa3eaccfc19ec"/>
    <b v="0"/>
  </r>
  <r>
    <n v="330"/>
    <s v="spotify:track:1myZ6GQewhAzMH2dKtKSWK"/>
    <x v="39"/>
    <s v="Dance With Me"/>
    <s v="Atlantic Records"/>
    <n v="83"/>
    <n v="2"/>
    <s v="03:05:00"/>
    <b v="0"/>
    <n v="82"/>
    <n v="76"/>
    <n v="75"/>
    <n v="7"/>
    <n v="11"/>
    <n v="0"/>
    <n v="15"/>
    <n v="81"/>
    <n v="122"/>
    <s v="Pop"/>
    <s v="12/9/2025"/>
    <s v="https://image-cdn-ak.spotifycdn.com/image/ab67616d00001e023eb8dc748f7efb1470f74395"/>
    <b v="0"/>
  </r>
  <r>
    <n v="331"/>
    <s v="spotify:track:1nkrOMcNi5TAwYWDQAOaB3"/>
    <x v="309"/>
    <s v="4x4"/>
    <s v="WM Mexico"/>
    <n v="121"/>
    <n v="3"/>
    <s v="02:55:00"/>
    <b v="1"/>
    <n v="72"/>
    <n v="66"/>
    <n v="73"/>
    <n v="5"/>
    <n v="32"/>
    <n v="0"/>
    <n v="13"/>
    <n v="78"/>
    <n v="145"/>
    <s v="Regional Mexicano"/>
    <s v="13/6/2025"/>
    <s v="https://image-cdn-ak.spotifycdn.com/image/ab67616d00001e02ac8c116bb192da362d2b5152"/>
    <b v="0"/>
  </r>
  <r>
    <n v="331"/>
    <s v="spotify:track:1nkrOMcNi5TAwYWDQAOaB3"/>
    <x v="310"/>
    <s v="4x4"/>
    <s v="WM Mexico"/>
    <n v="121"/>
    <n v="3"/>
    <s v="02:55:00"/>
    <b v="1"/>
    <n v="72"/>
    <n v="66"/>
    <n v="73"/>
    <n v="5"/>
    <n v="32"/>
    <n v="0"/>
    <n v="13"/>
    <n v="78"/>
    <n v="145"/>
    <s v="Regional Mexicano"/>
    <s v="13/6/2025"/>
    <s v="https://image-cdn-ak.spotifycdn.com/image/ab67616d00001e02ac8c116bb192da362d2b5152"/>
    <b v="0"/>
  </r>
  <r>
    <n v="331"/>
    <s v="spotify:track:1nkrOMcNi5TAwYWDQAOaB3"/>
    <x v="311"/>
    <s v="4x4"/>
    <s v="WM Mexico"/>
    <n v="121"/>
    <n v="3"/>
    <s v="02:55:00"/>
    <b v="1"/>
    <n v="72"/>
    <n v="66"/>
    <n v="73"/>
    <n v="5"/>
    <n v="32"/>
    <n v="0"/>
    <n v="13"/>
    <n v="78"/>
    <n v="145"/>
    <s v="Regional Mexicano"/>
    <s v="13/6/2025"/>
    <s v="https://image-cdn-ak.spotifycdn.com/image/ab67616d00001e02ac8c116bb192da362d2b5152"/>
    <b v="0"/>
  </r>
  <r>
    <n v="331"/>
    <s v="spotify:track:1nkrOMcNi5TAwYWDQAOaB3"/>
    <x v="139"/>
    <s v="4x4"/>
    <s v="WM Mexico"/>
    <n v="121"/>
    <n v="3"/>
    <s v="02:55:00"/>
    <b v="1"/>
    <n v="72"/>
    <n v="66"/>
    <n v="73"/>
    <n v="5"/>
    <n v="32"/>
    <n v="0"/>
    <n v="13"/>
    <n v="78"/>
    <n v="145"/>
    <s v="Regional Mexicano"/>
    <s v="13/6/2025"/>
    <s v="https://image-cdn-ak.spotifycdn.com/image/ab67616d00001e02ac8c116bb192da362d2b5152"/>
    <b v="0"/>
  </r>
  <r>
    <n v="333"/>
    <s v="spotify:track:1oFAF1hdPOickyHgbuRjyX"/>
    <x v="98"/>
    <s v="Save Your Tears (Remix) (with Ariana Grande) - Bonus Track"/>
    <s v="XO / Republic Records"/>
    <n v="5"/>
    <n v="112"/>
    <d v="1899-12-30T03:11:00"/>
    <b v="0"/>
    <n v="65"/>
    <n v="82"/>
    <n v="92"/>
    <n v="3"/>
    <n v="2"/>
    <n v="0"/>
    <n v="9"/>
    <n v="59"/>
    <n v="118"/>
    <s v="Pop"/>
    <d v="2021-04-23T00:00:00"/>
    <s v="https://image-cdn-ak.spotifycdn.com/image/ab67616d00001e02b5097b81179824803664aaaf"/>
    <b v="0"/>
  </r>
  <r>
    <n v="333"/>
    <s v="spotify:track:1oFAF1hdPOickyHgbuRjyX"/>
    <x v="55"/>
    <s v="Save Your Tears (Remix) (with Ariana Grande) - Bonus Track"/>
    <s v="XO / Republic Records"/>
    <n v="5"/>
    <n v="112"/>
    <d v="1899-12-30T03:11:00"/>
    <b v="0"/>
    <n v="65"/>
    <n v="82"/>
    <n v="92"/>
    <n v="3"/>
    <n v="2"/>
    <n v="0"/>
    <n v="9"/>
    <n v="59"/>
    <n v="118"/>
    <s v="Pop"/>
    <d v="2021-04-23T00:00:00"/>
    <s v="https://image-cdn-ak.spotifycdn.com/image/ab67616d00001e02b5097b81179824803664aaaf"/>
    <b v="0"/>
  </r>
  <r>
    <n v="334"/>
    <s v="spotify:track:1pzN8bCzy017iK3vWzkk6Z"/>
    <x v="1"/>
    <s v="WAKE UP F1LTHY (with Travis Scott)"/>
    <s v="AWGE/Interscope Records"/>
    <n v="65"/>
    <n v="1"/>
    <d v="1899-12-30T03:22:00"/>
    <b v="1"/>
    <n v="69"/>
    <n v="69"/>
    <n v="90"/>
    <n v="6"/>
    <n v="6"/>
    <n v="0"/>
    <n v="28"/>
    <n v="32"/>
    <n v="125"/>
    <s v="Hip-Hop/Rap"/>
    <d v="2025-03-14T00:00:00"/>
    <s v="https://image-cdn-ak.spotifycdn.com/image/ab67616d00001e026b219c8d8462bfe254a20469"/>
    <b v="0"/>
  </r>
  <r>
    <n v="334"/>
    <s v="spotify:track:1pzN8bCzy017iK3vWzkk6Z"/>
    <x v="186"/>
    <s v="WAKE UP F1LTHY (with Travis Scott)"/>
    <s v="AWGE/Interscope Records"/>
    <n v="65"/>
    <n v="1"/>
    <d v="1899-12-30T03:22:00"/>
    <b v="1"/>
    <n v="69"/>
    <n v="69"/>
    <n v="90"/>
    <n v="6"/>
    <n v="6"/>
    <n v="0"/>
    <n v="28"/>
    <n v="32"/>
    <n v="125"/>
    <s v="Hip-Hop/Rap"/>
    <d v="2025-03-14T00:00:00"/>
    <s v="https://image-cdn-ak.spotifycdn.com/image/ab67616d00001e026b219c8d8462bfe254a20469"/>
    <b v="0"/>
  </r>
  <r>
    <n v="335"/>
    <s v="spotify:track:1qDrWA6lyx8cLECdZE7TV7"/>
    <x v="312"/>
    <s v="Somebody That I Used To Know"/>
    <s v="Universal-Island Records Ltd."/>
    <n v="129"/>
    <n v="29"/>
    <d v="1899-12-30T04:04:00"/>
    <b v="0"/>
    <n v="86"/>
    <n v="52"/>
    <n v="88"/>
    <n v="4"/>
    <n v="55"/>
    <n v="0"/>
    <n v="10"/>
    <n v="75"/>
    <n v="129"/>
    <s v="Alternative"/>
    <d v="2011-07-05T00:00:00"/>
    <s v="https://image-cdn-ak.spotifycdn.com/image/ab67616d00001e028ac5768205ad97df3f4f4c0e"/>
    <b v="0"/>
  </r>
  <r>
    <n v="335"/>
    <s v="spotify:track:1qDrWA6lyx8cLECdZE7TV7"/>
    <x v="313"/>
    <s v="Somebody That I Used To Know"/>
    <s v="Universal-Island Records Ltd."/>
    <n v="129"/>
    <n v="29"/>
    <d v="1899-12-30T04:04:00"/>
    <b v="0"/>
    <n v="86"/>
    <n v="52"/>
    <n v="88"/>
    <n v="4"/>
    <n v="55"/>
    <n v="0"/>
    <n v="10"/>
    <n v="75"/>
    <n v="129"/>
    <s v="Alternative"/>
    <d v="2011-07-05T00:00:00"/>
    <s v="https://image-cdn-ak.spotifycdn.com/image/ab67616d00001e028ac5768205ad97df3f4f4c0e"/>
    <b v="0"/>
  </r>
  <r>
    <n v="336"/>
    <s v="spotify:track:1qRV1dKLOfH1s00b9J2LUQ"/>
    <x v="225"/>
    <s v="Midnight Sun"/>
    <s v="Sommer House/Epic"/>
    <n v="63"/>
    <n v="37"/>
    <s v="03:05:00"/>
    <b v="0"/>
    <n v="72"/>
    <n v="66"/>
    <n v="73"/>
    <n v="5"/>
    <n v="24"/>
    <n v="0"/>
    <n v="13"/>
    <n v="59"/>
    <n v="116"/>
    <s v="Pop"/>
    <s v="30/5/2025"/>
    <s v="https://image-cdn-ak.spotifycdn.com/image/ab67616d00001e027657f9028ea8bb2c18dca99f"/>
    <b v="0"/>
  </r>
  <r>
    <n v="337"/>
    <s v="spotify:track:1qbmS6ep2hbBRaEZFpn7BX"/>
    <x v="77"/>
    <s v="Man I Need"/>
    <s v="PLG - Capitol"/>
    <n v="3"/>
    <n v="58"/>
    <d v="1899-12-30T03:18:00"/>
    <b v="0"/>
    <n v="62"/>
    <n v="65"/>
    <n v="76"/>
    <n v="5"/>
    <n v="35"/>
    <n v="0"/>
    <n v="10"/>
    <n v="52"/>
    <n v="95"/>
    <s v="Pop"/>
    <d v="2024-10-18T00:00:00"/>
    <s v="https://image-cdn-fa.spotifycdn.com/image/ab67616d00001e02e3d69e17dde129037a1f09e2"/>
    <b v="0"/>
  </r>
  <r>
    <n v="338"/>
    <s v="spotify:track:1qyw5wSUkEvH8DtaCdx7Lg"/>
    <x v="124"/>
    <s v="Go Go Juice"/>
    <s v="Island Records"/>
    <n v="18"/>
    <n v="4"/>
    <s v="02:48:00"/>
    <b v="0"/>
    <n v="82"/>
    <n v="74"/>
    <n v="75"/>
    <n v="8"/>
    <n v="11"/>
    <n v="0"/>
    <n v="15"/>
    <n v="82"/>
    <n v="122"/>
    <s v="Pop"/>
    <s v="29/8/2025"/>
    <s v="https://image-cdn-ak.spotifycdn.com/image/ab67616d00001e02b1863bf95557ea7f357c4947"/>
    <b v="0"/>
  </r>
  <r>
    <n v="339"/>
    <s v="spotify:track:1r3uOHPoiIv89Xb6K9bDH4"/>
    <x v="314"/>
    <s v="WAY IT IS"/>
    <s v="JRC Entertainment, LLC / ILH Production Co. LLC / Def Jam Recordings"/>
    <n v="48"/>
    <n v="1"/>
    <s v="03:18:00"/>
    <b v="1"/>
    <n v="80"/>
    <n v="60"/>
    <n v="72"/>
    <n v="14"/>
    <n v="16"/>
    <n v="0"/>
    <n v="13"/>
    <n v="58"/>
    <n v="132"/>
    <s v="Hip-Hop/Rap"/>
    <s v="12/9/2025"/>
    <s v="https://image-cdn-ak.spotifycdn.com/image/ab67616d00001e02d65c4773bc5061fd27facc5b"/>
    <b v="0"/>
  </r>
  <r>
    <n v="339"/>
    <s v="spotify:track:1r3uOHPoiIv89Xb6K9bDH4"/>
    <x v="2"/>
    <s v="WAY IT IS"/>
    <s v="JRC Entertainment, LLC / ILH Production Co. LLC / Def Jam Recordings"/>
    <n v="48"/>
    <n v="1"/>
    <s v="03:18:00"/>
    <b v="1"/>
    <n v="80"/>
    <n v="60"/>
    <n v="72"/>
    <n v="14"/>
    <n v="16"/>
    <n v="0"/>
    <n v="13"/>
    <n v="58"/>
    <n v="132"/>
    <s v="Hip-Hop/Rap"/>
    <s v="12/9/2025"/>
    <s v="https://image-cdn-ak.spotifycdn.com/image/ab67616d00001e02d65c4773bc5061fd27facc5b"/>
    <b v="0"/>
  </r>
  <r>
    <n v="340"/>
    <s v="spotify:track:1rIKgCH4H52lrvDcz50hS8"/>
    <x v="225"/>
    <s v="Lush Life"/>
    <s v="Epic/Record Company TEN"/>
    <n v="7"/>
    <n v="58"/>
    <d v="1899-12-30T03:20:00"/>
    <b v="0"/>
    <n v="69"/>
    <n v="71"/>
    <n v="93"/>
    <n v="5"/>
    <n v="13"/>
    <n v="0"/>
    <n v="21"/>
    <n v="80"/>
    <n v="98"/>
    <s v="Dance Pop"/>
    <d v="2015-06-05T00:00:00"/>
    <s v="https://image-cdn-ak.spotifycdn.com/image/ab67616d00001e02401bf6103d4b7f5230a21582"/>
    <b v="0"/>
  </r>
  <r>
    <n v="341"/>
    <s v="spotify:track:1rKQjUhF9zFJmuUotr3VkV"/>
    <x v="203"/>
    <s v="TAKEDOWN (JEONGYEON, JIHYO, CHAEYOUNG)"/>
    <s v="K-Pop Demon Hunters"/>
    <n v="77"/>
    <n v="2"/>
    <s v="03:05:00"/>
    <b v="0"/>
    <n v="80"/>
    <n v="82"/>
    <n v="76"/>
    <n v="7"/>
    <n v="12"/>
    <n v="0"/>
    <n v="15"/>
    <n v="74"/>
    <n v="128"/>
    <s v="K-Pop"/>
    <s v="20/6/2025"/>
    <s v="https://image-cdn-ak.spotifycdn.com/image/ab67616d00001e024dcb6c5df15cf74596ab25a4"/>
    <b v="0"/>
  </r>
  <r>
    <n v="342"/>
    <s v="spotify:track:1rQEgtQNsj63xIUzEmKbML"/>
    <x v="186"/>
    <s v="DUMBO"/>
    <s v="Cactus Jack / Epic"/>
    <n v="79"/>
    <n v="1"/>
    <s v="03:18:00"/>
    <b v="1"/>
    <n v="76"/>
    <n v="66"/>
    <n v="73"/>
    <n v="6"/>
    <n v="19"/>
    <n v="0"/>
    <n v="12"/>
    <n v="46"/>
    <n v="138"/>
    <s v="Hip-Hop/Rap"/>
    <s v="27/6/2025"/>
    <s v="https://image-cdn-ak.spotifycdn.com/image/ab67616d00001e025d0f8a4c3623e02a79928288"/>
    <b v="0"/>
  </r>
  <r>
    <n v="343"/>
    <s v="spotify:track:1rv46mRwDqMEhOBZ7vODg3"/>
    <x v="58"/>
    <s v="It's Beginning to Look a Lot like Christmas"/>
    <s v="Reprise"/>
    <n v="6"/>
    <n v="54"/>
    <d v="1899-12-30T03:26:00"/>
    <b v="0"/>
    <n v="60"/>
    <n v="62"/>
    <n v="77"/>
    <n v="4"/>
    <n v="40"/>
    <n v="0"/>
    <n v="14"/>
    <n v="82"/>
    <n v="125"/>
    <s v="Christmas"/>
    <d v="2011-10-24T00:00:00"/>
    <s v="https://image-cdn-ak.spotifycdn.com/image/ab67616d00001e02b601df2f604eabf6f1302337"/>
    <b v="1"/>
  </r>
  <r>
    <n v="344"/>
    <s v="spotify:track:1sA1DhT0bLyeICf8NalPS7"/>
    <x v="5"/>
    <s v="Aperture"/>
    <s v="Columbia"/>
    <n v="2"/>
    <n v="10"/>
    <s v="03:28:00"/>
    <b v="0"/>
    <n v="59"/>
    <n v="48"/>
    <n v="70"/>
    <n v="4"/>
    <n v="53"/>
    <n v="1"/>
    <n v="12"/>
    <n v="39"/>
    <n v="104"/>
    <s v="Pop"/>
    <s v="6/3/2026"/>
    <s v="https://image-cdn-fa.spotifycdn.com/image/ab67616d00001e0274959140f550b11049c18a38"/>
    <b v="0"/>
  </r>
  <r>
    <n v="345"/>
    <s v="spotify:track:1sVBT215CDmVJvfy1E2OCU"/>
    <x v="39"/>
    <s v="God Was Showing Off"/>
    <s v="Atlantic Records"/>
    <n v="55"/>
    <n v="2"/>
    <s v="03:08:00"/>
    <b v="0"/>
    <n v="72"/>
    <n v="61"/>
    <n v="73"/>
    <n v="5"/>
    <n v="24"/>
    <n v="0"/>
    <n v="11"/>
    <n v="69"/>
    <n v="105"/>
    <s v="Pop"/>
    <s v="12/9/2025"/>
    <s v="https://image-cdn-ak.spotifycdn.com/image/ab67616d00001e023eb8dc748f7efb1470f74395"/>
    <b v="0"/>
  </r>
  <r>
    <n v="346"/>
    <s v="spotify:track:1sVQuuvFDKu6vklPVeiUXT"/>
    <x v="315"/>
    <s v="Dunia Yang Nanti"/>
    <s v="Raim Laode"/>
    <n v="74"/>
    <n v="10"/>
    <d v="1899-12-30T03:48:00"/>
    <b v="0"/>
    <n v="55"/>
    <n v="55"/>
    <n v="74"/>
    <n v="5"/>
    <n v="45"/>
    <n v="0"/>
    <n v="10"/>
    <n v="50"/>
    <n v="90"/>
    <s v="Indie Pop"/>
    <d v="2024-12-06T00:00:00"/>
    <s v="https://image-cdn-ak.spotifycdn.com/image/ab67616d00001e02a9d1f9b5d3275b0625e13e79"/>
    <b v="0"/>
  </r>
  <r>
    <n v="347"/>
    <s v="spotify:track:1tMRh8jiYlmatpVeWWesCe"/>
    <x v="169"/>
    <s v="On My Mind"/>
    <s v="Atlantic Records"/>
    <n v="169"/>
    <n v="1"/>
    <s v="03:05:00"/>
    <b v="0"/>
    <n v="68"/>
    <n v="65"/>
    <n v="73"/>
    <n v="4"/>
    <n v="29"/>
    <n v="0"/>
    <n v="11"/>
    <n v="58"/>
    <n v="122"/>
    <s v="Pop"/>
    <s v="17/10/2025"/>
    <s v="https://image-cdn-ak.spotifycdn.com/image/ab67616d00001e02ec955e8f93996f0973d95e53"/>
    <b v="0"/>
  </r>
  <r>
    <n v="347"/>
    <s v="spotify:track:1tMRh8jiYlmatpVeWWesCe"/>
    <x v="305"/>
    <s v="On My Mind"/>
    <s v="Atlantic Records"/>
    <n v="169"/>
    <n v="1"/>
    <s v="03:05:00"/>
    <b v="0"/>
    <n v="68"/>
    <n v="65"/>
    <n v="73"/>
    <n v="4"/>
    <n v="29"/>
    <n v="0"/>
    <n v="11"/>
    <n v="58"/>
    <n v="122"/>
    <s v="Pop"/>
    <s v="17/10/2025"/>
    <s v="https://image-cdn-ak.spotifycdn.com/image/ab67616d00001e02ec955e8f93996f0973d95e53"/>
    <b v="0"/>
  </r>
  <r>
    <n v="348"/>
    <s v="spotify:track:1tz7RZirwiuaJw2p0jbdHb"/>
    <x v="105"/>
    <s v="KOKO"/>
    <s v="Rimas Entertainment LLC."/>
    <n v="66"/>
    <n v="27"/>
    <d v="1899-12-30T03:05:00"/>
    <b v="1"/>
    <n v="82"/>
    <n v="78"/>
    <n v="81"/>
    <n v="11"/>
    <n v="8"/>
    <n v="0"/>
    <n v="13"/>
    <n v="62"/>
    <n v="96"/>
    <s v="Reggaeton"/>
    <d v="2025-03-14T00:00:00"/>
    <s v="https://image-cdn-ak.spotifycdn.com/image/ab67616d00001e0290af5246adcaa93acb721c17"/>
    <b v="0"/>
  </r>
  <r>
    <n v="349"/>
    <s v="spotify:track:1u8c2t2Cy7UBoG4ArRcF5g"/>
    <x v="19"/>
    <s v="Blank Space"/>
    <s v="Taylor Swift"/>
    <n v="27"/>
    <n v="121"/>
    <d v="1899-12-30T03:51:00"/>
    <b v="0"/>
    <n v="76"/>
    <n v="70"/>
    <n v="91"/>
    <n v="5"/>
    <n v="10"/>
    <n v="0"/>
    <n v="9"/>
    <n v="57"/>
    <n v="96"/>
    <s v="Pop"/>
    <d v="2014-10-27T00:00:00"/>
    <s v="https://image-cdn-ak.spotifycdn.com/image/ab67616d00001e0252b2a3824413eefe9e33817a"/>
    <b v="0"/>
  </r>
  <r>
    <n v="350"/>
    <s v="spotify:track:1uN0f4NqMDcReSwXO6PLuG"/>
    <x v="110"/>
    <s v="Where Have You Been"/>
    <s v="Def Jam Recordings"/>
    <n v="81"/>
    <n v="14"/>
    <d v="1899-12-30T04:02:00"/>
    <b v="0"/>
    <n v="72"/>
    <n v="85"/>
    <n v="89"/>
    <n v="9"/>
    <n v="0"/>
    <n v="2"/>
    <n v="22"/>
    <n v="44"/>
    <n v="128"/>
    <s v="Dance Pop"/>
    <d v="2011-11-11T00:00:00"/>
    <s v="https://image-cdn-ak.spotifycdn.com/image/ab67616d00001e02439c7d14cc7e91953b8ab9fd"/>
    <b v="0"/>
  </r>
  <r>
    <n v="351"/>
    <s v="spotify:track:1uRTH9LeFh40tFYlq48vcy"/>
    <x v="218"/>
    <s v="Saiyaara Reprise - Female"/>
    <s v="YRF Music"/>
    <n v="116"/>
    <n v="1"/>
    <s v="03:48:00"/>
    <b v="0"/>
    <n v="55"/>
    <n v="40"/>
    <n v="68"/>
    <n v="4"/>
    <n v="70"/>
    <n v="0"/>
    <n v="10"/>
    <n v="35"/>
    <n v="105"/>
    <s v="Bollywood"/>
    <s v="18/7/2025"/>
    <s v="https://image-cdn-fa.spotifycdn.com/image/ab67616d00001e022fc1f0e56f80b5e7cc388b3c"/>
    <b v="0"/>
  </r>
  <r>
    <n v="351"/>
    <s v="spotify:track:1uRTH9LeFh40tFYlq48vcy"/>
    <x v="219"/>
    <s v="Saiyaara Reprise - Female"/>
    <s v="YRF Music"/>
    <n v="116"/>
    <n v="1"/>
    <s v="03:48:00"/>
    <b v="0"/>
    <n v="55"/>
    <n v="40"/>
    <n v="68"/>
    <n v="4"/>
    <n v="70"/>
    <n v="0"/>
    <n v="10"/>
    <n v="35"/>
    <n v="105"/>
    <s v="Bollywood"/>
    <s v="18/7/2025"/>
    <s v="https://image-cdn-fa.spotifycdn.com/image/ab67616d00001e022fc1f0e56f80b5e7cc388b3c"/>
    <b v="0"/>
  </r>
  <r>
    <n v="351"/>
    <s v="spotify:track:1uRTH9LeFh40tFYlq48vcy"/>
    <x v="89"/>
    <s v="Saiyaara Reprise - Female"/>
    <s v="YRF Music"/>
    <n v="116"/>
    <n v="1"/>
    <s v="03:48:00"/>
    <b v="0"/>
    <n v="55"/>
    <n v="40"/>
    <n v="68"/>
    <n v="4"/>
    <n v="70"/>
    <n v="0"/>
    <n v="10"/>
    <n v="35"/>
    <n v="105"/>
    <s v="Bollywood"/>
    <s v="18/7/2025"/>
    <s v="https://image-cdn-fa.spotifycdn.com/image/ab67616d00001e022fc1f0e56f80b5e7cc388b3c"/>
    <b v="0"/>
  </r>
  <r>
    <n v="351"/>
    <s v="spotify:track:1uRTH9LeFh40tFYlq48vcy"/>
    <x v="316"/>
    <s v="Saiyaara Reprise - Female"/>
    <s v="YRF Music"/>
    <n v="116"/>
    <n v="1"/>
    <s v="03:48:00"/>
    <b v="0"/>
    <n v="55"/>
    <n v="40"/>
    <n v="68"/>
    <n v="4"/>
    <n v="70"/>
    <n v="0"/>
    <n v="10"/>
    <n v="35"/>
    <n v="105"/>
    <s v="Bollywood"/>
    <s v="18/7/2025"/>
    <s v="https://image-cdn-fa.spotifycdn.com/image/ab67616d00001e022fc1f0e56f80b5e7cc388b3c"/>
    <b v="0"/>
  </r>
  <r>
    <n v="351"/>
    <s v="spotify:track:1uRTH9LeFh40tFYlq48vcy"/>
    <x v="220"/>
    <s v="Saiyaara Reprise - Female"/>
    <s v="YRF Music"/>
    <n v="116"/>
    <n v="1"/>
    <s v="03:48:00"/>
    <b v="0"/>
    <n v="55"/>
    <n v="40"/>
    <n v="68"/>
    <n v="4"/>
    <n v="70"/>
    <n v="0"/>
    <n v="10"/>
    <n v="35"/>
    <n v="105"/>
    <s v="Bollywood"/>
    <s v="18/7/2025"/>
    <s v="https://image-cdn-fa.spotifycdn.com/image/ab67616d00001e022fc1f0e56f80b5e7cc388b3c"/>
    <b v="0"/>
  </r>
  <r>
    <n v="352"/>
    <s v="spotify:track:1ulH5PIntNj0ro2K69W4Fx"/>
    <x v="185"/>
    <s v="Damocles"/>
    <s v="Sleep Token/RCA Records"/>
    <n v="127"/>
    <n v="1"/>
    <s v="04:05:00"/>
    <b v="0"/>
    <n v="48"/>
    <n v="74"/>
    <n v="74"/>
    <n v="6"/>
    <n v="15"/>
    <n v="2"/>
    <n v="19"/>
    <n v="32"/>
    <n v="144"/>
    <s v="Alternative Metal"/>
    <s v="30/5/2025"/>
    <s v="https://image-cdn-ak.spotifycdn.com/image/ab67616d00001e025064e08433868d1edca6e60e"/>
    <b v="0"/>
  </r>
  <r>
    <n v="353"/>
    <s v="spotify:track:1uvyZBs4IZYRebHIB1747m"/>
    <x v="317"/>
    <s v="Purple Rain"/>
    <s v="Warner Records"/>
    <n v="36"/>
    <n v="13"/>
    <d v="1899-12-30T08:41:00"/>
    <b v="0"/>
    <n v="37"/>
    <n v="45"/>
    <n v="83"/>
    <n v="3"/>
    <n v="4"/>
    <n v="0"/>
    <n v="69"/>
    <n v="18"/>
    <n v="113"/>
    <s v="Rock"/>
    <d v="1984-06-25T00:00:00"/>
    <s v="https://image-cdn-ak.spotifycdn.com/image/ab67616d00001e028a2ce3f148f57584269c3782"/>
    <b v="0"/>
  </r>
  <r>
    <n v="354"/>
    <s v="spotify:track:1vkwlZncsYqFukl2Q7M6Fe"/>
    <x v="318"/>
    <s v="Alamak"/>
    <s v="E-Motion Entertainment"/>
    <n v="74"/>
    <n v="4"/>
    <d v="1899-12-30T03:18:00"/>
    <b v="0"/>
    <n v="62"/>
    <n v="60"/>
    <n v="75"/>
    <n v="5"/>
    <n v="35"/>
    <n v="0"/>
    <n v="10"/>
    <n v="58"/>
    <n v="100"/>
    <s v="Pop"/>
    <d v="2025-02-14T00:00:00"/>
    <s v="https://image-cdn-fa.spotifycdn.com/image/ab67616d00001e0201b9750a33d771645d7f043a"/>
    <b v="0"/>
  </r>
  <r>
    <n v="354"/>
    <s v="spotify:track:1vkwlZncsYqFukl2Q7M6Fe"/>
    <x v="319"/>
    <s v="Alamak"/>
    <s v="E-Motion Entertainment"/>
    <n v="74"/>
    <n v="4"/>
    <d v="1899-12-30T03:18:00"/>
    <b v="0"/>
    <n v="62"/>
    <n v="60"/>
    <n v="75"/>
    <n v="5"/>
    <n v="35"/>
    <n v="0"/>
    <n v="10"/>
    <n v="58"/>
    <n v="100"/>
    <s v="Pop"/>
    <d v="2025-02-14T00:00:00"/>
    <s v="https://image-cdn-fa.spotifycdn.com/image/ab67616d00001e0201b9750a33d771645d7f043a"/>
    <b v="0"/>
  </r>
  <r>
    <n v="355"/>
    <s v="spotify:track:1wOp7yTVyH176bW1z9WAiv"/>
    <x v="169"/>
    <s v="Carry You Home"/>
    <s v="Atlantic Records"/>
    <n v="91"/>
    <n v="23"/>
    <d v="1899-12-30T03:22:00"/>
    <b v="0"/>
    <n v="52"/>
    <n v="66"/>
    <n v="88"/>
    <n v="11"/>
    <n v="47"/>
    <n v="0"/>
    <n v="13"/>
    <n v="46"/>
    <n v="124"/>
    <s v="Pop"/>
    <d v="2024-09-20T00:00:00"/>
    <s v="https://image-cdn-ak.spotifycdn.com/image/ab67616d00001e028d18d73bbfc8985d52865edf"/>
    <b v="0"/>
  </r>
  <r>
    <n v="356"/>
    <s v="spotify:track:1wrA9K1P177mkPNt9BB2OZ"/>
    <x v="320"/>
    <s v="Peão Todo Tatuado"/>
    <s v="Beat Music"/>
    <n v="187"/>
    <n v="1"/>
    <s v="02:48:00"/>
    <b v="1"/>
    <n v="78"/>
    <n v="82"/>
    <n v="76"/>
    <n v="7"/>
    <n v="25"/>
    <n v="0"/>
    <n v="32"/>
    <n v="88"/>
    <n v="130"/>
    <s v="Sertanejo"/>
    <s v="15/5/2026"/>
    <s v="https://image-cdn-ak.spotifycdn.com/image/ab67616d00001e024b475e7b048541cd6fcc3bdc"/>
    <b v="0"/>
  </r>
  <r>
    <n v="356"/>
    <s v="spotify:track:1wrA9K1P177mkPNt9BB2OZ"/>
    <x v="321"/>
    <s v="Peão Todo Tatuado"/>
    <s v="Beat Music"/>
    <n v="187"/>
    <n v="1"/>
    <s v="02:48:00"/>
    <b v="1"/>
    <n v="78"/>
    <n v="82"/>
    <n v="76"/>
    <n v="7"/>
    <n v="25"/>
    <n v="0"/>
    <n v="32"/>
    <n v="88"/>
    <n v="130"/>
    <s v="Sertanejo"/>
    <s v="15/5/2026"/>
    <s v="https://image-cdn-ak.spotifycdn.com/image/ab67616d00001e024b475e7b048541cd6fcc3bdc"/>
    <b v="0"/>
  </r>
  <r>
    <n v="357"/>
    <s v="spotify:track:1xK59OXxi2TAAAbmZK0kBL"/>
    <x v="123"/>
    <s v="Romantic Homicide"/>
    <s v="D4VD ENT, LLC"/>
    <n v="17"/>
    <n v="114"/>
    <d v="1899-12-30T02:12:00"/>
    <b v="0"/>
    <n v="57"/>
    <n v="54"/>
    <n v="82"/>
    <n v="3"/>
    <n v="45"/>
    <n v="1"/>
    <n v="32"/>
    <n v="22"/>
    <n v="132"/>
    <s v="Indie Pop"/>
    <d v="2022-07-22T00:00:00"/>
    <s v="https://image-cdn-ak.spotifycdn.com/image/ab67616d00001e02bd1a52b3d5903ee01c216da0"/>
    <b v="0"/>
  </r>
  <r>
    <n v="358"/>
    <s v="spotify:track:1xO3PpGchMqMmmF6OEtH5Y"/>
    <x v="53"/>
    <s v="Make Them Know"/>
    <s v="OVO/Republic"/>
    <n v="43"/>
    <n v="1"/>
    <s v="03:18:00"/>
    <b v="1"/>
    <n v="70"/>
    <n v="56"/>
    <n v="72"/>
    <n v="38"/>
    <n v="57"/>
    <n v="0"/>
    <n v="16"/>
    <n v="23"/>
    <n v="120"/>
    <s v="Hip-Hop/Rap"/>
    <s v="22/5/2026"/>
    <s v="https://image-cdn-ak.spotifycdn.com/image/ab67616d00001e02fe9d3ab9adb1d3b59835b81c"/>
    <b v="0"/>
  </r>
  <r>
    <n v="359"/>
    <s v="spotify:track:1xOqGUkyxGQRdCvGpvWKmL"/>
    <x v="298"/>
    <s v="Gabriela"/>
    <s v="HYBE/Geffen"/>
    <n v="10"/>
    <n v="65"/>
    <d v="1899-12-30T03:05:00"/>
    <b v="0"/>
    <n v="65"/>
    <n v="75"/>
    <n v="92"/>
    <n v="7"/>
    <n v="18"/>
    <n v="0"/>
    <n v="37"/>
    <n v="62"/>
    <n v="146"/>
    <s v="K-Pop"/>
    <d v="2025-04-18T00:00:00"/>
    <s v="https://image-cdn-ak.spotifycdn.com/image/ab67616d00001e02f8d4d00ffe09373efb13ce29"/>
    <b v="0"/>
  </r>
  <r>
    <n v="360"/>
    <s v="spotify:track:1yX9gy5fK02j6nBnGJ1S3k"/>
    <x v="251"/>
    <s v="Sweet Dreams (feat. Miguel)"/>
    <s v="BIGHIT MUSIC"/>
    <n v="37"/>
    <n v="4"/>
    <d v="1899-12-30T03:18:00"/>
    <b v="0"/>
    <n v="56"/>
    <n v="58"/>
    <n v="89"/>
    <n v="8"/>
    <n v="15"/>
    <n v="0"/>
    <n v="7"/>
    <n v="80"/>
    <n v="94"/>
    <s v="R&amp;B"/>
    <d v="2025-03-07T00:00:00"/>
    <s v="https://image-cdn-fa.spotifycdn.com/image/ab67616d00001e02318241eacbdaee4d0f9c4316"/>
    <b v="0"/>
  </r>
  <r>
    <n v="360"/>
    <s v="spotify:track:1yX9gy5fK02j6nBnGJ1S3k"/>
    <x v="67"/>
    <s v="Sweet Dreams (feat. Miguel)"/>
    <s v="BIGHIT MUSIC"/>
    <n v="37"/>
    <n v="4"/>
    <d v="1899-12-30T03:18:00"/>
    <b v="0"/>
    <n v="56"/>
    <n v="58"/>
    <n v="89"/>
    <n v="8"/>
    <n v="15"/>
    <n v="0"/>
    <n v="7"/>
    <n v="80"/>
    <n v="94"/>
    <s v="R&amp;B"/>
    <d v="2025-03-07T00:00:00"/>
    <s v="https://image-cdn-fa.spotifycdn.com/image/ab67616d00001e02318241eacbdaee4d0f9c4316"/>
    <b v="0"/>
  </r>
  <r>
    <n v="361"/>
    <s v="spotify:track:1ypwNj8eK2qAMDEs4EiIIX"/>
    <x v="140"/>
    <s v="Miss You - Bonus Track"/>
    <s v="Atlantic Records"/>
    <n v="11"/>
    <n v="29"/>
    <d v="1899-12-30T03:18:00"/>
    <b v="1"/>
    <n v="59"/>
    <n v="74"/>
    <n v="89"/>
    <n v="5"/>
    <n v="1"/>
    <n v="0"/>
    <n v="15"/>
    <n v="20"/>
    <n v="145"/>
    <s v="Electronic"/>
    <d v="2022-08-05T00:00:00"/>
    <s v="https://image-cdn-ak.spotifycdn.com/image/ab67616d00001e0297aa7586b7633e103aceb8ba"/>
    <b v="0"/>
  </r>
  <r>
    <n v="361"/>
    <s v="spotify:track:1ypwNj8eK2qAMDEs4EiIIX"/>
    <x v="322"/>
    <s v="Miss You - Bonus Track"/>
    <s v="Atlantic Records"/>
    <n v="11"/>
    <n v="29"/>
    <d v="1899-12-30T03:18:00"/>
    <b v="1"/>
    <n v="59"/>
    <n v="74"/>
    <n v="89"/>
    <n v="5"/>
    <n v="1"/>
    <n v="0"/>
    <n v="15"/>
    <n v="20"/>
    <n v="145"/>
    <s v="Electronic"/>
    <d v="2022-08-05T00:00:00"/>
    <s v="https://image-cdn-ak.spotifycdn.com/image/ab67616d00001e0297aa7586b7633e103aceb8ba"/>
    <b v="0"/>
  </r>
  <r>
    <n v="362"/>
    <s v="spotify:track:1z5ebC9238uGoBgzYyvGpQ"/>
    <x v="305"/>
    <s v="toxic till the end"/>
    <s v="Atlantic Records"/>
    <n v="29"/>
    <n v="14"/>
    <d v="1899-12-30T03:05:00"/>
    <b v="0"/>
    <n v="41"/>
    <n v="60"/>
    <n v="91"/>
    <n v="10"/>
    <n v="5"/>
    <n v="0"/>
    <n v="11"/>
    <n v="30"/>
    <n v="167"/>
    <s v="Pop"/>
    <d v="2024-12-06T00:00:00"/>
    <s v="https://image-cdn-ak.spotifycdn.com/image/ab67616d00001e027be65ce6672ed7e5aac6e966"/>
    <b v="0"/>
  </r>
  <r>
    <n v="363"/>
    <s v="spotify:track:1zhvxTuSha22nsUT5Nw8gE"/>
    <x v="124"/>
    <s v="15 Minutes"/>
    <s v="Island Records"/>
    <n v="85"/>
    <n v="3"/>
    <s v="03:05:00"/>
    <b v="1"/>
    <n v="68"/>
    <n v="61"/>
    <n v="73"/>
    <n v="5"/>
    <n v="34"/>
    <n v="0"/>
    <n v="14"/>
    <n v="53"/>
    <n v="135"/>
    <s v="Pop"/>
    <s v="29/8/2025"/>
    <s v="https://image-cdn-ak.spotifycdn.com/image/ab67616d00001e02047d6b756e8f5e3f8b50f025"/>
    <b v="0"/>
  </r>
  <r>
    <n v="364"/>
    <s v="spotify:track:1zi7xx7UVEFkmKfv06H8x0"/>
    <x v="53"/>
    <s v="One Dance"/>
    <s v="Cash Money Records/Young Money Ent./Universal Rec."/>
    <n v="12"/>
    <n v="298"/>
    <d v="1899-12-30T02:53:00"/>
    <b v="0"/>
    <n v="79"/>
    <n v="62"/>
    <n v="91"/>
    <n v="5"/>
    <n v="1"/>
    <n v="0"/>
    <n v="33"/>
    <n v="37"/>
    <n v="104"/>
    <s v="Dancehall"/>
    <d v="2016-04-05T00:00:00"/>
    <s v="https://image-cdn-ak.spotifycdn.com/image/ab67616d00001e029416ed64daf84936d89e671c"/>
    <b v="0"/>
  </r>
  <r>
    <n v="364"/>
    <s v="spotify:track:1zi7xx7UVEFkmKfv06H8x0"/>
    <x v="323"/>
    <s v="One Dance"/>
    <s v="Cash Money Records/Young Money Ent./Universal Rec."/>
    <n v="12"/>
    <n v="298"/>
    <d v="1899-12-30T02:53:00"/>
    <b v="0"/>
    <n v="79"/>
    <n v="62"/>
    <n v="91"/>
    <n v="5"/>
    <n v="1"/>
    <n v="0"/>
    <n v="33"/>
    <n v="37"/>
    <n v="104"/>
    <s v="Dancehall"/>
    <d v="2016-04-05T00:00:00"/>
    <s v="https://image-cdn-ak.spotifycdn.com/image/ab67616d00001e029416ed64daf84936d89e671c"/>
    <b v="0"/>
  </r>
  <r>
    <n v="364"/>
    <s v="spotify:track:1zi7xx7UVEFkmKfv06H8x0"/>
    <x v="324"/>
    <s v="One Dance"/>
    <s v="Cash Money Records/Young Money Ent./Universal Rec."/>
    <n v="12"/>
    <n v="298"/>
    <d v="1899-12-30T02:53:00"/>
    <b v="0"/>
    <n v="79"/>
    <n v="62"/>
    <n v="91"/>
    <n v="5"/>
    <n v="1"/>
    <n v="0"/>
    <n v="33"/>
    <n v="37"/>
    <n v="104"/>
    <s v="Dancehall"/>
    <d v="2016-04-05T00:00:00"/>
    <s v="https://image-cdn-ak.spotifycdn.com/image/ab67616d00001e029416ed64daf84936d89e671c"/>
    <b v="0"/>
  </r>
  <r>
    <n v="365"/>
    <s v="spotify:track:1zu5ZpnrSArdoaT6Qq3yo9"/>
    <x v="325"/>
    <s v="Monolog"/>
    <s v="Maspam Company Ltd."/>
    <n v="99"/>
    <n v="21"/>
    <d v="1899-12-30T04:02:00"/>
    <b v="0"/>
    <n v="48"/>
    <n v="58"/>
    <n v="85"/>
    <n v="3"/>
    <n v="11"/>
    <n v="56"/>
    <n v="13"/>
    <n v="30"/>
    <n v="97"/>
    <s v="Indie Pop"/>
    <d v="2024-06-14T00:00:00"/>
    <s v="https://image-cdn-ak.spotifycdn.com/image/ab67616d00001e023e2cf96ce4558b8f2376b79a"/>
    <b v="0"/>
  </r>
  <r>
    <n v="366"/>
    <s v="spotify:track:1zv3WFUbZ5vPxFq9I2jAU1"/>
    <x v="326"/>
    <s v="We Found Love"/>
    <s v="Def Jam Recordings"/>
    <n v="59"/>
    <n v="137"/>
    <d v="1899-12-30T03:35:00"/>
    <b v="0"/>
    <n v="74"/>
    <n v="77"/>
    <n v="93"/>
    <n v="4"/>
    <n v="2"/>
    <n v="0"/>
    <n v="11"/>
    <n v="60"/>
    <n v="128"/>
    <s v="EDM"/>
    <d v="2011-09-22T00:00:00"/>
    <s v="https://image-cdn-ak.spotifycdn.com/image/ab67616d00001e02439c7d14cc7e91953b8ab9fd"/>
    <b v="0"/>
  </r>
  <r>
    <n v="366"/>
    <s v="spotify:track:1zv3WFUbZ5vPxFq9I2jAU1"/>
    <x v="110"/>
    <s v="We Found Love"/>
    <s v="Def Jam Recordings"/>
    <n v="59"/>
    <n v="137"/>
    <d v="1899-12-30T03:35:00"/>
    <b v="0"/>
    <n v="74"/>
    <n v="77"/>
    <n v="93"/>
    <n v="4"/>
    <n v="2"/>
    <n v="0"/>
    <n v="11"/>
    <n v="60"/>
    <n v="128"/>
    <s v="EDM"/>
    <d v="2011-09-22T00:00:00"/>
    <s v="https://image-cdn-ak.spotifycdn.com/image/ab67616d00001e02439c7d14cc7e91953b8ab9fd"/>
    <b v="0"/>
  </r>
  <r>
    <n v="367"/>
    <s v="spotify:track:2009X8GyWTqyxIdzAEYW6N"/>
    <x v="164"/>
    <s v="The One That Got Away"/>
    <s v="Capitol Records"/>
    <n v="4"/>
    <n v="28"/>
    <d v="1899-12-30T03:47:00"/>
    <b v="0"/>
    <n v="69"/>
    <n v="80"/>
    <n v="93"/>
    <n v="4"/>
    <n v="0"/>
    <n v="0"/>
    <n v="16"/>
    <n v="88"/>
    <n v="134"/>
    <s v="Pop"/>
    <d v="2010-08-24T00:00:00"/>
    <s v="https://image-cdn-ak.spotifycdn.com/image/ab67616d00001e021d955011a3ed477dc77865ad"/>
    <b v="0"/>
  </r>
  <r>
    <n v="368"/>
    <s v="spotify:track:20I6sIOMTCkB6w7ryavxtO"/>
    <x v="327"/>
    <s v="Call Me Maybe"/>
    <s v="Silent Records IGA"/>
    <n v="176"/>
    <n v="1"/>
    <d v="1899-12-30T03:13:00"/>
    <b v="0"/>
    <n v="78"/>
    <n v="58"/>
    <n v="89"/>
    <n v="4"/>
    <n v="1"/>
    <n v="0"/>
    <n v="11"/>
    <n v="66"/>
    <n v="120"/>
    <s v="Pop"/>
    <d v="2011-09-20T00:00:00"/>
    <s v="https://image-cdn-ak.spotifycdn.com/image/ab67616d00001e02d3ee4bf67c2ac2154006ad72"/>
    <b v="0"/>
  </r>
  <r>
    <n v="369"/>
    <s v="spotify:track:20dAJsyno9ZoBLJtqgQnUI"/>
    <x v="69"/>
    <s v="Hooligan"/>
    <s v="BIGHIT MUSIC"/>
    <n v="4"/>
    <n v="20"/>
    <s v="03:18:00"/>
    <b v="1"/>
    <n v="81"/>
    <n v="75"/>
    <n v="75"/>
    <n v="9"/>
    <n v="11"/>
    <n v="0"/>
    <n v="14"/>
    <n v="80"/>
    <n v="124"/>
    <s v="K-Pop"/>
    <s v="20/3/2026"/>
    <s v="https://image-cdn-fa.spotifycdn.com/image/ab67616d00001e02dfa17fad7f190c901603270e"/>
    <b v="0"/>
  </r>
  <r>
    <n v="370"/>
    <s v="spotify:track:20jbSiX29FDX4oQxBXyUEi"/>
    <x v="98"/>
    <s v="hate that i made you love me"/>
    <s v="Republic Records"/>
    <n v="1"/>
    <n v="8"/>
    <s v="03:28:00"/>
    <b v="0"/>
    <n v="66"/>
    <n v="49"/>
    <n v="72"/>
    <n v="5"/>
    <n v="47"/>
    <n v="0"/>
    <n v="11"/>
    <n v="42"/>
    <n v="100"/>
    <s v="Pop"/>
    <s v="5/6/2026"/>
    <s v="https://image-cdn-ak.spotifycdn.com/image/ab67616d00001e02b622d42c30697e1e1414343c"/>
    <b v="0"/>
  </r>
  <r>
    <n v="371"/>
    <s v="spotify:track:21B4gaTWnTkuSh77iWEXdS"/>
    <x v="124"/>
    <s v="Juno"/>
    <s v="Island Records"/>
    <n v="23"/>
    <n v="31"/>
    <d v="1899-12-30T03:32:00"/>
    <b v="1"/>
    <n v="63"/>
    <n v="72"/>
    <n v="93"/>
    <n v="4"/>
    <n v="5"/>
    <n v="0"/>
    <n v="20"/>
    <n v="64"/>
    <n v="131"/>
    <s v="Pop"/>
    <d v="2024-08-23T00:00:00"/>
    <s v="https://image-cdn-ak.spotifycdn.com/image/ab67616d00001e02fd8d7a8d96871e791cb1f626"/>
    <b v="0"/>
  </r>
  <r>
    <n v="372"/>
    <s v="spotify:track:21IVPfi81m6ywNgOvqTj1i"/>
    <x v="124"/>
    <s v="Don’t Worry I’ll Make You Worry"/>
    <s v="Island Records"/>
    <n v="37"/>
    <n v="2"/>
    <s v="03:05:00"/>
    <b v="0"/>
    <n v="73"/>
    <n v="66"/>
    <n v="73"/>
    <n v="6"/>
    <n v="20"/>
    <n v="0"/>
    <n v="11"/>
    <n v="65"/>
    <n v="105"/>
    <s v="Pop"/>
    <s v="29/8/2025"/>
    <s v="https://image-cdn-ak.spotifycdn.com/image/ab67616d00001e02b1863bf95557ea7f357c4947"/>
    <b v="0"/>
  </r>
  <r>
    <n v="373"/>
    <s v="spotify:track:21IYMdzTrzSe191Cy5eMap"/>
    <x v="328"/>
    <s v="Sailor Song"/>
    <s v="Outtahere, LLC / Island Records"/>
    <n v="7"/>
    <n v="111"/>
    <d v="1899-12-30T03:12:00"/>
    <b v="0"/>
    <n v="49"/>
    <n v="41"/>
    <n v="83"/>
    <n v="3"/>
    <n v="68"/>
    <n v="0"/>
    <n v="19"/>
    <n v="27"/>
    <n v="95"/>
    <s v="Indie Pop"/>
    <d v="2024-05-24T00:00:00"/>
    <s v="https://image-cdn-fa.spotifycdn.com/image/ab67616d00001e0249c26270052e1671add569c1"/>
    <b v="0"/>
  </r>
  <r>
    <n v="374"/>
    <s v="spotify:track:21aDVa64pWR8SYQ7wBRMkd"/>
    <x v="329"/>
    <s v="CHARGE DEM HOES A FEE (with Future &amp; Travis Scott)"/>
    <s v="AWGE/Interscope Records"/>
    <n v="72"/>
    <n v="1"/>
    <d v="1899-12-30T03:18:00"/>
    <b v="1"/>
    <n v="82"/>
    <n v="65"/>
    <n v="93"/>
    <n v="5"/>
    <n v="0"/>
    <n v="0"/>
    <n v="20"/>
    <n v="12"/>
    <n v="120"/>
    <s v="Hip-Hop/Rap"/>
    <d v="2025-03-14T00:00:00"/>
    <s v="https://image-cdn-ak.spotifycdn.com/image/ab67616d00001e026b219c8d8462bfe254a20469"/>
    <b v="0"/>
  </r>
  <r>
    <n v="374"/>
    <s v="spotify:track:21aDVa64pWR8SYQ7wBRMkd"/>
    <x v="1"/>
    <s v="CHARGE DEM HOES A FEE (with Future &amp; Travis Scott)"/>
    <s v="AWGE/Interscope Records"/>
    <n v="72"/>
    <n v="1"/>
    <d v="1899-12-30T03:18:00"/>
    <b v="1"/>
    <n v="82"/>
    <n v="65"/>
    <n v="93"/>
    <n v="5"/>
    <n v="0"/>
    <n v="0"/>
    <n v="20"/>
    <n v="12"/>
    <n v="120"/>
    <s v="Hip-Hop/Rap"/>
    <d v="2025-03-14T00:00:00"/>
    <s v="https://image-cdn-ak.spotifycdn.com/image/ab67616d00001e026b219c8d8462bfe254a20469"/>
    <b v="0"/>
  </r>
  <r>
    <n v="374"/>
    <s v="spotify:track:21aDVa64pWR8SYQ7wBRMkd"/>
    <x v="186"/>
    <s v="CHARGE DEM HOES A FEE (with Future &amp; Travis Scott)"/>
    <s v="AWGE/Interscope Records"/>
    <n v="72"/>
    <n v="1"/>
    <d v="1899-12-30T03:18:00"/>
    <b v="1"/>
    <n v="82"/>
    <n v="65"/>
    <n v="93"/>
    <n v="5"/>
    <n v="0"/>
    <n v="0"/>
    <n v="20"/>
    <n v="12"/>
    <n v="120"/>
    <s v="Hip-Hop/Rap"/>
    <d v="2025-03-14T00:00:00"/>
    <s v="https://image-cdn-ak.spotifycdn.com/image/ab67616d00001e026b219c8d8462bfe254a20469"/>
    <b v="0"/>
  </r>
  <r>
    <n v="375"/>
    <s v="spotify:track:21jGcNKet2qwijlDFuPiPb"/>
    <x v="99"/>
    <s v="Circles"/>
    <s v="Republic Records"/>
    <n v="1"/>
    <n v="174"/>
    <d v="1899-12-30T03:35:00"/>
    <b v="0"/>
    <n v="70"/>
    <n v="76"/>
    <n v="94"/>
    <n v="4"/>
    <n v="19"/>
    <n v="0"/>
    <n v="9"/>
    <n v="55"/>
    <n v="120"/>
    <s v="Pop"/>
    <d v="2019-09-06T00:00:00"/>
    <s v="https://image-cdn-ak.spotifycdn.com/image/ab67616d00001e029478c87599550dd73bfa7e02"/>
    <b v="0"/>
  </r>
  <r>
    <n v="376"/>
    <s v="spotify:track:221eHga9f9Ne4f8D7WVgPT"/>
    <x v="200"/>
    <s v="Mystical Magical"/>
    <s v="Night Street Records, Inc./Warner Records Inc."/>
    <n v="43"/>
    <n v="8"/>
    <d v="1899-12-30T03:18:00"/>
    <b v="0"/>
    <n v="72"/>
    <n v="72"/>
    <n v="79"/>
    <n v="6"/>
    <n v="22"/>
    <n v="0"/>
    <n v="11"/>
    <n v="58"/>
    <n v="105"/>
    <s v="Pop"/>
    <d v="2025-04-04T00:00:00"/>
    <s v="https://image-cdn-ak.spotifycdn.com/image/ab67616d00001e02cc9560d1341bc720f236da44"/>
    <b v="0"/>
  </r>
  <r>
    <n v="378"/>
    <s v="spotify:track:22NHkFYbgxB2Zirj29Gbp8"/>
    <x v="330"/>
    <s v="oh yeah?"/>
    <s v="L-M Records/RCA Records"/>
    <n v="23"/>
    <n v="8"/>
    <s v="03:05:00"/>
    <b v="0"/>
    <n v="73"/>
    <n v="60"/>
    <n v="72"/>
    <n v="5"/>
    <n v="38"/>
    <n v="1"/>
    <n v="11"/>
    <n v="65"/>
    <n v="108"/>
    <s v="Indie Pop"/>
    <s v="20/6/2025"/>
    <s v="https://image-cdn-ak.spotifycdn.com/image/ab67616d00001e024ea9ba86cd9506a004bab042"/>
    <b v="0"/>
  </r>
  <r>
    <n v="379"/>
    <s v="spotify:track:22YkP95GjCfXkWKyU5k1zZ"/>
    <x v="331"/>
    <s v="Show Me Love (with Tyla)"/>
    <s v="Bamboo Artists 2025 / Tyla appears courtesy of Fax/Epic"/>
    <n v="113"/>
    <n v="5"/>
    <s v="02:48:00"/>
    <b v="0"/>
    <n v="80"/>
    <n v="64"/>
    <n v="73"/>
    <n v="7"/>
    <n v="18"/>
    <n v="0"/>
    <n v="12"/>
    <n v="70"/>
    <n v="112"/>
    <s v="Afrobeat"/>
    <s v="22/8/2025"/>
    <s v="https://image-cdn-fa.spotifycdn.com/image/ab67616d00001e020f0047bf025ef4edab5bf6c6"/>
    <b v="0"/>
  </r>
  <r>
    <n v="379"/>
    <s v="spotify:track:22YkP95GjCfXkWKyU5k1zZ"/>
    <x v="217"/>
    <s v="Show Me Love (with Tyla)"/>
    <s v="Bamboo Artists 2025 / Tyla appears courtesy of Fax/Epic"/>
    <n v="113"/>
    <n v="5"/>
    <s v="02:48:00"/>
    <b v="0"/>
    <n v="80"/>
    <n v="64"/>
    <n v="73"/>
    <n v="7"/>
    <n v="18"/>
    <n v="0"/>
    <n v="12"/>
    <n v="70"/>
    <n v="112"/>
    <s v="Afrobeat"/>
    <s v="22/8/2025"/>
    <s v="https://image-cdn-fa.spotifycdn.com/image/ab67616d00001e020f0047bf025ef4edab5bf6c6"/>
    <b v="0"/>
  </r>
  <r>
    <n v="379"/>
    <s v="spotify:track:22YkP95GjCfXkWKyU5k1zZ"/>
    <x v="332"/>
    <s v="Show Me Love (with Tyla)"/>
    <s v="Bamboo Artists 2025 / Tyla appears courtesy of Fax/Epic"/>
    <n v="113"/>
    <n v="5"/>
    <s v="02:48:00"/>
    <b v="0"/>
    <n v="80"/>
    <n v="64"/>
    <n v="73"/>
    <n v="7"/>
    <n v="18"/>
    <n v="0"/>
    <n v="12"/>
    <n v="70"/>
    <n v="112"/>
    <s v="Afrobeat"/>
    <s v="22/8/2025"/>
    <s v="https://image-cdn-fa.spotifycdn.com/image/ab67616d00001e020f0047bf025ef4edab5bf6c6"/>
    <b v="0"/>
  </r>
  <r>
    <n v="380"/>
    <s v="spotify:track:22skzmqfdWrjJylampe0kt"/>
    <x v="333"/>
    <s v="Can't Hold Us (feat. Ray Dalton)"/>
    <s v="Macklemore"/>
    <n v="56"/>
    <n v="218"/>
    <d v="1899-12-30T04:18:00"/>
    <b v="0"/>
    <n v="63"/>
    <n v="93"/>
    <n v="93"/>
    <n v="8"/>
    <n v="3"/>
    <n v="0"/>
    <n v="10"/>
    <n v="88"/>
    <n v="146"/>
    <s v="Hip-Hop/Rap"/>
    <d v="2011-08-16T00:00:00"/>
    <s v="https://image-cdn-ak.spotifycdn.com/image/ab67616d00001e022a6b364528b128a4a17d100d"/>
    <b v="0"/>
  </r>
  <r>
    <n v="380"/>
    <s v="spotify:track:22skzmqfdWrjJylampe0kt"/>
    <x v="334"/>
    <s v="Can't Hold Us (feat. Ray Dalton)"/>
    <s v="Macklemore"/>
    <n v="56"/>
    <n v="218"/>
    <d v="1899-12-30T04:18:00"/>
    <b v="0"/>
    <n v="63"/>
    <n v="93"/>
    <n v="93"/>
    <n v="8"/>
    <n v="3"/>
    <n v="0"/>
    <n v="10"/>
    <n v="88"/>
    <n v="146"/>
    <s v="Hip-Hop/Rap"/>
    <d v="2011-08-16T00:00:00"/>
    <s v="https://image-cdn-ak.spotifycdn.com/image/ab67616d00001e022a6b364528b128a4a17d100d"/>
    <b v="0"/>
  </r>
  <r>
    <n v="380"/>
    <s v="spotify:track:22skzmqfdWrjJylampe0kt"/>
    <x v="335"/>
    <s v="Can't Hold Us (feat. Ray Dalton)"/>
    <s v="Macklemore"/>
    <n v="56"/>
    <n v="218"/>
    <d v="1899-12-30T04:18:00"/>
    <b v="0"/>
    <n v="63"/>
    <n v="93"/>
    <n v="93"/>
    <n v="8"/>
    <n v="3"/>
    <n v="0"/>
    <n v="10"/>
    <n v="88"/>
    <n v="146"/>
    <s v="Hip-Hop/Rap"/>
    <d v="2011-08-16T00:00:00"/>
    <s v="https://image-cdn-ak.spotifycdn.com/image/ab67616d00001e022a6b364528b128a4a17d100d"/>
    <b v="0"/>
  </r>
  <r>
    <n v="380"/>
    <s v="spotify:track:22skzmqfdWrjJylampe0kt"/>
    <x v="336"/>
    <s v="Can't Hold Us (feat. Ray Dalton)"/>
    <s v="Macklemore"/>
    <n v="56"/>
    <n v="218"/>
    <d v="1899-12-30T04:18:00"/>
    <b v="0"/>
    <n v="63"/>
    <n v="93"/>
    <n v="93"/>
    <n v="8"/>
    <n v="3"/>
    <n v="0"/>
    <n v="10"/>
    <n v="88"/>
    <n v="146"/>
    <s v="Hip-Hop/Rap"/>
    <d v="2011-08-16T00:00:00"/>
    <s v="https://image-cdn-ak.spotifycdn.com/image/ab67616d00001e022a6b364528b128a4a17d100d"/>
    <b v="0"/>
  </r>
  <r>
    <n v="381"/>
    <s v="spotify:track:2374M0fQpWi3dLnB54qaLX"/>
    <x v="337"/>
    <s v="Africa"/>
    <s v="Columbia"/>
    <n v="95"/>
    <n v="132"/>
    <d v="1899-12-30T04:55:00"/>
    <b v="0"/>
    <n v="67"/>
    <n v="37"/>
    <n v="70"/>
    <n v="3"/>
    <n v="26"/>
    <n v="0"/>
    <n v="5"/>
    <n v="73"/>
    <n v="93"/>
    <s v="Soft Rock"/>
    <d v="1982-10-01T00:00:00"/>
    <s v="https://image-cdn-ak.spotifycdn.com/image/ab67616d00001e02ebd6d20c0082524244ef83df"/>
    <b v="0"/>
  </r>
  <r>
    <n v="382"/>
    <s v="spotify:track:23p1uP74XiVYCXjPP23Kz7"/>
    <x v="338"/>
    <s v="FA9LA"/>
    <s v="Outlaw Productions"/>
    <n v="74"/>
    <n v="1"/>
    <s v="02:48:00"/>
    <b v="1"/>
    <n v="80"/>
    <n v="70"/>
    <n v="73"/>
    <n v="15"/>
    <n v="18"/>
    <n v="0"/>
    <n v="14"/>
    <n v="72"/>
    <n v="98"/>
    <s v="Arab Pop"/>
    <s v="30/5/2025"/>
    <s v="https://image-cdn-ak.spotifycdn.com/image/ab67616d00001e023d8df7193d625455be369fc3"/>
    <b v="0"/>
  </r>
  <r>
    <n v="383"/>
    <s v="spotify:track:24CSPGkF9QB1zW07dgtZhr"/>
    <x v="339"/>
    <s v="Toz Pembe"/>
    <s v="Hypers"/>
    <n v="177"/>
    <n v="1"/>
    <s v="03:05:00"/>
    <b v="1"/>
    <n v="66"/>
    <n v="58"/>
    <n v="71"/>
    <n v="6"/>
    <n v="42"/>
    <n v="0"/>
    <n v="13"/>
    <n v="51"/>
    <n v="100"/>
    <s v="Turkish Rap"/>
    <s v="3/4/2026"/>
    <s v="https://image-cdn-ak.spotifycdn.com/image/ab67616d00001e02872e8421fdd7c0e50c76060f"/>
    <b v="0"/>
  </r>
  <r>
    <n v="384"/>
    <s v="spotify:track:24Y63uAvj6Oc9jGuTlhlgf"/>
    <x v="340"/>
    <s v="HOT"/>
    <s v="SOURCE MUSIC"/>
    <n v="146"/>
    <n v="2"/>
    <d v="1899-12-30T02:48:00"/>
    <b v="0"/>
    <n v="76"/>
    <n v="63"/>
    <n v="94"/>
    <n v="6"/>
    <n v="9"/>
    <n v="0"/>
    <n v="42"/>
    <n v="97"/>
    <n v="128"/>
    <s v="K-Pop"/>
    <d v="2025-03-14T00:00:00"/>
    <s v="https://image-cdn-fa.spotifycdn.com/image/ab67616d00001e022e573f25565a8c2d1ae5e4d6"/>
    <b v="0"/>
  </r>
  <r>
    <n v="385"/>
    <s v="spotify:track:25VdEndwyUDs0DbpfCMfKD"/>
    <x v="341"/>
    <s v="Incoscienti Giovani"/>
    <s v="Warner Music"/>
    <n v="188"/>
    <n v="1"/>
    <d v="1899-12-30T03:18:00"/>
    <b v="0"/>
    <n v="50"/>
    <n v="60"/>
    <n v="90"/>
    <n v="5"/>
    <n v="49"/>
    <n v="0"/>
    <n v="12"/>
    <n v="28"/>
    <n v="146"/>
    <s v="Italian Pop"/>
    <d v="2025-02-14T00:00:00"/>
    <s v="https://image-cdn-ak.spotifycdn.com/image/ab67616d00001e02514ccbe48bc2077d6d8e69e2"/>
    <b v="0"/>
  </r>
  <r>
    <n v="386"/>
    <s v="spotify:track:25jgQBxuUkGDdCG1WGKKN9"/>
    <x v="124"/>
    <s v="House Tour"/>
    <s v="Island Records"/>
    <n v="19"/>
    <n v="7"/>
    <s v="03:05:00"/>
    <b v="0"/>
    <n v="65"/>
    <n v="52"/>
    <n v="71"/>
    <n v="4"/>
    <n v="45"/>
    <n v="0"/>
    <n v="13"/>
    <n v="48"/>
    <n v="98"/>
    <s v="Pop"/>
    <s v="29/8/2025"/>
    <s v="https://image-cdn-fa.spotifycdn.com/image/ab67616d00001e02b1863bf95557ea7f357c4947"/>
    <b v="0"/>
  </r>
  <r>
    <n v="387"/>
    <s v="spotify:track:25leEEaz1gIpp7o21Fqyjo"/>
    <x v="342"/>
    <s v="Here Comes Santa Claus (Right Down Santa Claus Lane) - 1947 Version"/>
    <s v="Columbia/Legacy"/>
    <n v="71"/>
    <n v="8"/>
    <d v="1899-12-30T02:38:00"/>
    <b v="0"/>
    <n v="58"/>
    <n v="55"/>
    <n v="74"/>
    <n v="4"/>
    <n v="55"/>
    <n v="0"/>
    <n v="15"/>
    <n v="78"/>
    <n v="125"/>
    <s v="Christmas"/>
    <d v="1947-09-01T00:00:00"/>
    <s v="https://image-cdn-fa.spotifycdn.com/image/ab67616d00001e0261b80b3738446f5eedc3610d"/>
    <b v="1"/>
  </r>
  <r>
    <n v="388"/>
    <s v="spotify:track:26KhLgFuPymkm1uiZkc6Rv"/>
    <x v="343"/>
    <s v="Bunga Maaf"/>
    <s v="WM Indonesia"/>
    <n v="188"/>
    <n v="3"/>
    <d v="1899-12-30T03:48:00"/>
    <b v="0"/>
    <n v="47"/>
    <n v="52"/>
    <n v="88"/>
    <n v="3"/>
    <n v="79"/>
    <n v="2"/>
    <n v="9"/>
    <n v="30"/>
    <n v="158"/>
    <s v="Indie Pop"/>
    <d v="2025-04-18T00:00:00"/>
    <s v="https://image-cdn-fa.spotifycdn.com/image/ab67616d00001e027536908067a37708c3f5ff35"/>
    <b v="0"/>
  </r>
  <r>
    <n v="389"/>
    <s v="spotify:track:26N5kAVhlqFOWAkuMQ5Kwe"/>
    <x v="329"/>
    <s v="WHERE WAS YOU"/>
    <s v="Cactus Jack / Epic"/>
    <n v="170"/>
    <n v="1"/>
    <s v="03:28:00"/>
    <b v="1"/>
    <n v="84"/>
    <n v="74"/>
    <n v="74"/>
    <n v="14"/>
    <n v="12"/>
    <n v="0"/>
    <n v="19"/>
    <n v="52"/>
    <n v="140"/>
    <s v="Hip-Hop/Rap"/>
    <s v="27/6/2025"/>
    <s v="https://image-cdn-fa.spotifycdn.com/image/ab67616d00001e025d0f8a4c3623e02a79928288"/>
    <b v="0"/>
  </r>
  <r>
    <n v="389"/>
    <s v="spotify:track:26N5kAVhlqFOWAkuMQ5Kwe"/>
    <x v="1"/>
    <s v="WHERE WAS YOU"/>
    <s v="Cactus Jack / Epic"/>
    <n v="170"/>
    <n v="1"/>
    <s v="03:28:00"/>
    <b v="1"/>
    <n v="84"/>
    <n v="74"/>
    <n v="74"/>
    <n v="14"/>
    <n v="12"/>
    <n v="0"/>
    <n v="19"/>
    <n v="52"/>
    <n v="140"/>
    <s v="Hip-Hop/Rap"/>
    <s v="27/6/2025"/>
    <s v="https://image-cdn-fa.spotifycdn.com/image/ab67616d00001e025d0f8a4c3623e02a79928288"/>
    <b v="0"/>
  </r>
  <r>
    <n v="389"/>
    <s v="spotify:track:26N5kAVhlqFOWAkuMQ5Kwe"/>
    <x v="186"/>
    <s v="WHERE WAS YOU"/>
    <s v="Cactus Jack / Epic"/>
    <n v="170"/>
    <n v="1"/>
    <s v="03:28:00"/>
    <b v="1"/>
    <n v="84"/>
    <n v="74"/>
    <n v="74"/>
    <n v="14"/>
    <n v="12"/>
    <n v="0"/>
    <n v="19"/>
    <n v="52"/>
    <n v="140"/>
    <s v="Hip-Hop/Rap"/>
    <s v="27/6/2025"/>
    <s v="https://image-cdn-fa.spotifycdn.com/image/ab67616d00001e025d0f8a4c3623e02a79928288"/>
    <b v="0"/>
  </r>
  <r>
    <n v="390"/>
    <s v="spotify:track:27RYrbL6S02LNVhDWVl38b"/>
    <x v="344"/>
    <s v="Happy Xmas (War Is Over) - Remastered 2010"/>
    <s v="EMI Catalogue"/>
    <n v="13"/>
    <n v="42"/>
    <d v="1899-12-30T03:34:00"/>
    <b v="0"/>
    <n v="55"/>
    <n v="55"/>
    <n v="75"/>
    <n v="4"/>
    <n v="45"/>
    <n v="0"/>
    <n v="14"/>
    <n v="72"/>
    <n v="120"/>
    <s v="Christmas"/>
    <d v="1971-12-01T00:00:00"/>
    <s v="https://image-cdn-fa.spotifycdn.com/image/ab67616d00001e0261a389971d7842d02b0623ab"/>
    <b v="1"/>
  </r>
  <r>
    <n v="390"/>
    <s v="spotify:track:27RYrbL6S02LNVhDWVl38b"/>
    <x v="345"/>
    <s v="Happy Xmas (War Is Over) - Remastered 2010"/>
    <s v="EMI Catalogue"/>
    <n v="13"/>
    <n v="42"/>
    <d v="1899-12-30T03:34:00"/>
    <b v="0"/>
    <n v="55"/>
    <n v="55"/>
    <n v="75"/>
    <n v="4"/>
    <n v="45"/>
    <n v="0"/>
    <n v="14"/>
    <n v="72"/>
    <n v="120"/>
    <s v="Christmas"/>
    <d v="1971-12-01T00:00:00"/>
    <s v="https://image-cdn-fa.spotifycdn.com/image/ab67616d00001e0261a389971d7842d02b0623ab"/>
    <b v="1"/>
  </r>
  <r>
    <n v="391"/>
    <s v="spotify:track:27Y0yW53n0R1Oxle01FKmj"/>
    <x v="256"/>
    <s v="Chula Vente"/>
    <s v="K Music/Sony Music Latin"/>
    <n v="45"/>
    <n v="4"/>
    <s v="03:05:00"/>
    <b v="1"/>
    <n v="76"/>
    <n v="72"/>
    <n v="74"/>
    <n v="5"/>
    <n v="21"/>
    <n v="0"/>
    <n v="13"/>
    <n v="88"/>
    <n v="130"/>
    <s v="Regional Mexicano"/>
    <s v="30/5/2025"/>
    <s v="https://image-cdn-ak.spotifycdn.com/image/ab67616d00001e0297c33a00a6864c78bf691266"/>
    <b v="0"/>
  </r>
  <r>
    <n v="391"/>
    <s v="spotify:track:27Y0yW53n0R1Oxle01FKmj"/>
    <x v="216"/>
    <s v="Chula Vente"/>
    <s v="K Music/Sony Music Latin"/>
    <n v="45"/>
    <n v="4"/>
    <s v="03:05:00"/>
    <b v="1"/>
    <n v="76"/>
    <n v="72"/>
    <n v="74"/>
    <n v="5"/>
    <n v="21"/>
    <n v="0"/>
    <n v="13"/>
    <n v="88"/>
    <n v="130"/>
    <s v="Regional Mexicano"/>
    <s v="30/5/2025"/>
    <s v="https://image-cdn-ak.spotifycdn.com/image/ab67616d00001e0297c33a00a6864c78bf691266"/>
    <b v="0"/>
  </r>
  <r>
    <n v="391"/>
    <s v="spotify:track:27Y0yW53n0R1Oxle01FKmj"/>
    <x v="30"/>
    <s v="Chula Vente"/>
    <s v="K Music/Sony Music Latin"/>
    <n v="45"/>
    <n v="4"/>
    <s v="03:05:00"/>
    <b v="1"/>
    <n v="76"/>
    <n v="72"/>
    <n v="74"/>
    <n v="5"/>
    <n v="21"/>
    <n v="0"/>
    <n v="13"/>
    <n v="88"/>
    <n v="130"/>
    <s v="Regional Mexicano"/>
    <s v="30/5/2025"/>
    <s v="https://image-cdn-ak.spotifycdn.com/image/ab67616d00001e0297c33a00a6864c78bf691266"/>
    <b v="0"/>
  </r>
  <r>
    <n v="392"/>
    <s v="spotify:track:27aWzQn0uCuEwHkNlKi1jP"/>
    <x v="284"/>
    <s v="Asquerosamente Rico"/>
    <s v="Rancho Humilde/Sony Music Latin"/>
    <n v="117"/>
    <n v="1"/>
    <d v="1899-12-30T03:12:00"/>
    <b v="1"/>
    <n v="78"/>
    <n v="74"/>
    <n v="80"/>
    <n v="10"/>
    <n v="15"/>
    <n v="0"/>
    <n v="12"/>
    <n v="58"/>
    <n v="108"/>
    <s v="Regional Mexicano"/>
    <d v="2025-04-11T00:00:00"/>
    <s v="https://image-cdn-fa.spotifycdn.com/image/ab67616d00001e020697c8807331635b1ca25e84"/>
    <b v="0"/>
  </r>
  <r>
    <n v="392"/>
    <s v="spotify:track:27aWzQn0uCuEwHkNlKi1jP"/>
    <x v="61"/>
    <s v="Asquerosamente Rico"/>
    <s v="Rancho Humilde/Sony Music Latin"/>
    <n v="117"/>
    <n v="1"/>
    <d v="1899-12-30T03:12:00"/>
    <b v="1"/>
    <n v="78"/>
    <n v="74"/>
    <n v="80"/>
    <n v="10"/>
    <n v="15"/>
    <n v="0"/>
    <n v="12"/>
    <n v="58"/>
    <n v="108"/>
    <s v="Regional Mexicano"/>
    <d v="2025-04-11T00:00:00"/>
    <s v="https://image-cdn-fa.spotifycdn.com/image/ab67616d00001e020697c8807331635b1ca25e84"/>
    <b v="0"/>
  </r>
  <r>
    <n v="393"/>
    <s v="spotify:track:27qAMKrDdKEs8HDXcvR24R"/>
    <x v="346"/>
    <s v="Driving Home for Christmas - 2019 Remaster"/>
    <s v="Rhino"/>
    <n v="21"/>
    <n v="40"/>
    <d v="1899-12-30T04:00:00"/>
    <b v="0"/>
    <n v="58"/>
    <n v="55"/>
    <n v="74"/>
    <n v="4"/>
    <n v="45"/>
    <n v="0"/>
    <n v="14"/>
    <n v="75"/>
    <n v="130"/>
    <s v="Christmas"/>
    <d v="1986-12-01T00:00:00"/>
    <s v="https://image-cdn-ak.spotifycdn.com/image/ab67616d00001e02952d1b269c3e6db7bf69974b"/>
    <b v="1"/>
  </r>
  <r>
    <n v="394"/>
    <s v="spotify:track:27xkOIER6uDLKALIelHylZ"/>
    <x v="347"/>
    <s v="Don’t Say You Love Me"/>
    <s v="BIGHIT MUSIC"/>
    <n v="2"/>
    <n v="44"/>
    <d v="1899-12-30T03:18:00"/>
    <b v="0"/>
    <n v="73"/>
    <n v="56"/>
    <n v="91"/>
    <n v="3"/>
    <n v="48"/>
    <n v="0"/>
    <n v="10"/>
    <n v="76"/>
    <n v="112"/>
    <s v="Pop"/>
    <d v="2024-11-15T00:00:00"/>
    <s v="https://image-cdn-ak.spotifycdn.com/image/ab67616d00001e0289228504f700641956e29f5d"/>
    <b v="0"/>
  </r>
  <r>
    <n v="395"/>
    <s v="spotify:track:280QfKhmWGn3LbyB39aA7u"/>
    <x v="348"/>
    <s v="Cópia Proibida"/>
    <s v="Acertei Produções"/>
    <n v="164"/>
    <n v="3"/>
    <d v="1899-12-30T02:55:00"/>
    <b v="0"/>
    <n v="56"/>
    <n v="71"/>
    <n v="89"/>
    <n v="3"/>
    <n v="35"/>
    <n v="0"/>
    <n v="6"/>
    <n v="92"/>
    <n v="134"/>
    <s v="Sertanejo"/>
    <d v="2025-05-16T00:00:00"/>
    <s v="https://image-cdn-fa.spotifycdn.com/image/ab67616d00001e023d2e759809761471cb1191cc"/>
    <b v="0"/>
  </r>
  <r>
    <n v="395"/>
    <s v="spotify:track:280QfKhmWGn3LbyB39aA7u"/>
    <x v="349"/>
    <s v="Cópia Proibida"/>
    <s v="Acertei Produções"/>
    <n v="164"/>
    <n v="3"/>
    <d v="1899-12-30T02:55:00"/>
    <b v="0"/>
    <n v="56"/>
    <n v="71"/>
    <n v="89"/>
    <n v="3"/>
    <n v="35"/>
    <n v="0"/>
    <n v="6"/>
    <n v="92"/>
    <n v="134"/>
    <s v="Sertanejo"/>
    <d v="2025-05-16T00:00:00"/>
    <s v="https://image-cdn-fa.spotifycdn.com/image/ab67616d00001e023d2e759809761471cb1191cc"/>
    <b v="0"/>
  </r>
  <r>
    <n v="396"/>
    <s v="spotify:track:285pBltuF7vW8TeWk8hdRR"/>
    <x v="350"/>
    <s v="Lucid Dreams"/>
    <s v="Juice WRLD Mixtape / ISR P&amp;D"/>
    <n v="3"/>
    <n v="204"/>
    <d v="1899-12-30T03:59:00"/>
    <b v="1"/>
    <n v="51"/>
    <n v="57"/>
    <n v="88"/>
    <n v="20"/>
    <n v="35"/>
    <n v="0"/>
    <n v="34"/>
    <n v="22"/>
    <n v="84"/>
    <s v="Emo Rap"/>
    <d v="2018-05-04T00:00:00"/>
    <s v="https://image-cdn-ak.spotifycdn.com/image/ab67616d00001e02f7db43292a6a99b21b51d5b4"/>
    <b v="0"/>
  </r>
  <r>
    <n v="397"/>
    <s v="spotify:track:29iva9idM6rFCPUlu7Rhxl"/>
    <x v="2"/>
    <s v="YUKON"/>
    <s v="JRC Entertainment, LLC / ILH Production Co. LLC / Def Jam Recordings"/>
    <n v="17"/>
    <n v="19"/>
    <s v="03:18:00"/>
    <b v="0"/>
    <n v="71"/>
    <n v="55"/>
    <n v="71"/>
    <n v="6"/>
    <n v="35"/>
    <n v="0"/>
    <n v="14"/>
    <n v="50"/>
    <n v="140"/>
    <s v="Pop"/>
    <s v="12/9/2025"/>
    <s v="https://image-cdn-ak.spotifycdn.com/image/ab67616d00001e02d65c4773bc5061fd27facc5b"/>
    <b v="0"/>
  </r>
  <r>
    <n v="399"/>
    <s v="spotify:track:2BE1Q5N4Enl1eRrM82uzsu"/>
    <x v="351"/>
    <s v="Solcito"/>
    <s v="Sony Music Latin"/>
    <n v="153"/>
    <n v="3"/>
    <d v="1899-12-30T03:05:00"/>
    <b v="0"/>
    <n v="77"/>
    <n v="58"/>
    <n v="86"/>
    <n v="10"/>
    <n v="31"/>
    <n v="0"/>
    <n v="35"/>
    <n v="77"/>
    <n v="100"/>
    <s v="Pop"/>
    <d v="2025-04-18T00:00:00"/>
    <s v="https://image-cdn-ak.spotifycdn.com/image/ab67616d00001e02ef23eeb6c00d5b244abc3ffe"/>
    <b v="0"/>
  </r>
  <r>
    <n v="399"/>
    <s v="spotify:track:2BE1Q5N4Enl1eRrM82uzsu"/>
    <x v="352"/>
    <s v="Solcito"/>
    <s v="Sony Music Latin"/>
    <n v="153"/>
    <n v="3"/>
    <d v="1899-12-30T03:05:00"/>
    <b v="0"/>
    <n v="77"/>
    <n v="58"/>
    <n v="86"/>
    <n v="10"/>
    <n v="31"/>
    <n v="0"/>
    <n v="35"/>
    <n v="77"/>
    <n v="100"/>
    <s v="Pop"/>
    <d v="2025-04-18T00:00:00"/>
    <s v="https://image-cdn-ak.spotifycdn.com/image/ab67616d00001e02ef23eeb6c00d5b244abc3ffe"/>
    <b v="0"/>
  </r>
  <r>
    <n v="400"/>
    <s v="spotify:track:2BkTPMr1v6Fr6JJwc4V7R5"/>
    <x v="203"/>
    <s v="Strategy (from the Netflix film KPop Demon Hunters)"/>
    <s v="Republic Records - TWICE"/>
    <n v="90"/>
    <n v="17"/>
    <s v="03:05:00"/>
    <b v="0"/>
    <n v="84"/>
    <n v="78"/>
    <n v="75"/>
    <n v="6"/>
    <n v="15"/>
    <n v="0"/>
    <n v="13"/>
    <n v="81"/>
    <n v="120"/>
    <s v="K-Pop"/>
    <s v="20/6/2025"/>
    <s v="https://image-cdn-ak.spotifycdn.com/image/ab67616d00001e02adb0c0f9f3434f4f03954b67"/>
    <b v="0"/>
  </r>
  <r>
    <n v="401"/>
    <s v="spotify:track:2BwO5K8Q7EPAJSGze3AAh9"/>
    <x v="124"/>
    <s v="Manchild"/>
    <s v="Island Records"/>
    <n v="1"/>
    <n v="69"/>
    <s v="03:32:00"/>
    <b v="0"/>
    <n v="75"/>
    <n v="60"/>
    <n v="72"/>
    <n v="7"/>
    <n v="25"/>
    <n v="0"/>
    <n v="10"/>
    <n v="69"/>
    <n v="118"/>
    <s v="Pop"/>
    <s v="29/8/2025"/>
    <s v="https://image-cdn-ak.spotifycdn.com/image/ab67616d00001e02b1863bf95557ea7f357c4947"/>
    <b v="0"/>
  </r>
  <r>
    <n v="402"/>
    <s v="spotify:track:2CGNAOSuO1MEFCbBRgUzjd"/>
    <x v="121"/>
    <s v="luther (with sza)"/>
    <s v="pgLang, under exclusive license to Interscope Records"/>
    <n v="2"/>
    <n v="72"/>
    <d v="1899-12-30T02:55:00"/>
    <b v="0"/>
    <n v="71"/>
    <n v="57"/>
    <n v="87"/>
    <n v="12"/>
    <n v="25"/>
    <n v="0"/>
    <n v="25"/>
    <n v="58"/>
    <n v="138"/>
    <s v="Hip-Hop/Rap"/>
    <d v="2024-11-22T00:00:00"/>
    <s v="https://image-cdn-ak.spotifycdn.com/image/ab67616d00001e027e5e269471fe4a43a42e2f15"/>
    <b v="0"/>
  </r>
  <r>
    <n v="402"/>
    <s v="spotify:track:2CGNAOSuO1MEFCbBRgUzjd"/>
    <x v="20"/>
    <s v="luther (with sza)"/>
    <s v="pgLang, under exclusive license to Interscope Records"/>
    <n v="2"/>
    <n v="72"/>
    <d v="1899-12-30T02:55:00"/>
    <b v="0"/>
    <n v="71"/>
    <n v="57"/>
    <n v="87"/>
    <n v="12"/>
    <n v="25"/>
    <n v="0"/>
    <n v="25"/>
    <n v="58"/>
    <n v="138"/>
    <s v="Hip-Hop/Rap"/>
    <d v="2024-11-22T00:00:00"/>
    <s v="https://image-cdn-ak.spotifycdn.com/image/ab67616d00001e027e5e269471fe4a43a42e2f15"/>
    <b v="0"/>
  </r>
  <r>
    <n v="404"/>
    <s v="spotify:track:2DEZmgHKAvm41k4J3R2E9Y"/>
    <x v="103"/>
    <s v="Safaera"/>
    <s v="Rimas Entertainment LLC."/>
    <n v="9"/>
    <n v="40"/>
    <d v="1899-12-30T04:55:00"/>
    <b v="1"/>
    <n v="61"/>
    <n v="83"/>
    <n v="93"/>
    <n v="38"/>
    <n v="1"/>
    <n v="0"/>
    <n v="11"/>
    <n v="68"/>
    <n v="96"/>
    <s v="Reggaeton"/>
    <d v="2020-02-28T00:00:00"/>
    <s v="https://image-cdn-fa.spotifycdn.com/image/ab67616d00001e02548f7ec52da7313de0c5e4a0"/>
    <b v="0"/>
  </r>
  <r>
    <n v="404"/>
    <s v="spotify:track:2DEZmgHKAvm41k4J3R2E9Y"/>
    <x v="353"/>
    <s v="Safaera"/>
    <s v="Rimas Entertainment LLC."/>
    <n v="9"/>
    <n v="40"/>
    <d v="1899-12-30T04:55:00"/>
    <b v="1"/>
    <n v="61"/>
    <n v="83"/>
    <n v="93"/>
    <n v="38"/>
    <n v="1"/>
    <n v="0"/>
    <n v="11"/>
    <n v="68"/>
    <n v="96"/>
    <s v="Reggaeton"/>
    <d v="2020-02-28T00:00:00"/>
    <s v="https://image-cdn-fa.spotifycdn.com/image/ab67616d00001e02548f7ec52da7313de0c5e4a0"/>
    <b v="0"/>
  </r>
  <r>
    <n v="404"/>
    <s v="spotify:track:2DEZmgHKAvm41k4J3R2E9Y"/>
    <x v="281"/>
    <s v="Safaera"/>
    <s v="Rimas Entertainment LLC."/>
    <n v="9"/>
    <n v="40"/>
    <d v="1899-12-30T04:55:00"/>
    <b v="1"/>
    <n v="61"/>
    <n v="83"/>
    <n v="93"/>
    <n v="38"/>
    <n v="1"/>
    <n v="0"/>
    <n v="11"/>
    <n v="68"/>
    <n v="96"/>
    <s v="Reggaeton"/>
    <d v="2020-02-28T00:00:00"/>
    <s v="https://image-cdn-fa.spotifycdn.com/image/ab67616d00001e02548f7ec52da7313de0c5e4a0"/>
    <b v="0"/>
  </r>
  <r>
    <n v="405"/>
    <s v="spotify:track:2Dhdu4YB3y5U3RiIcCJduv"/>
    <x v="354"/>
    <s v="Tibok"/>
    <s v="Vicor Music"/>
    <n v="64"/>
    <n v="6"/>
    <d v="1899-12-30T03:18:00"/>
    <b v="0"/>
    <n v="57"/>
    <n v="54"/>
    <n v="85"/>
    <n v="3"/>
    <n v="10"/>
    <n v="0"/>
    <n v="22"/>
    <n v="68"/>
    <n v="144"/>
    <s v="Pop"/>
    <d v="2025-02-14T00:00:00"/>
    <s v="https://image-cdn-ak.spotifycdn.com/image/ab67616d00001e02e0021775c459dd31cdc7115a"/>
    <b v="0"/>
  </r>
  <r>
    <n v="406"/>
    <s v="spotify:track:2DlHlPMa4M17kufBvI2lEN"/>
    <x v="355"/>
    <s v="Chop Suey!"/>
    <s v="American/Columbia"/>
    <n v="198"/>
    <n v="1"/>
    <d v="1899-12-30T03:30:00"/>
    <b v="0"/>
    <n v="42"/>
    <n v="93"/>
    <n v="93"/>
    <n v="12"/>
    <n v="0"/>
    <n v="0"/>
    <n v="13"/>
    <n v="29"/>
    <n v="127"/>
    <s v="Nu Metal"/>
    <d v="2001-08-13T00:00:00"/>
    <s v="https://image-cdn-ak.spotifycdn.com/image/ab67616d00001e0207bc7d2a745636c356b4d0aa"/>
    <b v="0"/>
  </r>
  <r>
    <n v="407"/>
    <s v="spotify:track:2E7a96qey4AzSOdK6H21vS"/>
    <x v="20"/>
    <s v="Scorsese Baby Daddy"/>
    <s v="Top Dawg Entertainment/RCA Records"/>
    <n v="190"/>
    <n v="1"/>
    <d v="1899-12-30T02:48:00"/>
    <b v="1"/>
    <n v="75"/>
    <n v="73"/>
    <n v="89"/>
    <n v="3"/>
    <n v="46"/>
    <n v="0"/>
    <n v="10"/>
    <n v="80"/>
    <n v="104"/>
    <s v="R&amp;B"/>
    <d v="2022-12-09T00:00:00"/>
    <s v="https://image-cdn-ak.spotifycdn.com/image/ab67616d00001e0216fdde9f6b5606419ca9b7ca"/>
    <b v="0"/>
  </r>
  <r>
    <n v="408"/>
    <s v="spotify:track:2ENexcMEMsYk0rVJigVD3i"/>
    <x v="110"/>
    <s v="Only Girl (In The World)"/>
    <s v="Def Jam Recordings"/>
    <n v="99"/>
    <n v="49"/>
    <d v="1899-12-30T03:55:00"/>
    <b v="0"/>
    <n v="79"/>
    <n v="71"/>
    <n v="93"/>
    <n v="4"/>
    <n v="11"/>
    <n v="0"/>
    <n v="6"/>
    <n v="64"/>
    <n v="126"/>
    <s v="Dance Pop"/>
    <d v="2010-09-10T00:00:00"/>
    <s v="https://image-cdn-ak.spotifycdn.com/image/ab67616d00001e0231548865f7c729290b96c794"/>
    <b v="0"/>
  </r>
  <r>
    <n v="409"/>
    <s v="spotify:track:2ETQsbiuGm2WLOSOr2I19A"/>
    <x v="23"/>
    <s v="Dear god"/>
    <s v="RCA Records Label"/>
    <n v="59"/>
    <n v="2"/>
    <d v="1899-12-30T03:05:00"/>
    <b v="0"/>
    <n v="73"/>
    <n v="74"/>
    <n v="91"/>
    <n v="3"/>
    <n v="8"/>
    <n v="0"/>
    <n v="28"/>
    <n v="44"/>
    <n v="98"/>
    <s v="Pop"/>
    <d v="2025-02-21T00:00:00"/>
    <s v="https://image-cdn-ak.spotifycdn.com/image/ab67616d00001e0230420759f1a2cd4923c5c65b"/>
    <b v="0"/>
  </r>
  <r>
    <n v="410"/>
    <s v="spotify:track:2EjXfH91m7f8HiJN1yQg97"/>
    <x v="356"/>
    <s v="Rockin' Around The Christmas Tree"/>
    <s v="MCA Nashville"/>
    <n v="3"/>
    <n v="60"/>
    <d v="1899-12-30T02:06:00"/>
    <b v="0"/>
    <n v="60"/>
    <n v="47"/>
    <n v="85"/>
    <n v="5"/>
    <n v="62"/>
    <n v="0"/>
    <n v="50"/>
    <n v="88"/>
    <n v="67"/>
    <s v="Christmas"/>
    <d v="1958-11-24T00:00:00"/>
    <s v="https://image-cdn-ak.spotifycdn.com/image/ab67616d00001e027845f74d6db14b400fa61cd3"/>
    <b v="1"/>
  </r>
  <r>
    <n v="411"/>
    <s v="spotify:track:2Ejyg4CavumEr7lFUkk9aF"/>
    <x v="7"/>
    <s v="Rendezvous (feat. Yeat)"/>
    <s v="CactusJack/Donnway/ATL"/>
    <n v="104"/>
    <n v="1"/>
    <d v="1899-12-30T03:18:00"/>
    <b v="1"/>
    <n v="72"/>
    <n v="78"/>
    <n v="81"/>
    <n v="16"/>
    <n v="5"/>
    <n v="0"/>
    <n v="12"/>
    <n v="48"/>
    <n v="130"/>
    <s v="Hip-Hop/Rap"/>
    <d v="2025-05-16T00:00:00"/>
    <s v="https://image-cdn-fa.spotifycdn.com/image/ab67616d00001e0225c28f3c9fbdbab1a88dd619"/>
    <b v="0"/>
  </r>
  <r>
    <n v="411"/>
    <s v="spotify:track:2Ejyg4CavumEr7lFUkk9aF"/>
    <x v="357"/>
    <s v="Rendezvous (feat. Yeat)"/>
    <s v="CactusJack/Donnway/ATL"/>
    <n v="104"/>
    <n v="1"/>
    <d v="1899-12-30T03:18:00"/>
    <b v="1"/>
    <n v="72"/>
    <n v="78"/>
    <n v="81"/>
    <n v="16"/>
    <n v="5"/>
    <n v="0"/>
    <n v="12"/>
    <n v="48"/>
    <n v="130"/>
    <s v="Hip-Hop/Rap"/>
    <d v="2025-05-16T00:00:00"/>
    <s v="https://image-cdn-fa.spotifycdn.com/image/ab67616d00001e0225c28f3c9fbdbab1a88dd619"/>
    <b v="0"/>
  </r>
  <r>
    <n v="412"/>
    <s v="spotify:track:2FAZskT9yRjp2Oow9szJD8"/>
    <x v="358"/>
    <s v="The Days - NOTION Remix"/>
    <s v="Polydor Records"/>
    <n v="55"/>
    <n v="34"/>
    <d v="1899-12-30T03:18:00"/>
    <b v="0"/>
    <n v="62"/>
    <n v="84"/>
    <n v="91"/>
    <n v="8"/>
    <n v="1"/>
    <n v="0"/>
    <n v="55"/>
    <n v="24"/>
    <n v="138"/>
    <s v="House"/>
    <d v="2024-08-02T00:00:00"/>
    <s v="https://image-cdn-ak.spotifycdn.com/image/ab67616d00001e029041b9965925059507fb44af"/>
    <b v="0"/>
  </r>
  <r>
    <n v="412"/>
    <s v="spotify:track:2FAZskT9yRjp2Oow9szJD8"/>
    <x v="359"/>
    <s v="The Days - NOTION Remix"/>
    <s v="Polydor Records"/>
    <n v="55"/>
    <n v="34"/>
    <d v="1899-12-30T03:18:00"/>
    <b v="0"/>
    <n v="62"/>
    <n v="84"/>
    <n v="91"/>
    <n v="8"/>
    <n v="1"/>
    <n v="0"/>
    <n v="55"/>
    <n v="24"/>
    <n v="138"/>
    <s v="House"/>
    <d v="2024-08-02T00:00:00"/>
    <s v="https://image-cdn-ak.spotifycdn.com/image/ab67616d00001e029041b9965925059507fb44af"/>
    <b v="0"/>
  </r>
  <r>
    <n v="413"/>
    <s v="spotify:track:2FPfeYlrbSBR8PwCU0zaqq"/>
    <x v="360"/>
    <s v="Have Yourself A Merry Little Christmas - Remastered 1999"/>
    <s v="Capitol Records"/>
    <n v="37"/>
    <n v="11"/>
    <d v="1899-12-30T02:48:00"/>
    <b v="0"/>
    <n v="52"/>
    <n v="50"/>
    <n v="73"/>
    <n v="3"/>
    <n v="55"/>
    <n v="0"/>
    <n v="15"/>
    <n v="72"/>
    <n v="120"/>
    <s v="Christmas"/>
    <d v="1957-11-01T00:00:00"/>
    <s v="https://image-cdn-ak.spotifycdn.com/image/ab67616d00001e0294fd2e614d0862bdd2592594"/>
    <b v="1"/>
  </r>
  <r>
    <n v="414"/>
    <s v="spotify:track:2FRnf9qhLbvw8fu4IBXx78"/>
    <x v="361"/>
    <s v="Last Christmas"/>
    <s v="Epic"/>
    <n v="1"/>
    <n v="69"/>
    <d v="1899-12-30T04:22:00"/>
    <b v="0"/>
    <n v="74"/>
    <n v="48"/>
    <n v="79"/>
    <n v="3"/>
    <n v="19"/>
    <n v="0"/>
    <n v="36"/>
    <n v="95"/>
    <n v="108"/>
    <s v="Christmas"/>
    <d v="1984-12-03T00:00:00"/>
    <s v="https://image-cdn-ak.spotifycdn.com/image/ab67616d00001e02f2d2adaa21ad616df6241e7d"/>
    <b v="1"/>
  </r>
  <r>
    <n v="415"/>
    <s v="spotify:track:2FZcjBYK4dTt48q94pJbJD"/>
    <x v="362"/>
    <s v="Bass Persuades"/>
    <s v="Atlantic Records"/>
    <n v="115"/>
    <n v="1"/>
    <s v="03:18:00"/>
    <b v="0"/>
    <n v="82"/>
    <n v="71"/>
    <n v="74"/>
    <n v="6"/>
    <n v="14"/>
    <n v="0"/>
    <n v="11"/>
    <n v="78"/>
    <n v="122"/>
    <s v="Pop"/>
    <s v="27/6/2025"/>
    <s v="https://image-cdn-fa.spotifycdn.com/image/ab67616d00001e0240e583b55bdddcf70516fa6c"/>
    <b v="0"/>
  </r>
  <r>
    <n v="416"/>
    <s v="spotify:track:2FycFFuNMVVYIiIqeldXF5"/>
    <x v="206"/>
    <s v="STOLE YA FLOW"/>
    <s v="A$AP Worldwide/RCA Records"/>
    <n v="91"/>
    <n v="1"/>
    <s v="03:18:00"/>
    <b v="1"/>
    <n v="75"/>
    <n v="64"/>
    <n v="72"/>
    <n v="18"/>
    <n v="25"/>
    <n v="0"/>
    <n v="13"/>
    <n v="55"/>
    <n v="92"/>
    <s v="Hip-Hop/Rap"/>
    <s v="27/6/2025"/>
    <s v="https://image-cdn-ak.spotifycdn.com/image/ab67616d00001e02be35d523672e13da3debc413"/>
    <b v="0"/>
  </r>
  <r>
    <n v="417"/>
    <s v="spotify:track:2GHKo6nrSjruvBEQbzD7Fw"/>
    <x v="7"/>
    <s v="Tiramisu"/>
    <s v="CactusJack/Donnway/ATL"/>
    <n v="116"/>
    <n v="1"/>
    <d v="1899-12-30T03:05:00"/>
    <b v="1"/>
    <n v="72"/>
    <n v="75"/>
    <n v="80"/>
    <n v="14"/>
    <n v="5"/>
    <n v="0"/>
    <n v="12"/>
    <n v="48"/>
    <n v="128"/>
    <s v="Hip-Hop/Rap"/>
    <d v="2025-05-16T00:00:00"/>
    <s v="https://image-cdn-ak.spotifycdn.com/image/ab67616d00001e0225c28f3c9fbdbab1a88dd619"/>
    <b v="0"/>
  </r>
  <r>
    <n v="418"/>
    <s v="spotify:track:2GP6UzoA55p6yYiPCGyEhg"/>
    <x v="311"/>
    <s v="2+2"/>
    <s v="WM Mexico"/>
    <n v="81"/>
    <n v="29"/>
    <d v="1899-12-30T03:05:00"/>
    <b v="0"/>
    <n v="81"/>
    <n v="72"/>
    <n v="90"/>
    <n v="7"/>
    <n v="2"/>
    <n v="0"/>
    <n v="21"/>
    <n v="79"/>
    <n v="80"/>
    <s v="Regional Mexicano"/>
    <d v="2025-04-11T00:00:00"/>
    <s v="https://image-cdn-ak.spotifycdn.com/image/ab67616d00001e02ae74a300afb22a64e59eb437"/>
    <b v="0"/>
  </r>
  <r>
    <n v="418"/>
    <s v="spotify:track:2GP6UzoA55p6yYiPCGyEhg"/>
    <x v="139"/>
    <s v="2+2"/>
    <s v="WM Mexico"/>
    <n v="81"/>
    <n v="29"/>
    <d v="1899-12-30T03:05:00"/>
    <b v="0"/>
    <n v="81"/>
    <n v="72"/>
    <n v="90"/>
    <n v="7"/>
    <n v="2"/>
    <n v="0"/>
    <n v="21"/>
    <n v="79"/>
    <n v="80"/>
    <s v="Regional Mexicano"/>
    <d v="2025-04-11T00:00:00"/>
    <s v="https://image-cdn-ak.spotifycdn.com/image/ab67616d00001e02ae74a300afb22a64e59eb437"/>
    <b v="0"/>
  </r>
  <r>
    <n v="419"/>
    <s v="spotify:track:2Gs0iF27my40p0dANv2rAg"/>
    <x v="363"/>
    <s v="MONTAGEM XONADA"/>
    <s v="Lunar Media"/>
    <n v="121"/>
    <n v="11"/>
    <d v="1899-12-30T02:35:00"/>
    <b v="1"/>
    <n v="85"/>
    <n v="82"/>
    <n v="82"/>
    <n v="14"/>
    <n v="5"/>
    <n v="0"/>
    <n v="15"/>
    <n v="72"/>
    <n v="130"/>
    <s v="Phonk"/>
    <d v="2025-04-18T00:00:00"/>
    <s v="https://image-cdn-ak.spotifycdn.com/image/ab67616d00001e02f5da0af2725ce8121f7b4011"/>
    <b v="0"/>
  </r>
  <r>
    <n v="419"/>
    <s v="spotify:track:2Gs0iF27my40p0dANv2rAg"/>
    <x v="364"/>
    <s v="MONTAGEM XONADA"/>
    <s v="Lunar Media"/>
    <n v="121"/>
    <n v="11"/>
    <d v="1899-12-30T02:35:00"/>
    <b v="1"/>
    <n v="85"/>
    <n v="82"/>
    <n v="82"/>
    <n v="14"/>
    <n v="5"/>
    <n v="0"/>
    <n v="15"/>
    <n v="72"/>
    <n v="130"/>
    <s v="Phonk"/>
    <d v="2025-04-18T00:00:00"/>
    <s v="https://image-cdn-ak.spotifycdn.com/image/ab67616d00001e02f5da0af2725ce8121f7b4011"/>
    <b v="0"/>
  </r>
  <r>
    <n v="419"/>
    <s v="spotify:track:2Gs0iF27my40p0dANv2rAg"/>
    <x v="263"/>
    <s v="MONTAGEM XONADA"/>
    <s v="Lunar Media"/>
    <n v="121"/>
    <n v="11"/>
    <d v="1899-12-30T02:35:00"/>
    <b v="1"/>
    <n v="85"/>
    <n v="82"/>
    <n v="82"/>
    <n v="14"/>
    <n v="5"/>
    <n v="0"/>
    <n v="15"/>
    <n v="72"/>
    <n v="130"/>
    <s v="Phonk"/>
    <d v="2025-04-18T00:00:00"/>
    <s v="https://image-cdn-ak.spotifycdn.com/image/ab67616d00001e02f5da0af2725ce8121f7b4011"/>
    <b v="0"/>
  </r>
  <r>
    <n v="420"/>
    <s v="spotify:track:2GylVVMD21R4SqgAt8gGC5"/>
    <x v="365"/>
    <s v="Eu Vou na Sua Casa"/>
    <s v="One Play"/>
    <n v="129"/>
    <n v="2"/>
    <s v="02:48:00"/>
    <b v="1"/>
    <n v="82"/>
    <n v="78"/>
    <n v="75"/>
    <n v="8"/>
    <n v="16"/>
    <n v="0"/>
    <n v="20"/>
    <n v="83"/>
    <n v="128"/>
    <s v="Sertanejo"/>
    <s v="30/5/2025"/>
    <s v="https://image-cdn-ak.spotifycdn.com/image/ab67616d00001e02319b9c051f2be1926e3f7076"/>
    <b v="0"/>
  </r>
  <r>
    <n v="420"/>
    <s v="spotify:track:2GylVVMD21R4SqgAt8gGC5"/>
    <x v="366"/>
    <s v="Eu Vou na Sua Casa"/>
    <s v="One Play"/>
    <n v="129"/>
    <n v="2"/>
    <s v="02:48:00"/>
    <b v="1"/>
    <n v="82"/>
    <n v="78"/>
    <n v="75"/>
    <n v="8"/>
    <n v="16"/>
    <n v="0"/>
    <n v="20"/>
    <n v="83"/>
    <n v="128"/>
    <s v="Sertanejo"/>
    <s v="30/5/2025"/>
    <s v="https://image-cdn-ak.spotifycdn.com/image/ab67616d00001e02319b9c051f2be1926e3f7076"/>
    <b v="0"/>
  </r>
  <r>
    <n v="420"/>
    <s v="spotify:track:2GylVVMD21R4SqgAt8gGC5"/>
    <x v="367"/>
    <s v="Eu Vou na Sua Casa"/>
    <s v="One Play"/>
    <n v="129"/>
    <n v="2"/>
    <s v="02:48:00"/>
    <b v="1"/>
    <n v="82"/>
    <n v="78"/>
    <n v="75"/>
    <n v="8"/>
    <n v="16"/>
    <n v="0"/>
    <n v="20"/>
    <n v="83"/>
    <n v="128"/>
    <s v="Sertanejo"/>
    <s v="30/5/2025"/>
    <s v="https://image-cdn-ak.spotifycdn.com/image/ab67616d00001e02319b9c051f2be1926e3f7076"/>
    <b v="0"/>
  </r>
  <r>
    <n v="420"/>
    <s v="spotify:track:2GylVVMD21R4SqgAt8gGC5"/>
    <x v="368"/>
    <s v="Eu Vou na Sua Casa"/>
    <s v="One Play"/>
    <n v="129"/>
    <n v="2"/>
    <s v="02:48:00"/>
    <b v="1"/>
    <n v="82"/>
    <n v="78"/>
    <n v="75"/>
    <n v="8"/>
    <n v="16"/>
    <n v="0"/>
    <n v="20"/>
    <n v="83"/>
    <n v="128"/>
    <s v="Sertanejo"/>
    <s v="30/5/2025"/>
    <s v="https://image-cdn-ak.spotifycdn.com/image/ab67616d00001e02319b9c051f2be1926e3f7076"/>
    <b v="0"/>
  </r>
  <r>
    <n v="421"/>
    <s v="spotify:track:2GzwtXPlI0gZEOS6xFOZ2j"/>
    <x v="369"/>
    <s v="Killin' It Girl (feat. GloRilla)"/>
    <s v="BIGHIT MUSIC"/>
    <n v="24"/>
    <n v="1"/>
    <d v="1899-12-30T03:05:00"/>
    <b v="1"/>
    <n v="77"/>
    <n v="92"/>
    <n v="92"/>
    <n v="6"/>
    <n v="0"/>
    <n v="0"/>
    <n v="27"/>
    <n v="71"/>
    <n v="97"/>
    <s v="Hip-Hop/Rap"/>
    <d v="2025-03-07T00:00:00"/>
    <s v="https://image-cdn-ak.spotifycdn.com/image/ab67616d00001e02a4b6673a8dd10d67163dbfc1"/>
    <b v="0"/>
  </r>
  <r>
    <n v="421"/>
    <s v="spotify:track:2GzwtXPlI0gZEOS6xFOZ2j"/>
    <x v="251"/>
    <s v="Killin' It Girl (feat. GloRilla)"/>
    <s v="BIGHIT MUSIC"/>
    <n v="24"/>
    <n v="1"/>
    <d v="1899-12-30T03:05:00"/>
    <b v="1"/>
    <n v="77"/>
    <n v="92"/>
    <n v="92"/>
    <n v="6"/>
    <n v="0"/>
    <n v="0"/>
    <n v="27"/>
    <n v="71"/>
    <n v="97"/>
    <s v="Hip-Hop/Rap"/>
    <d v="2025-03-07T00:00:00"/>
    <s v="https://image-cdn-ak.spotifycdn.com/image/ab67616d00001e02a4b6673a8dd10d67163dbfc1"/>
    <b v="0"/>
  </r>
  <r>
    <n v="423"/>
    <s v="spotify:track:2HMvIK2S3oC6OABl2YXAx1"/>
    <x v="298"/>
    <s v="Gameboy"/>
    <s v="HYBE/Geffen"/>
    <n v="137"/>
    <n v="1"/>
    <d v="1899-12-30T02:48:00"/>
    <b v="0"/>
    <n v="80"/>
    <n v="80"/>
    <n v="81"/>
    <n v="10"/>
    <n v="8"/>
    <n v="0"/>
    <n v="13"/>
    <n v="65"/>
    <n v="122"/>
    <s v="K-Pop"/>
    <d v="2025-04-18T00:00:00"/>
    <s v="https://image-cdn-ak.spotifycdn.com/image/ab67616d00001e029fa5a27ec6bbe8ebf5543127"/>
    <b v="0"/>
  </r>
  <r>
    <n v="424"/>
    <s v="spotify:track:2HRgqmZQC0MC7GeNuDIXHN"/>
    <x v="4"/>
    <s v="Seven (feat. Latto) (Explicit Ver.)"/>
    <s v="BIGHIT MUSIC"/>
    <n v="1"/>
    <n v="157"/>
    <d v="1899-12-30T03:04:00"/>
    <b v="1"/>
    <n v="79"/>
    <n v="83"/>
    <n v="93"/>
    <n v="4"/>
    <n v="31"/>
    <n v="0"/>
    <n v="8"/>
    <n v="87"/>
    <n v="125"/>
    <s v="Pop"/>
    <d v="2023-07-14T00:00:00"/>
    <s v="https://image-cdn-ak.spotifycdn.com/image/ab67616d00001e02741fd4807f442af3f7359316"/>
    <b v="0"/>
  </r>
  <r>
    <n v="424"/>
    <s v="spotify:track:2HRgqmZQC0MC7GeNuDIXHN"/>
    <x v="370"/>
    <s v="Seven (feat. Latto) (Explicit Ver.)"/>
    <s v="BIGHIT MUSIC"/>
    <n v="1"/>
    <n v="157"/>
    <d v="1899-12-30T03:04:00"/>
    <b v="1"/>
    <n v="79"/>
    <n v="83"/>
    <n v="93"/>
    <n v="4"/>
    <n v="31"/>
    <n v="0"/>
    <n v="8"/>
    <n v="87"/>
    <n v="125"/>
    <s v="Pop"/>
    <d v="2023-07-14T00:00:00"/>
    <s v="https://image-cdn-ak.spotifycdn.com/image/ab67616d00001e02741fd4807f442af3f7359316"/>
    <b v="0"/>
  </r>
  <r>
    <n v="425"/>
    <s v="spotify:track:2HRqTpkrJO5ggZyyK6NPWz"/>
    <x v="124"/>
    <s v="Espresso"/>
    <s v="Island Records"/>
    <n v="1"/>
    <n v="129"/>
    <d v="1899-12-30T02:55:00"/>
    <b v="1"/>
    <n v="70"/>
    <n v="78"/>
    <n v="91"/>
    <n v="3"/>
    <n v="13"/>
    <n v="0"/>
    <n v="20"/>
    <n v="71"/>
    <n v="104"/>
    <s v="Pop"/>
    <d v="2024-04-11T00:00:00"/>
    <s v="https://image-cdn-ak.spotifycdn.com/image/ab67616d00001e02fd8d7a8d96871e791cb1f626"/>
    <b v="0"/>
  </r>
  <r>
    <n v="426"/>
    <s v="spotify:track:2HbKqm4o0w5wEeEFXm2sD4"/>
    <x v="371"/>
    <s v="Money Trees"/>
    <s v="Aftermath"/>
    <n v="47"/>
    <n v="74"/>
    <d v="1899-12-30T06:26:00"/>
    <b v="1"/>
    <n v="72"/>
    <n v="53"/>
    <n v="88"/>
    <n v="16"/>
    <n v="7"/>
    <n v="0"/>
    <n v="22"/>
    <n v="34"/>
    <n v="72"/>
    <s v="Hip-Hop/Rap"/>
    <d v="2012-10-22T00:00:00"/>
    <s v="https://image-cdn-ak.spotifycdn.com/image/ab67616d00001e02d28d2ebdedb220e479743797"/>
    <b v="0"/>
  </r>
  <r>
    <n v="426"/>
    <s v="spotify:track:2HbKqm4o0w5wEeEFXm2sD4"/>
    <x v="121"/>
    <s v="Money Trees"/>
    <s v="Aftermath"/>
    <n v="47"/>
    <n v="74"/>
    <d v="1899-12-30T06:26:00"/>
    <b v="1"/>
    <n v="72"/>
    <n v="53"/>
    <n v="88"/>
    <n v="16"/>
    <n v="7"/>
    <n v="0"/>
    <n v="22"/>
    <n v="34"/>
    <n v="72"/>
    <s v="Hip-Hop/Rap"/>
    <d v="2012-10-22T00:00:00"/>
    <s v="https://image-cdn-ak.spotifycdn.com/image/ab67616d00001e02d28d2ebdedb220e479743797"/>
    <b v="0"/>
  </r>
  <r>
    <n v="427"/>
    <s v="spotify:track:2HjJTdEdEApv1QrKcMXKqo"/>
    <x v="372"/>
    <s v="Şarkılar Sokaklara Ait"/>
    <s v="Sound of Street"/>
    <n v="57"/>
    <n v="2"/>
    <s v="03:05:00"/>
    <b v="1"/>
    <n v="74"/>
    <n v="64"/>
    <n v="72"/>
    <n v="16"/>
    <n v="28"/>
    <n v="0"/>
    <n v="15"/>
    <n v="52"/>
    <n v="120"/>
    <s v="Turkish Rap"/>
    <s v="13/6/2025"/>
    <s v="https://image-cdn-ak.spotifycdn.com/image/ab67616d00001e0237f584dbc35b376b0407884f"/>
    <b v="0"/>
  </r>
  <r>
    <n v="427"/>
    <s v="spotify:track:2HjJTdEdEApv1QrKcMXKqo"/>
    <x v="373"/>
    <s v="Şarkılar Sokaklara Ait"/>
    <s v="Sound of Street"/>
    <n v="57"/>
    <n v="2"/>
    <s v="03:05:00"/>
    <b v="1"/>
    <n v="74"/>
    <n v="64"/>
    <n v="72"/>
    <n v="16"/>
    <n v="28"/>
    <n v="0"/>
    <n v="15"/>
    <n v="52"/>
    <n v="120"/>
    <s v="Turkish Rap"/>
    <s v="13/6/2025"/>
    <s v="https://image-cdn-ak.spotifycdn.com/image/ab67616d00001e0237f584dbc35b376b0407884f"/>
    <b v="0"/>
  </r>
  <r>
    <n v="428"/>
    <s v="spotify:track:2IFND3phjzIG1RcPnHh2hP"/>
    <x v="69"/>
    <s v="Like Animals"/>
    <s v="BIGHIT MUSIC"/>
    <n v="8"/>
    <n v="13"/>
    <s v="03:18:00"/>
    <b v="0"/>
    <n v="73"/>
    <n v="68"/>
    <n v="73"/>
    <n v="7"/>
    <n v="16"/>
    <n v="0"/>
    <n v="12"/>
    <n v="63"/>
    <n v="130"/>
    <s v="K-Pop"/>
    <s v="20/3/2026"/>
    <s v="https://image-cdn-ak.spotifycdn.com/image/ab67616d00001e02dfa17fad7f190c901603270e"/>
    <b v="0"/>
  </r>
  <r>
    <n v="429"/>
    <s v="spotify:track:2Im5a2GdRF1QIUUNqnloX4"/>
    <x v="98"/>
    <s v="past life"/>
    <s v="Republic Records"/>
    <n v="61"/>
    <n v="1"/>
    <d v="1899-12-30T02:55:00"/>
    <b v="1"/>
    <n v="51"/>
    <n v="62"/>
    <n v="90"/>
    <n v="14"/>
    <n v="37"/>
    <n v="0"/>
    <n v="8"/>
    <n v="42"/>
    <n v="187"/>
    <s v="Pop"/>
    <d v="2024-03-08T00:00:00"/>
    <s v="https://image-cdn-fa.spotifycdn.com/image/ab67616d00001e0296094d0c80f0f321da705f88"/>
    <b v="0"/>
  </r>
  <r>
    <n v="430"/>
    <s v="spotify:track:2ImWVGyYTRMi64861WCCcq"/>
    <x v="315"/>
    <s v="iqro'"/>
    <s v="Raim Laode"/>
    <n v="123"/>
    <n v="14"/>
    <d v="1899-12-30T03:48:00"/>
    <b v="0"/>
    <n v="55"/>
    <n v="55"/>
    <n v="74"/>
    <n v="5"/>
    <n v="45"/>
    <n v="0"/>
    <n v="10"/>
    <n v="48"/>
    <n v="90"/>
    <s v="Indie Pop"/>
    <d v="2024-12-06T00:00:00"/>
    <s v="https://image-cdn-fa.spotifycdn.com/image/ab67616d00001e02a9d1f9b5d3275b0625e13e79"/>
    <b v="0"/>
  </r>
  <r>
    <n v="431"/>
    <s v="spotify:track:2JH26hQtnqWUNnQET8o2N1"/>
    <x v="147"/>
    <s v="Divinize"/>
    <s v="Columbia"/>
    <n v="56"/>
    <n v="1"/>
    <s v="03:18:00"/>
    <b v="0"/>
    <n v="75"/>
    <n v="67"/>
    <n v="73"/>
    <n v="7"/>
    <n v="28"/>
    <n v="0"/>
    <n v="13"/>
    <n v="59"/>
    <n v="126"/>
    <s v="Flamenco"/>
    <s v="7/11/2025"/>
    <s v="https://image-cdn-fa.spotifycdn.com/image/ab67616d00001e0293ee2e2f2dfb7de9befcc164"/>
    <b v="0"/>
  </r>
  <r>
    <n v="432"/>
    <s v="spotify:track:2JJFJEvFSWyQ59Pwl2gqSF"/>
    <x v="1"/>
    <s v="MUNYUN"/>
    <s v="AWGE/Interscope Records"/>
    <n v="94"/>
    <n v="1"/>
    <d v="1899-12-30T02:48:00"/>
    <b v="1"/>
    <n v="73"/>
    <n v="66"/>
    <n v="84"/>
    <n v="5"/>
    <n v="0"/>
    <n v="0"/>
    <n v="14"/>
    <n v="4"/>
    <n v="112"/>
    <s v="Hip-Hop/Rap"/>
    <d v="2025-03-14T00:00:00"/>
    <s v="https://image-cdn-ak.spotifycdn.com/image/ab67616d00001e026b219c8d8462bfe254a20469"/>
    <b v="0"/>
  </r>
  <r>
    <n v="433"/>
    <s v="spotify:track:2JPctdUgvkQSpnUdfROxvY"/>
    <x v="374"/>
    <s v="Te Quería Ver"/>
    <s v="HOMEGROWN MAFIA S.A. DE C.V./Sony Music México-Latin"/>
    <n v="15"/>
    <n v="32"/>
    <d v="1899-12-30T03:05:00"/>
    <b v="0"/>
    <n v="80"/>
    <n v="76"/>
    <n v="91"/>
    <n v="7"/>
    <n v="19"/>
    <n v="0"/>
    <n v="9"/>
    <n v="45"/>
    <n v="100"/>
    <s v="Regional Mexicano"/>
    <d v="2025-03-14T00:00:00"/>
    <s v="https://image-cdn-ak.spotifycdn.com/image/ab67616d00001e0227e21085a39d701ccef70490"/>
    <b v="0"/>
  </r>
  <r>
    <n v="433"/>
    <s v="spotify:track:2JPctdUgvkQSpnUdfROxvY"/>
    <x v="30"/>
    <s v="Te Quería Ver"/>
    <s v="HOMEGROWN MAFIA S.A. DE C.V./Sony Music México-Latin"/>
    <n v="15"/>
    <n v="32"/>
    <d v="1899-12-30T03:05:00"/>
    <b v="0"/>
    <n v="80"/>
    <n v="76"/>
    <n v="91"/>
    <n v="7"/>
    <n v="19"/>
    <n v="0"/>
    <n v="9"/>
    <n v="45"/>
    <n v="100"/>
    <s v="Regional Mexicano"/>
    <d v="2025-03-14T00:00:00"/>
    <s v="https://image-cdn-ak.spotifycdn.com/image/ab67616d00001e0227e21085a39d701ccef70490"/>
    <b v="0"/>
  </r>
  <r>
    <n v="434"/>
    <s v="spotify:track:2JiJRwhGRg20GhFGXd6JZX"/>
    <x v="375"/>
    <s v="Santa Baby"/>
    <s v="Vingolf Recordings"/>
    <n v="105"/>
    <n v="2"/>
    <d v="1899-12-30T03:24:00"/>
    <b v="0"/>
    <n v="55"/>
    <n v="50"/>
    <n v="73"/>
    <n v="4"/>
    <n v="55"/>
    <n v="0"/>
    <n v="15"/>
    <n v="72"/>
    <n v="120"/>
    <s v="Christmas"/>
    <d v="2024-11-01T00:00:00"/>
    <s v="https://image-cdn-ak.spotifycdn.com/image/ab67616d00001e02c6aea59379b5012bb5fae434"/>
    <b v="1"/>
  </r>
  <r>
    <n v="435"/>
    <s v="spotify:track:2K7xn816oNHJZ0aVqdQsha"/>
    <x v="127"/>
    <s v="Softcore"/>
    <s v="Columbia"/>
    <n v="35"/>
    <n v="46"/>
    <d v="1899-12-30T03:27:00"/>
    <b v="0"/>
    <n v="57"/>
    <n v="57"/>
    <n v="91"/>
    <n v="3"/>
    <n v="5"/>
    <n v="0"/>
    <n v="29"/>
    <n v="37"/>
    <n v="94"/>
    <s v="Indie Pop"/>
    <d v="2018-11-02T00:00:00"/>
    <s v="https://image-cdn-fa.spotifycdn.com/image/ab67616d00001e029b6ac98a52f62d5cb473da40"/>
    <b v="0"/>
  </r>
  <r>
    <n v="436"/>
    <s v="spotify:track:2KUgQWhPsYgB829i9n6IhP"/>
    <x v="235"/>
    <s v="This &amp; That"/>
    <s v="Republic Records - Stray Kids"/>
    <n v="91"/>
    <n v="1"/>
    <s v="03:05:00"/>
    <b v="0"/>
    <n v="84"/>
    <n v="78"/>
    <n v="76"/>
    <n v="9"/>
    <n v="15"/>
    <n v="0"/>
    <n v="14"/>
    <n v="72"/>
    <n v="175"/>
    <s v="K-Pop"/>
    <s v="14/8/2026"/>
    <s v="https://image-cdn-fa.spotifycdn.com/image/ab67616d00001e02fcd5d717063c6415ae3e3770"/>
    <b v="0"/>
  </r>
  <r>
    <n v="438"/>
    <s v="spotify:track:2L9QLAhrvtP4EYg1lY0Tnw"/>
    <x v="376"/>
    <s v="Rudolph The Red-Nosed Reindeer"/>
    <s v="Capitol Records"/>
    <n v="116"/>
    <n v="9"/>
    <d v="1899-12-30T02:14:00"/>
    <b v="0"/>
    <n v="55"/>
    <n v="50"/>
    <n v="72"/>
    <n v="4"/>
    <n v="55"/>
    <n v="0"/>
    <n v="15"/>
    <n v="78"/>
    <n v="120"/>
    <s v="Christmas"/>
    <d v="1959-11-01T00:00:00"/>
    <s v="https://image-cdn-ak.spotifycdn.com/image/ab67616d00001e026d88028a85c771f37374c8ea"/>
    <b v="1"/>
  </r>
  <r>
    <n v="439"/>
    <s v="spotify:track:2LBqCSwhJGcFQeTHMVGwy3"/>
    <x v="55"/>
    <s v="Die For You"/>
    <s v="The Weeknd/Lyric"/>
    <n v="12"/>
    <n v="228"/>
    <d v="1899-12-30T04:20:00"/>
    <b v="0"/>
    <n v="59"/>
    <n v="52"/>
    <n v="88"/>
    <n v="6"/>
    <n v="11"/>
    <n v="0"/>
    <n v="13"/>
    <n v="51"/>
    <n v="134"/>
    <s v="R&amp;B"/>
    <d v="2016-11-25T00:00:00"/>
    <s v="https://image-cdn-fa.spotifycdn.com/image/ab67616d00001e02a048415db06a5b6fa7ec4e1a"/>
    <b v="0"/>
  </r>
  <r>
    <n v="440"/>
    <s v="spotify:track:2LHNTC9QZxsL3nWpt8iaSR"/>
    <x v="10"/>
    <s v="Abracadabra"/>
    <s v="Interscope Records"/>
    <n v="7"/>
    <n v="34"/>
    <d v="1899-12-30T03:44:00"/>
    <b v="0"/>
    <n v="68"/>
    <n v="91"/>
    <n v="94"/>
    <n v="6"/>
    <n v="1"/>
    <n v="0"/>
    <n v="22"/>
    <n v="63"/>
    <n v="126"/>
    <s v="Pop"/>
    <d v="2025-02-02T00:00:00"/>
    <s v="https://image-cdn-ak.spotifycdn.com/image/ab67616d00001e02b0860cf0a98e09663c82290c"/>
    <b v="0"/>
  </r>
  <r>
    <n v="441"/>
    <s v="spotify:track:2LSmH4vxyRhkJ2pPqcmkXw"/>
    <x v="377"/>
    <s v="NOBLE"/>
    <s v="Robots &amp; Humans"/>
    <n v="155"/>
    <n v="2"/>
    <s v="02:55:00"/>
    <b v="0"/>
    <n v="69"/>
    <n v="61"/>
    <n v="72"/>
    <n v="7"/>
    <n v="30"/>
    <n v="0"/>
    <n v="15"/>
    <n v="59"/>
    <n v="114"/>
    <s v="Pop"/>
    <s v="12/6/2026"/>
    <s v="https://image-cdn-ak.spotifycdn.com/image/ab67616d00001e023adeba767abb79b86ed0449b"/>
    <b v="0"/>
  </r>
  <r>
    <n v="442"/>
    <s v="spotify:track:2LawezPeJhN4AWuSB0GtAU"/>
    <x v="378"/>
    <s v="Have You Ever Seen The Rain"/>
    <s v="Craft Recordings"/>
    <n v="75"/>
    <n v="91"/>
    <d v="1899-12-30T02:39:00"/>
    <b v="0"/>
    <n v="74"/>
    <n v="70"/>
    <n v="88"/>
    <n v="3"/>
    <n v="7"/>
    <n v="0"/>
    <n v="13"/>
    <n v="77"/>
    <n v="116"/>
    <s v="Rock"/>
    <d v="1970-12-01T00:00:00"/>
    <s v="https://image-cdn-fa.spotifycdn.com/image/ab67616d00001e0251f311c2fb06ad2789e3ff91"/>
    <b v="0"/>
  </r>
  <r>
    <n v="443"/>
    <s v="spotify:track:2LlQb7Uoj1kKyGhlkBf9aC"/>
    <x v="38"/>
    <s v="Thriller"/>
    <s v="Epic"/>
    <n v="55"/>
    <n v="19"/>
    <d v="1899-12-30T05:57:00"/>
    <b v="0"/>
    <n v="77"/>
    <n v="69"/>
    <n v="84"/>
    <n v="7"/>
    <n v="3"/>
    <n v="0"/>
    <n v="89"/>
    <n v="78"/>
    <n v="118"/>
    <s v="Pop"/>
    <d v="1982-11-30T00:00:00"/>
    <s v="https://image-cdn-ak.spotifycdn.com/image/ab67616d00001e0232a7d87248d1b75463483df5"/>
    <b v="0"/>
  </r>
  <r>
    <n v="444"/>
    <s v="spotify:track:2Lz4iCypeUTy62CP3Xwk6i"/>
    <x v="379"/>
    <s v="Stayin' Alive - From &quot;Saturday Night Fever&quot; Soundtrack"/>
    <s v="UME - Global Clearing House"/>
    <n v="46"/>
    <n v="3"/>
    <d v="1899-12-30T04:45:00"/>
    <b v="0"/>
    <n v="70"/>
    <n v="83"/>
    <n v="88"/>
    <n v="3"/>
    <n v="3"/>
    <n v="1"/>
    <n v="18"/>
    <n v="94"/>
    <n v="104"/>
    <s v="Disco"/>
    <d v="1977-12-13T00:00:00"/>
    <s v="https://image-cdn-ak.spotifycdn.com/image/ab67616d00001e02c93a2d859ee3635aa415d61d"/>
    <b v="0"/>
  </r>
  <r>
    <n v="446"/>
    <s v="spotify:track:2N9miXnewVmUrgl6JSK1FI"/>
    <x v="251"/>
    <s v="SPAGHETTI"/>
    <s v="SOURCE MUSIC"/>
    <n v="25"/>
    <n v="14"/>
    <s v="02:48:00"/>
    <b v="0"/>
    <n v="84"/>
    <n v="81"/>
    <n v="76"/>
    <n v="10"/>
    <n v="12"/>
    <n v="0"/>
    <n v="17"/>
    <n v="80"/>
    <n v="125"/>
    <s v="K-Pop"/>
    <s v="24/10/2025"/>
    <s v="https://image-cdn-ak.spotifycdn.com/image/ab67616d00001e026c4a726c271daf4a4b97e35b"/>
    <b v="0"/>
  </r>
  <r>
    <n v="446"/>
    <s v="spotify:track:2N9miXnewVmUrgl6JSK1FI"/>
    <x v="340"/>
    <s v="SPAGHETTI"/>
    <s v="SOURCE MUSIC"/>
    <n v="25"/>
    <n v="14"/>
    <s v="02:48:00"/>
    <b v="0"/>
    <n v="84"/>
    <n v="81"/>
    <n v="76"/>
    <n v="10"/>
    <n v="12"/>
    <n v="0"/>
    <n v="17"/>
    <n v="80"/>
    <n v="125"/>
    <s v="K-Pop"/>
    <s v="24/10/2025"/>
    <s v="https://image-cdn-ak.spotifycdn.com/image/ab67616d00001e026c4a726c271daf4a4b97e35b"/>
    <b v="0"/>
  </r>
  <r>
    <n v="447"/>
    <s v="spotify:track:2O3MQ6H3gjrIWDcpeTrikT"/>
    <x v="98"/>
    <s v="Santa, Can’t You Hear Me"/>
    <s v="Atlantic Records"/>
    <n v="32"/>
    <n v="15"/>
    <d v="1899-12-30T03:38:00"/>
    <b v="0"/>
    <n v="62"/>
    <n v="65"/>
    <n v="77"/>
    <n v="5"/>
    <n v="30"/>
    <n v="0"/>
    <n v="14"/>
    <n v="78"/>
    <n v="120"/>
    <s v="Christmas"/>
    <d v="2021-10-14T00:00:00"/>
    <s v="https://image-cdn-ak.spotifycdn.com/image/ab67616d00001e0257f2f787970d13c57dfc7f4b"/>
    <b v="1"/>
  </r>
  <r>
    <n v="447"/>
    <s v="spotify:track:2O3MQ6H3gjrIWDcpeTrikT"/>
    <x v="380"/>
    <s v="Santa, Can’t You Hear Me"/>
    <s v="Atlantic Records"/>
    <n v="32"/>
    <n v="15"/>
    <d v="1899-12-30T03:38:00"/>
    <b v="0"/>
    <n v="62"/>
    <n v="65"/>
    <n v="77"/>
    <n v="5"/>
    <n v="30"/>
    <n v="0"/>
    <n v="14"/>
    <n v="78"/>
    <n v="120"/>
    <s v="Christmas"/>
    <d v="2021-10-14T00:00:00"/>
    <s v="https://image-cdn-ak.spotifycdn.com/image/ab67616d00001e0257f2f787970d13c57dfc7f4b"/>
    <b v="1"/>
  </r>
  <r>
    <n v="448"/>
    <s v="spotify:track:2OBzYCYMNsD6yhBZZSs0xg"/>
    <x v="362"/>
    <s v="Easy Lover"/>
    <s v="Columbia"/>
    <n v="155"/>
    <n v="1"/>
    <s v="03:05:00"/>
    <b v="0"/>
    <n v="70"/>
    <n v="63"/>
    <n v="73"/>
    <n v="5"/>
    <n v="32"/>
    <n v="0"/>
    <n v="12"/>
    <n v="59"/>
    <n v="118"/>
    <s v="Pop"/>
    <s v="27/6/2025"/>
    <s v="https://image-cdn-ak.spotifycdn.com/image/ab67616d00001e020ae6f06706ab3a955844e9a0"/>
    <b v="0"/>
  </r>
  <r>
    <n v="449"/>
    <s v="spotify:track:2OMjHcniFxzijWX7EaBrXE"/>
    <x v="185"/>
    <s v="Emergence"/>
    <s v="Sleep Token/RCA Records"/>
    <n v="99"/>
    <n v="2"/>
    <s v="04:12:00"/>
    <b v="0"/>
    <n v="55"/>
    <n v="58"/>
    <n v="71"/>
    <n v="5"/>
    <n v="52"/>
    <n v="1"/>
    <n v="12"/>
    <n v="34"/>
    <n v="100"/>
    <s v="Alternative Metal"/>
    <s v="30/5/2025"/>
    <s v="https://image-cdn-ak.spotifycdn.com/image/ab67616d00001e02882265cd9bdded9ea9a153b9"/>
    <b v="0"/>
  </r>
  <r>
    <n v="450"/>
    <s v="spotify:track:2OQ6a4CfUeYskpTTgyawyJ"/>
    <x v="381"/>
    <s v="You Make It Feel Like Christmas (feat. Blake Shelton)"/>
    <s v="UMGRI Interscope"/>
    <n v="51"/>
    <n v="15"/>
    <d v="1899-12-30T02:48:00"/>
    <b v="0"/>
    <n v="65"/>
    <n v="62"/>
    <n v="77"/>
    <n v="5"/>
    <n v="35"/>
    <n v="0"/>
    <n v="14"/>
    <n v="78"/>
    <n v="122"/>
    <s v="Christmas"/>
    <d v="2017-09-22T00:00:00"/>
    <s v="https://image-cdn-ak.spotifycdn.com/image/ab67616d00001e02f1ead165a7504b97e66ea7c4"/>
    <b v="1"/>
  </r>
  <r>
    <n v="450"/>
    <s v="spotify:track:2OQ6a4CfUeYskpTTgyawyJ"/>
    <x v="382"/>
    <s v="You Make It Feel Like Christmas (feat. Blake Shelton)"/>
    <s v="UMGRI Interscope"/>
    <n v="51"/>
    <n v="15"/>
    <d v="1899-12-30T02:48:00"/>
    <b v="0"/>
    <n v="65"/>
    <n v="62"/>
    <n v="77"/>
    <n v="5"/>
    <n v="35"/>
    <n v="0"/>
    <n v="14"/>
    <n v="78"/>
    <n v="122"/>
    <s v="Christmas"/>
    <d v="2017-09-22T00:00:00"/>
    <s v="https://image-cdn-ak.spotifycdn.com/image/ab67616d00001e02f1ead165a7504b97e66ea7c4"/>
    <b v="1"/>
  </r>
  <r>
    <n v="451"/>
    <s v="spotify:track:2OZVskV28xxJjjhQqKTLSg"/>
    <x v="201"/>
    <s v="PIXELATED KISSES"/>
    <s v="Palace Creek"/>
    <n v="27"/>
    <n v="3"/>
    <d v="1899-12-30T02:55:00"/>
    <b v="0"/>
    <n v="62"/>
    <n v="58"/>
    <n v="75"/>
    <n v="6"/>
    <n v="35"/>
    <n v="0"/>
    <n v="11"/>
    <n v="48"/>
    <n v="95"/>
    <s v="Indie Pop"/>
    <d v="2025-05-09T00:00:00"/>
    <s v="https://image-cdn-ak.spotifycdn.com/image/ab67616d00001e024a66ee1a8cdd72378eb56765"/>
    <b v="0"/>
  </r>
  <r>
    <n v="452"/>
    <s v="spotify:track:2OxvanM5m1Na9OVlXyXmUp"/>
    <x v="315"/>
    <s v="Lesung Pipi"/>
    <s v="Raim Laode"/>
    <n v="86"/>
    <n v="12"/>
    <d v="1899-12-30T03:48:00"/>
    <b v="0"/>
    <n v="55"/>
    <n v="55"/>
    <n v="74"/>
    <n v="5"/>
    <n v="45"/>
    <n v="0"/>
    <n v="10"/>
    <n v="50"/>
    <n v="90"/>
    <s v="Indie Pop"/>
    <d v="2025-02-14T00:00:00"/>
    <s v="https://image-cdn-ak.spotifycdn.com/image/ab67616d00001e022605ea6f02168bf5a74c012e"/>
    <b v="0"/>
  </r>
  <r>
    <n v="453"/>
    <s v="spotify:track:2OzhQlSqBEmt7hmkYxfT6m"/>
    <x v="99"/>
    <s v="Fortnight (feat. Post Malone)"/>
    <s v="Taylor Swift"/>
    <n v="1"/>
    <n v="34"/>
    <d v="1899-12-30T03:48:00"/>
    <b v="0"/>
    <n v="50"/>
    <n v="39"/>
    <n v="82"/>
    <n v="3"/>
    <n v="50"/>
    <n v="0"/>
    <n v="10"/>
    <n v="28"/>
    <n v="192"/>
    <s v="Pop"/>
    <d v="2024-04-19T00:00:00"/>
    <s v="https://image-cdn-ak.spotifycdn.com/image/ab67616d00001e025076e4160d018e378f488c33"/>
    <b v="0"/>
  </r>
  <r>
    <n v="453"/>
    <s v="spotify:track:2OzhQlSqBEmt7hmkYxfT6m"/>
    <x v="19"/>
    <s v="Fortnight (feat. Post Malone)"/>
    <s v="Taylor Swift"/>
    <n v="1"/>
    <n v="34"/>
    <d v="1899-12-30T03:48:00"/>
    <b v="0"/>
    <n v="50"/>
    <n v="39"/>
    <n v="82"/>
    <n v="3"/>
    <n v="50"/>
    <n v="0"/>
    <n v="10"/>
    <n v="28"/>
    <n v="192"/>
    <s v="Pop"/>
    <d v="2024-04-19T00:00:00"/>
    <s v="https://image-cdn-ak.spotifycdn.com/image/ab67616d00001e025076e4160d018e378f488c33"/>
    <b v="0"/>
  </r>
  <r>
    <n v="455"/>
    <s v="spotify:track:2QGVKiAGTa1YcDqPMhAzF7"/>
    <x v="173"/>
    <s v="The Spins"/>
    <s v="Rostrum Records"/>
    <n v="195"/>
    <n v="1"/>
    <d v="1899-12-30T04:12:00"/>
    <b v="1"/>
    <n v="79"/>
    <n v="77"/>
    <n v="94"/>
    <n v="4"/>
    <n v="1"/>
    <n v="0"/>
    <n v="8"/>
    <n v="55"/>
    <n v="127"/>
    <s v="Indie Pop"/>
    <d v="2011-11-08T00:00:00"/>
    <s v="https://image-cdn-ak.spotifycdn.com/image/ab67616d00001e02c6cf270abd1f206a7d1a03e8"/>
    <b v="0"/>
  </r>
  <r>
    <n v="455"/>
    <s v="spotify:track:2QGVKiAGTa1YcDqPMhAzF7"/>
    <x v="383"/>
    <s v="The Spins"/>
    <s v="Rostrum Records"/>
    <n v="195"/>
    <n v="1"/>
    <d v="1899-12-30T04:12:00"/>
    <b v="1"/>
    <n v="79"/>
    <n v="77"/>
    <n v="94"/>
    <n v="4"/>
    <n v="1"/>
    <n v="0"/>
    <n v="8"/>
    <n v="55"/>
    <n v="127"/>
    <s v="Indie Pop"/>
    <d v="2011-11-08T00:00:00"/>
    <s v="https://image-cdn-ak.spotifycdn.com/image/ab67616d00001e02c6cf270abd1f206a7d1a03e8"/>
    <b v="0"/>
  </r>
  <r>
    <n v="456"/>
    <s v="spotify:track:2QP041AcWg8PwPIWP95RKN"/>
    <x v="215"/>
    <s v="top diesel"/>
    <s v="5020 Records"/>
    <n v="140"/>
    <n v="12"/>
    <d v="1899-12-30T02:55:00"/>
    <b v="0"/>
    <n v="82"/>
    <n v="73"/>
    <n v="93"/>
    <n v="11"/>
    <n v="14"/>
    <n v="0"/>
    <n v="4"/>
    <n v="77"/>
    <n v="100"/>
    <s v="Reggaeton"/>
    <d v="2025-02-14T00:00:00"/>
    <s v="https://image-cdn-ak.spotifycdn.com/image/ab67616d00001e022feb67a486bcf117e7fb15b0"/>
    <b v="0"/>
  </r>
  <r>
    <n v="457"/>
    <s v="spotify:track:2QihEF7BIfPCJjkB0c4Rrv"/>
    <x v="384"/>
    <s v="Boston"/>
    <s v="Atlantic Outpost"/>
    <n v="86"/>
    <n v="14"/>
    <s v="03:42:00"/>
    <b v="0"/>
    <n v="64"/>
    <n v="48"/>
    <n v="71"/>
    <n v="5"/>
    <n v="54"/>
    <n v="0"/>
    <n v="11"/>
    <n v="42"/>
    <n v="94"/>
    <s v="Indie Pop"/>
    <s v="14/11/2025"/>
    <s v="https://image-cdn-ak.spotifycdn.com/image/ab67616d00001e027b6c2112750367e20464b6b7"/>
    <b v="0"/>
  </r>
  <r>
    <n v="458"/>
    <s v="spotify:track:2QxekHjOYDnzNO5w8hu2D9"/>
    <x v="350"/>
    <s v="Empty Out Your Pockets"/>
    <s v="Grade A Productions/Interscope Records"/>
    <n v="88"/>
    <n v="4"/>
    <d v="1899-12-30T02:48:00"/>
    <b v="1"/>
    <n v="74"/>
    <n v="72"/>
    <n v="90"/>
    <n v="13"/>
    <n v="33"/>
    <n v="0"/>
    <n v="38"/>
    <n v="34"/>
    <n v="92"/>
    <s v="Emo Rap"/>
    <d v="2024-11-29T00:00:00"/>
    <s v="https://image-cdn-ak.spotifycdn.com/image/ab67616d00001e02c435ae51e1d314f3ecea02a0"/>
    <b v="0"/>
  </r>
  <r>
    <n v="459"/>
    <s v="spotify:track:2QxviKpVdEXKDWs706MUZB"/>
    <x v="56"/>
    <s v="Old Phone"/>
    <s v="Gingerbread Man Records / Atlantic Records UK"/>
    <n v="190"/>
    <n v="1"/>
    <s v="03:05:00"/>
    <b v="0"/>
    <n v="59"/>
    <n v="42"/>
    <n v="69"/>
    <n v="4"/>
    <n v="67"/>
    <n v="0"/>
    <n v="11"/>
    <n v="39"/>
    <n v="85"/>
    <s v="Pop"/>
    <s v="12/9/2025"/>
    <s v="https://image-cdn-ak.spotifycdn.com/image/ab67616d00001e02d9beb2ced8f79b262fc49bf6"/>
    <b v="0"/>
  </r>
  <r>
    <n v="460"/>
    <s v="spotify:track:2RdEC8Ff83WkX7kDVCHseE"/>
    <x v="66"/>
    <s v="party 4 u"/>
    <s v="Atlantic Records UK"/>
    <n v="34"/>
    <n v="22"/>
    <d v="1899-12-30T02:48:00"/>
    <b v="0"/>
    <n v="58"/>
    <n v="52"/>
    <n v="86"/>
    <n v="10"/>
    <n v="76"/>
    <n v="0"/>
    <n v="66"/>
    <n v="24"/>
    <n v="79"/>
    <s v="Electropop"/>
    <d v="2020-05-15T00:00:00"/>
    <s v="https://image-cdn-ak.spotifycdn.com/image/ab67616d00001e025b8ef3c9b30d307df5245bfa"/>
    <b v="0"/>
  </r>
  <r>
    <n v="461"/>
    <s v="spotify:track:2RkZ5LkEzeHGRsmDqKwmaJ"/>
    <x v="169"/>
    <s v="Ordinary"/>
    <s v="Atlantic Records"/>
    <n v="1"/>
    <n v="86"/>
    <d v="1899-12-30T03:08:00"/>
    <b v="0"/>
    <n v="45"/>
    <n v="68"/>
    <n v="90"/>
    <n v="5"/>
    <n v="74"/>
    <n v="0"/>
    <n v="6"/>
    <n v="38"/>
    <n v="112"/>
    <s v="Pop"/>
    <d v="2025-02-07T00:00:00"/>
    <s v="https://image-cdn-fa.spotifycdn.com/image/ab67616d00001e028d18d73bbfc8985d52865edf"/>
    <b v="0"/>
  </r>
  <r>
    <n v="462"/>
    <s v="spotify:track:2SaWT781xr3hHLdbVt5DB7"/>
    <x v="385"/>
    <s v="Freakin’ Out"/>
    <s v="Who's Dexter Enterprises / Severance Records / Big Loud Rock"/>
    <n v="158"/>
    <n v="6"/>
    <s v="03:18:00"/>
    <b v="0"/>
    <n v="58"/>
    <n v="64"/>
    <n v="72"/>
    <n v="5"/>
    <n v="32"/>
    <n v="0"/>
    <n v="14"/>
    <n v="45"/>
    <n v="126"/>
    <s v="Alternative"/>
    <s v="6/6/2025"/>
    <s v="https://image-cdn-ak.spotifycdn.com/image/ab67616d00001e02b7129146f87f5f22b8154bee"/>
    <b v="0"/>
  </r>
  <r>
    <n v="463"/>
    <s v="spotify:track:2SjnvpedDUU0Ga69bxnoCa"/>
    <x v="386"/>
    <s v="ALL THE LOVE (feat. Andre Troutman)"/>
    <s v="YZY/gamma."/>
    <n v="44"/>
    <n v="2"/>
    <s v="03:28:00"/>
    <b v="1"/>
    <n v="72"/>
    <n v="65"/>
    <n v="73"/>
    <n v="12"/>
    <n v="24"/>
    <n v="0"/>
    <n v="17"/>
    <n v="46"/>
    <n v="125"/>
    <s v="Hip-Hop/Rap"/>
    <s v="3/4/2026"/>
    <s v="https://image-cdn-ak.spotifycdn.com/image/ab67616d00001e0295184f6a953569b683ca9a0d"/>
    <b v="0"/>
  </r>
  <r>
    <n v="463"/>
    <s v="spotify:track:2SjnvpedDUU0Ga69bxnoCa"/>
    <x v="387"/>
    <s v="ALL THE LOVE (feat. Andre Troutman)"/>
    <s v="YZY/gamma."/>
    <n v="44"/>
    <n v="2"/>
    <s v="03:28:00"/>
    <b v="1"/>
    <n v="72"/>
    <n v="65"/>
    <n v="73"/>
    <n v="12"/>
    <n v="24"/>
    <n v="0"/>
    <n v="17"/>
    <n v="46"/>
    <n v="125"/>
    <s v="Hip-Hop/Rap"/>
    <s v="3/4/2026"/>
    <s v="https://image-cdn-ak.spotifycdn.com/image/ab67616d00001e0295184f6a953569b683ca9a0d"/>
    <b v="0"/>
  </r>
  <r>
    <n v="463"/>
    <s v="spotify:track:2SjnvpedDUU0Ga69bxnoCa"/>
    <x v="388"/>
    <s v="ALL THE LOVE (feat. Andre Troutman)"/>
    <s v="YZY/gamma."/>
    <n v="44"/>
    <n v="2"/>
    <s v="03:28:00"/>
    <b v="1"/>
    <n v="72"/>
    <n v="65"/>
    <n v="73"/>
    <n v="12"/>
    <n v="24"/>
    <n v="0"/>
    <n v="17"/>
    <n v="46"/>
    <n v="125"/>
    <s v="Hip-Hop/Rap"/>
    <s v="3/4/2026"/>
    <s v="https://image-cdn-ak.spotifycdn.com/image/ab67616d00001e0295184f6a953569b683ca9a0d"/>
    <b v="0"/>
  </r>
  <r>
    <n v="464"/>
    <s v="spotify:track:2SkB7jADnfiWH8qAE9H8cO"/>
    <x v="389"/>
    <s v="En Privado"/>
    <s v="Interscope Records"/>
    <n v="98"/>
    <n v="16"/>
    <d v="1899-12-30T03:05:00"/>
    <b v="0"/>
    <n v="83"/>
    <n v="86"/>
    <n v="94"/>
    <n v="4"/>
    <n v="11"/>
    <n v="0"/>
    <n v="14"/>
    <n v="91"/>
    <n v="127"/>
    <s v="Regional Mexicano"/>
    <d v="2025-03-14T00:00:00"/>
    <s v="https://image-cdn-ak.spotifycdn.com/image/ab67616d00001e025ffe63ab6e8a3f6f5653d188"/>
    <b v="0"/>
  </r>
  <r>
    <n v="464"/>
    <s v="spotify:track:2SkB7jADnfiWH8qAE9H8cO"/>
    <x v="390"/>
    <s v="En Privado"/>
    <s v="Interscope Records"/>
    <n v="98"/>
    <n v="16"/>
    <d v="1899-12-30T03:05:00"/>
    <b v="0"/>
    <n v="83"/>
    <n v="86"/>
    <n v="94"/>
    <n v="4"/>
    <n v="11"/>
    <n v="0"/>
    <n v="14"/>
    <n v="91"/>
    <n v="127"/>
    <s v="Regional Mexicano"/>
    <d v="2025-03-14T00:00:00"/>
    <s v="https://image-cdn-ak.spotifycdn.com/image/ab67616d00001e025ffe63ab6e8a3f6f5653d188"/>
    <b v="0"/>
  </r>
  <r>
    <n v="465"/>
    <s v="spotify:track:2SsY5k7UWFqgye3PUMG3Oq"/>
    <x v="115"/>
    <s v="The Subway"/>
    <s v="Chappell Roan PS/ Island"/>
    <n v="3"/>
    <n v="11"/>
    <s v="03:05:00"/>
    <b v="0"/>
    <n v="55"/>
    <n v="45"/>
    <n v="70"/>
    <n v="4"/>
    <n v="64"/>
    <n v="0"/>
    <n v="11"/>
    <n v="34"/>
    <n v="118"/>
    <s v="Pop"/>
    <s v="1/8/2025"/>
    <s v="https://image-cdn-fa.spotifycdn.com/image/ab67616d00001e020b96f8824100aab118792442"/>
    <b v="0"/>
  </r>
  <r>
    <n v="466"/>
    <s v="spotify:track:2T6bX3rxdMc9V7ErfOB5yG"/>
    <x v="391"/>
    <s v="Beretta (De Los Cerros La Escuela)"/>
    <s v="FONO / Dinero Nuevo Records, LLC"/>
    <n v="133"/>
    <n v="4"/>
    <d v="1899-12-30T03:05:00"/>
    <b v="1"/>
    <n v="80"/>
    <n v="75"/>
    <n v="80"/>
    <n v="10"/>
    <n v="12"/>
    <n v="0"/>
    <n v="12"/>
    <n v="58"/>
    <n v="108"/>
    <s v="Regional Mexicano"/>
    <d v="2025-04-25T00:00:00"/>
    <s v="https://image-cdn-ak.spotifycdn.com/image/ab67616d00001e02c854354a13f74f7328aacc3b"/>
    <b v="0"/>
  </r>
  <r>
    <n v="467"/>
    <s v="spotify:track:2T8yuUKl1nhmtaIocqWo4i"/>
    <x v="392"/>
    <s v="Berghain"/>
    <s v="Columbia"/>
    <n v="17"/>
    <n v="5"/>
    <s v="04:12:00"/>
    <b v="0"/>
    <n v="66"/>
    <n v="78"/>
    <n v="75"/>
    <n v="9"/>
    <n v="15"/>
    <n v="4"/>
    <n v="22"/>
    <n v="43"/>
    <n v="132"/>
    <s v="Art Pop"/>
    <s v="7/11/2025"/>
    <s v="https://image-cdn-ak.spotifycdn.com/image/ab67616d00001e0293ee2e2f2dfb7de9befcc164"/>
    <b v="0"/>
  </r>
  <r>
    <n v="467"/>
    <s v="spotify:track:2T8yuUKl1nhmtaIocqWo4i"/>
    <x v="147"/>
    <s v="Berghain"/>
    <s v="Columbia"/>
    <n v="17"/>
    <n v="5"/>
    <s v="04:12:00"/>
    <b v="0"/>
    <n v="66"/>
    <n v="78"/>
    <n v="75"/>
    <n v="9"/>
    <n v="15"/>
    <n v="4"/>
    <n v="22"/>
    <n v="43"/>
    <n v="132"/>
    <s v="Art Pop"/>
    <s v="7/11/2025"/>
    <s v="https://image-cdn-ak.spotifycdn.com/image/ab67616d00001e0293ee2e2f2dfb7de9befcc164"/>
    <b v="0"/>
  </r>
  <r>
    <n v="467"/>
    <s v="spotify:track:2T8yuUKl1nhmtaIocqWo4i"/>
    <x v="393"/>
    <s v="Berghain"/>
    <s v="Columbia"/>
    <n v="17"/>
    <n v="5"/>
    <s v="04:12:00"/>
    <b v="0"/>
    <n v="66"/>
    <n v="78"/>
    <n v="75"/>
    <n v="9"/>
    <n v="15"/>
    <n v="4"/>
    <n v="22"/>
    <n v="43"/>
    <n v="132"/>
    <s v="Art Pop"/>
    <s v="7/11/2025"/>
    <s v="https://image-cdn-ak.spotifycdn.com/image/ab67616d00001e0293ee2e2f2dfb7de9befcc164"/>
    <b v="0"/>
  </r>
  <r>
    <n v="468"/>
    <s v="spotify:track:2TE4xW3ImvpltVU0cPcKUn"/>
    <x v="394"/>
    <s v="Merry Christmas Everyone"/>
    <s v="Sony Music CG"/>
    <n v="22"/>
    <n v="41"/>
    <d v="1899-12-30T03:38:00"/>
    <b v="0"/>
    <n v="68"/>
    <n v="68"/>
    <n v="78"/>
    <n v="5"/>
    <n v="25"/>
    <n v="0"/>
    <n v="14"/>
    <n v="82"/>
    <n v="130"/>
    <s v="Christmas"/>
    <d v="1985-11-25T00:00:00"/>
    <s v="https://image-cdn-ak.spotifycdn.com/image/ab67616d00001e02d962f3b4235f8c6429a829fb"/>
    <b v="1"/>
  </r>
  <r>
    <n v="469"/>
    <s v="spotify:track:2TEQvxxQabwLQMqWMg1qGu"/>
    <x v="19"/>
    <s v="Wi$h Li$t"/>
    <s v="Taylor Swift"/>
    <n v="8"/>
    <n v="7"/>
    <s v="03:05:00"/>
    <b v="0"/>
    <n v="72"/>
    <n v="72"/>
    <n v="79"/>
    <n v="6"/>
    <n v="15"/>
    <n v="0"/>
    <n v="11"/>
    <n v="60"/>
    <n v="105"/>
    <s v="Pop"/>
    <s v="3/10/2025"/>
    <s v="https://image-cdn-fa.spotifycdn.com/image/ab67616d00001e02d7812467811a7da6e6a44902"/>
    <b v="0"/>
  </r>
  <r>
    <n v="470"/>
    <s v="spotify:track:2Uts1QFB4u2YNIMiqcb4de"/>
    <x v="395"/>
    <s v="peekaboo (feat. azchike)"/>
    <s v="pgLang, under exclusive license to Interscope Records"/>
    <n v="30"/>
    <n v="7"/>
    <d v="1899-12-30T02:48:00"/>
    <b v="1"/>
    <n v="89"/>
    <n v="30"/>
    <n v="85"/>
    <n v="18"/>
    <n v="0"/>
    <n v="0"/>
    <n v="17"/>
    <n v="31"/>
    <n v="100"/>
    <s v="Hip-Hop/Rap"/>
    <d v="2024-11-22T00:00:00"/>
    <s v="https://image-cdn-ak.spotifycdn.com/image/ab67616d00001e02e2a0a166493a2bde5480a420"/>
    <b v="0"/>
  </r>
  <r>
    <n v="470"/>
    <s v="spotify:track:2Uts1QFB4u2YNIMiqcb4de"/>
    <x v="121"/>
    <s v="peekaboo (feat. azchike)"/>
    <s v="pgLang, under exclusive license to Interscope Records"/>
    <n v="30"/>
    <n v="7"/>
    <d v="1899-12-30T02:48:00"/>
    <b v="1"/>
    <n v="89"/>
    <n v="30"/>
    <n v="85"/>
    <n v="18"/>
    <n v="0"/>
    <n v="0"/>
    <n v="17"/>
    <n v="31"/>
    <n v="100"/>
    <s v="Hip-Hop/Rap"/>
    <d v="2024-11-22T00:00:00"/>
    <s v="https://image-cdn-ak.spotifycdn.com/image/ab67616d00001e02e2a0a166493a2bde5480a420"/>
    <b v="0"/>
  </r>
  <r>
    <n v="471"/>
    <s v="spotify:track:2Vw8vOliCmBOAys8Q2xzJZ"/>
    <x v="30"/>
    <s v="Mi Vida Mi Muerte"/>
    <s v="Josa Records"/>
    <n v="151"/>
    <n v="5"/>
    <d v="1899-12-30T03:05:00"/>
    <b v="0"/>
    <n v="79"/>
    <n v="72"/>
    <n v="93"/>
    <n v="5"/>
    <n v="13"/>
    <n v="1"/>
    <n v="38"/>
    <n v="36"/>
    <n v="84"/>
    <s v="Regional Mexicano"/>
    <d v="2025-04-25T00:00:00"/>
    <s v="https://image-cdn-fa.spotifycdn.com/image/ab67616d00001e025c0540f97b3f95e387a9b58e"/>
    <b v="0"/>
  </r>
  <r>
    <n v="472"/>
    <s v="spotify:track:2VxeLyX666F8uXCJ0dZF8B"/>
    <x v="396"/>
    <s v="Shallow"/>
    <s v="A Star is Born OST"/>
    <n v="3"/>
    <n v="182"/>
    <d v="1899-12-30T03:36:00"/>
    <b v="0"/>
    <n v="58"/>
    <n v="38"/>
    <n v="89"/>
    <n v="3"/>
    <n v="37"/>
    <n v="0"/>
    <n v="23"/>
    <n v="33"/>
    <n v="96"/>
    <s v="Pop"/>
    <d v="2018-09-27T00:00:00"/>
    <s v="https://image-cdn-ak.spotifycdn.com/image/ab67616d00001e02e2d156fdc691f57900134342"/>
    <b v="0"/>
  </r>
  <r>
    <n v="472"/>
    <s v="spotify:track:2VxeLyX666F8uXCJ0dZF8B"/>
    <x v="10"/>
    <s v="Shallow"/>
    <s v="A Star is Born OST"/>
    <n v="3"/>
    <n v="182"/>
    <d v="1899-12-30T03:36:00"/>
    <b v="0"/>
    <n v="58"/>
    <n v="38"/>
    <n v="89"/>
    <n v="3"/>
    <n v="37"/>
    <n v="0"/>
    <n v="23"/>
    <n v="33"/>
    <n v="96"/>
    <s v="Pop"/>
    <d v="2018-09-27T00:00:00"/>
    <s v="https://image-cdn-ak.spotifycdn.com/image/ab67616d00001e02e2d156fdc691f57900134342"/>
    <b v="0"/>
  </r>
  <r>
    <n v="473"/>
    <s v="spotify:track:2WQ09wqQBIOor7Q0VpIDBK"/>
    <x v="397"/>
    <s v="Rock That Body"/>
    <s v="Interscope"/>
    <n v="24"/>
    <n v="16"/>
    <d v="1899-12-30T04:29:00"/>
    <b v="0"/>
    <n v="80"/>
    <n v="85"/>
    <n v="84"/>
    <n v="8"/>
    <n v="5"/>
    <n v="0"/>
    <n v="14"/>
    <n v="72"/>
    <n v="124"/>
    <s v="EDM"/>
    <d v="2009-06-09T00:00:00"/>
    <s v="https://image-cdn-ak.spotifycdn.com/image/ab67616d00001e020bd44f5ff9ecc99f7770acc5"/>
    <b v="0"/>
  </r>
  <r>
    <n v="475"/>
    <s v="spotify:track:2XUx8PCXGpP1XhZJMGiUol"/>
    <x v="134"/>
    <s v="Chest Pain (I Love)"/>
    <s v="Columbia"/>
    <n v="81"/>
    <n v="4"/>
    <d v="1899-12-30T03:18:00"/>
    <b v="0"/>
    <n v="58"/>
    <n v="62"/>
    <n v="91"/>
    <n v="4"/>
    <n v="2"/>
    <n v="0"/>
    <n v="24"/>
    <n v="40"/>
    <n v="150"/>
    <s v="Pop"/>
    <d v="2025-03-07T00:00:00"/>
    <s v="https://image-cdn-ak.spotifycdn.com/image/ab67616d00001e0287607b2c8f5f52f1f057be0d"/>
    <b v="0"/>
  </r>
  <r>
    <n v="476"/>
    <s v="spotify:track:2XcmjSdYqdhFjyWFdbnBaY"/>
    <x v="53"/>
    <s v="Little Birdie"/>
    <s v="OVO/Republic"/>
    <n v="61"/>
    <n v="1"/>
    <s v="03:05:00"/>
    <b v="1"/>
    <n v="75"/>
    <n v="52"/>
    <n v="71"/>
    <n v="32"/>
    <n v="48"/>
    <n v="0"/>
    <n v="13"/>
    <n v="31"/>
    <n v="90"/>
    <s v="Hip-Hop/Rap"/>
    <s v="22/5/2026"/>
    <s v="https://image-cdn-fa.spotifycdn.com/image/ab67616d00001e02fe9d3ab9adb1d3b59835b81c"/>
    <b v="0"/>
  </r>
  <r>
    <n v="477"/>
    <s v="spotify:track:2YiCMmONQcoMPX2bV1LxE0"/>
    <x v="398"/>
    <s v="Everybody Wants To Rule The World"/>
    <s v="UMC (Universal Music Catalogue)"/>
    <n v="51"/>
    <n v="167"/>
    <d v="1899-12-30T04:11:00"/>
    <b v="0"/>
    <n v="64"/>
    <n v="80"/>
    <n v="80"/>
    <n v="5"/>
    <n v="35"/>
    <n v="0"/>
    <n v="10"/>
    <n v="54"/>
    <n v="112"/>
    <s v="Pop Rock"/>
    <d v="1985-03-22T00:00:00"/>
    <s v="https://image-cdn-fa.spotifycdn.com/image/ab67616d00001e025e12c35cb4c848a927ef4b69"/>
    <b v="0"/>
  </r>
  <r>
    <n v="478"/>
    <s v="spotify:track:2ZyrAym0sRLwt4PhGotHuI"/>
    <x v="399"/>
    <s v="LA VILLA"/>
    <s v="AWOO Corp./Sony Music Latin"/>
    <n v="47"/>
    <n v="16"/>
    <s v="03:05:00"/>
    <b v="1"/>
    <n v="82"/>
    <n v="71"/>
    <n v="73"/>
    <n v="8"/>
    <n v="20"/>
    <n v="0"/>
    <n v="12"/>
    <n v="79"/>
    <n v="96"/>
    <s v="Reggaeton"/>
    <s v="20/6/2025"/>
    <s v="https://image-cdn-fa.spotifycdn.com/image/ab67616d00001e024f0b5d2c8e5f6b86fcd73ca9"/>
    <b v="0"/>
  </r>
  <r>
    <n v="478"/>
    <s v="spotify:track:2ZyrAym0sRLwt4PhGotHuI"/>
    <x v="400"/>
    <s v="LA VILLA"/>
    <s v="AWOO Corp./Sony Music Latin"/>
    <n v="47"/>
    <n v="16"/>
    <s v="03:05:00"/>
    <b v="1"/>
    <n v="82"/>
    <n v="71"/>
    <n v="73"/>
    <n v="8"/>
    <n v="20"/>
    <n v="0"/>
    <n v="12"/>
    <n v="79"/>
    <n v="96"/>
    <s v="Reggaeton"/>
    <s v="20/6/2025"/>
    <s v="https://image-cdn-fa.spotifycdn.com/image/ab67616d00001e024f0b5d2c8e5f6b86fcd73ca9"/>
    <b v="0"/>
  </r>
  <r>
    <n v="478"/>
    <s v="spotify:track:2ZyrAym0sRLwt4PhGotHuI"/>
    <x v="401"/>
    <s v="LA VILLA"/>
    <s v="AWOO Corp./Sony Music Latin"/>
    <n v="47"/>
    <n v="16"/>
    <s v="03:05:00"/>
    <b v="1"/>
    <n v="82"/>
    <n v="71"/>
    <n v="73"/>
    <n v="8"/>
    <n v="20"/>
    <n v="0"/>
    <n v="12"/>
    <n v="79"/>
    <n v="96"/>
    <s v="Reggaeton"/>
    <s v="20/6/2025"/>
    <s v="https://image-cdn-fa.spotifycdn.com/image/ab67616d00001e024f0b5d2c8e5f6b86fcd73ca9"/>
    <b v="0"/>
  </r>
  <r>
    <n v="479"/>
    <s v="spotify:track:2a1o6ZejUi8U3wzzOtCOYw"/>
    <x v="402"/>
    <s v="Danza Kuduro"/>
    <s v="UMLE - Machete"/>
    <n v="52"/>
    <n v="144"/>
    <d v="1899-12-30T03:18:00"/>
    <b v="0"/>
    <n v="40"/>
    <n v="92"/>
    <n v="92"/>
    <n v="28"/>
    <n v="8"/>
    <n v="0"/>
    <n v="5"/>
    <n v="87"/>
    <n v="89"/>
    <s v="Reggaeton"/>
    <d v="2010-08-17T00:00:00"/>
    <s v="https://image-cdn-ak.spotifycdn.com/image/ab67616d00001e024640a26eb27649006be29a94"/>
    <b v="0"/>
  </r>
  <r>
    <n v="479"/>
    <s v="spotify:track:2a1o6ZejUi8U3wzzOtCOYw"/>
    <x v="403"/>
    <s v="Danza Kuduro"/>
    <s v="UMLE - Machete"/>
    <n v="52"/>
    <n v="144"/>
    <d v="1899-12-30T03:18:00"/>
    <b v="0"/>
    <n v="40"/>
    <n v="92"/>
    <n v="92"/>
    <n v="28"/>
    <n v="8"/>
    <n v="0"/>
    <n v="5"/>
    <n v="87"/>
    <n v="89"/>
    <s v="Reggaeton"/>
    <d v="2010-08-17T00:00:00"/>
    <s v="https://image-cdn-ak.spotifycdn.com/image/ab67616d00001e024640a26eb27649006be29a94"/>
    <b v="0"/>
  </r>
  <r>
    <n v="480"/>
    <s v="spotify:track:2aHgHoX9SqBDGyMn32W1oA"/>
    <x v="40"/>
    <s v="Sparks"/>
    <s v="Parlophone UK"/>
    <n v="30"/>
    <n v="91"/>
    <d v="1899-12-30T03:47:00"/>
    <b v="0"/>
    <n v="37"/>
    <n v="27"/>
    <n v="82"/>
    <n v="3"/>
    <n v="75"/>
    <n v="5"/>
    <n v="10"/>
    <n v="16"/>
    <n v="103"/>
    <s v="Alternative Rock"/>
    <d v="2000-07-10T00:00:00"/>
    <s v="https://image-cdn-ak.spotifycdn.com/image/ab67616d00001e023f5dc0fa4526c8378f1b06a3"/>
    <b v="0"/>
  </r>
  <r>
    <n v="481"/>
    <s v="spotify:track:2aYZaN5SmkRDLsrrV8GkBQ"/>
    <x v="30"/>
    <s v="LA PATRULLA"/>
    <s v="2024 Double P Records"/>
    <n v="33"/>
    <n v="31"/>
    <d v="1899-12-30T03:05:00"/>
    <b v="1"/>
    <n v="72"/>
    <n v="74"/>
    <n v="88"/>
    <n v="6"/>
    <n v="68"/>
    <n v="0"/>
    <n v="18"/>
    <n v="89"/>
    <n v="133"/>
    <s v="Regional Mexicano"/>
    <d v="2025-02-14T00:00:00"/>
    <s v="https://image-cdn-ak.spotifycdn.com/image/ab67616d00001e022690127e1d6cd0aa35cc353b"/>
    <b v="0"/>
  </r>
  <r>
    <n v="481"/>
    <s v="spotify:track:2aYZaN5SmkRDLsrrV8GkBQ"/>
    <x v="61"/>
    <s v="LA PATRULLA"/>
    <s v="2024 Double P Records"/>
    <n v="33"/>
    <n v="31"/>
    <d v="1899-12-30T03:05:00"/>
    <b v="1"/>
    <n v="72"/>
    <n v="74"/>
    <n v="88"/>
    <n v="6"/>
    <n v="68"/>
    <n v="0"/>
    <n v="18"/>
    <n v="89"/>
    <n v="133"/>
    <s v="Regional Mexicano"/>
    <d v="2025-02-14T00:00:00"/>
    <s v="https://image-cdn-ak.spotifycdn.com/image/ab67616d00001e022690127e1d6cd0aa35cc353b"/>
    <b v="0"/>
  </r>
  <r>
    <n v="482"/>
    <s v="spotify:track:2bL2gyO6kBdLkNSkxXNh6x"/>
    <x v="278"/>
    <s v="Animals"/>
    <s v="Interscope Records*"/>
    <n v="175"/>
    <n v="5"/>
    <d v="1899-12-30T03:51:00"/>
    <b v="0"/>
    <n v="28"/>
    <n v="74"/>
    <n v="89"/>
    <n v="9"/>
    <n v="0"/>
    <n v="0"/>
    <n v="59"/>
    <n v="33"/>
    <n v="190"/>
    <s v="Pop"/>
    <d v="2014-08-22T00:00:00"/>
    <s v="https://image-cdn-ak.spotifycdn.com/image/ab67616d00001e02442b53773d50e1b5369bb16c"/>
    <b v="0"/>
  </r>
  <r>
    <n v="483"/>
    <s v="spotify:track:2bqLj0NvdtGbPCl9PdBtP2"/>
    <x v="23"/>
    <s v="Purple lace bra"/>
    <s v="RCA Records Label"/>
    <n v="78"/>
    <n v="2"/>
    <d v="1899-12-30T03:05:00"/>
    <b v="0"/>
    <n v="48"/>
    <n v="80"/>
    <n v="93"/>
    <n v="3"/>
    <n v="16"/>
    <n v="0"/>
    <n v="14"/>
    <n v="41"/>
    <n v="145"/>
    <s v="Pop"/>
    <d v="2025-02-21T00:00:00"/>
    <s v="https://image-cdn-ak.spotifycdn.com/image/ab67616d00001e0230420759f1a2cd4923c5c65b"/>
    <b v="0"/>
  </r>
  <r>
    <n v="484"/>
    <s v="spotify:track:2chbuybiy6aDDBC985tJcP"/>
    <x v="141"/>
    <s v="ZEN"/>
    <s v="OA Entertainment/Columbia"/>
    <n v="192"/>
    <n v="1"/>
    <d v="1899-12-30T02:48:00"/>
    <b v="1"/>
    <n v="68"/>
    <n v="75"/>
    <n v="87"/>
    <n v="5"/>
    <n v="2"/>
    <n v="0"/>
    <n v="25"/>
    <n v="20"/>
    <n v="108"/>
    <s v="K-Pop"/>
    <d v="2025-03-07T00:00:00"/>
    <s v="https://image-cdn-fa.spotifycdn.com/image/ab67616d00001e02dcf27dec5e479b2e39c4c993"/>
    <b v="0"/>
  </r>
  <r>
    <n v="485"/>
    <s v="spotify:track:2d8JP84HNLKhmd6IYOoupQ"/>
    <x v="404"/>
    <s v="Trap Queen"/>
    <s v="300 Entertainment/RGF Productions"/>
    <n v="88"/>
    <n v="3"/>
    <d v="1899-12-30T03:58:00"/>
    <b v="1"/>
    <n v="75"/>
    <n v="87"/>
    <n v="94"/>
    <n v="13"/>
    <n v="2"/>
    <n v="0"/>
    <n v="35"/>
    <n v="82"/>
    <n v="148"/>
    <s v="Hip-Hop/Rap"/>
    <d v="2014-04-22T00:00:00"/>
    <s v="https://image-cdn-ak.spotifycdn.com/image/ab67616d00001e02df7c1e1c441dd172ea8f29f9"/>
    <b v="0"/>
  </r>
  <r>
    <n v="486"/>
    <s v="spotify:track:2dKkVF2m160z0RNDN2dddc"/>
    <x v="288"/>
    <s v="NISSAN ALTIMA"/>
    <s v="Top Dawg Entertainment/Capitol Records"/>
    <n v="133"/>
    <n v="1"/>
    <s v="03:05:00"/>
    <b v="1"/>
    <n v="86"/>
    <n v="76"/>
    <n v="74"/>
    <n v="18"/>
    <n v="10"/>
    <n v="0"/>
    <n v="22"/>
    <n v="68"/>
    <n v="126"/>
    <s v="Hip-Hop/Rap"/>
    <s v="15/8/2025"/>
    <s v="https://image-cdn-ak.spotifycdn.com/image/ab67616d00001e02b245099fe26319344ddf6054"/>
    <b v="0"/>
  </r>
  <r>
    <n v="487"/>
    <s v="spotify:track:2duvkmcQAezPigFEGlERuA"/>
    <x v="133"/>
    <s v="begged"/>
    <s v="Olivia Rodrigo PS"/>
    <n v="14"/>
    <n v="4"/>
    <s v="02:48:00"/>
    <b v="0"/>
    <n v="58"/>
    <n v="74"/>
    <n v="75"/>
    <n v="6"/>
    <n v="21"/>
    <n v="0"/>
    <n v="17"/>
    <n v="49"/>
    <n v="189"/>
    <s v="Indie Pop"/>
    <s v="12/6/2026"/>
    <s v="https://image-cdn-ak.spotifycdn.com/image/ab67616d00001e026949b83f85d782b21ce70583"/>
    <b v="0"/>
  </r>
  <r>
    <n v="488"/>
    <s v="spotify:track:2e3YJ6Hm8tR5L5Zy8HzOtv"/>
    <x v="133"/>
    <s v="what’s wrong with me"/>
    <s v="Olivia Rodrigo PS"/>
    <n v="12"/>
    <n v="5"/>
    <s v="03:18:00"/>
    <b v="0"/>
    <n v="60"/>
    <n v="48"/>
    <n v="71"/>
    <n v="4"/>
    <n v="55"/>
    <n v="0"/>
    <n v="12"/>
    <n v="38"/>
    <n v="126"/>
    <s v="Indie Pop"/>
    <s v="12/6/2026"/>
    <s v="https://image-cdn-ak.spotifycdn.com/image/ab67616d00001e026949b83f85d782b21ce70583"/>
    <b v="0"/>
  </r>
  <r>
    <n v="488"/>
    <s v="spotify:track:2e3YJ6Hm8tR5L5Zy8HzOtv"/>
    <x v="405"/>
    <s v="what’s wrong with me"/>
    <s v="Olivia Rodrigo PS"/>
    <n v="12"/>
    <n v="5"/>
    <s v="03:18:00"/>
    <b v="0"/>
    <n v="60"/>
    <n v="48"/>
    <n v="71"/>
    <n v="4"/>
    <n v="55"/>
    <n v="0"/>
    <n v="12"/>
    <n v="38"/>
    <n v="126"/>
    <s v="Indie Pop"/>
    <s v="12/6/2026"/>
    <s v="https://image-cdn-ak.spotifycdn.com/image/ab67616d00001e026949b83f85d782b21ce70583"/>
    <b v="0"/>
  </r>
  <r>
    <n v="489"/>
    <s v="spotify:track:2eAvDnpXP5W0cVtiI0PUxV"/>
    <x v="406"/>
    <s v="Dandelions"/>
    <s v="Columbia"/>
    <n v="34"/>
    <n v="173"/>
    <d v="1899-12-30T03:53:00"/>
    <b v="0"/>
    <n v="61"/>
    <n v="69"/>
    <n v="95"/>
    <n v="3"/>
    <n v="2"/>
    <n v="0"/>
    <n v="9"/>
    <n v="45"/>
    <n v="117"/>
    <s v="Pop"/>
    <d v="2017-04-28T00:00:00"/>
    <s v="https://image-cdn-ak.spotifycdn.com/image/ab67616d00001e02b09403f05bc0c306cf96990f"/>
    <b v="0"/>
  </r>
  <r>
    <n v="490"/>
    <s v="spotify:track:2efbgTtEGNpsUZaOfgRTR6"/>
    <x v="407"/>
    <s v="blackout"/>
    <s v="Sony Music Latin"/>
    <n v="194"/>
    <n v="2"/>
    <d v="1899-12-30T02:48:00"/>
    <b v="0"/>
    <n v="78"/>
    <n v="79"/>
    <n v="96"/>
    <n v="5"/>
    <n v="24"/>
    <n v="0"/>
    <n v="11"/>
    <n v="96"/>
    <n v="138"/>
    <s v="Reggaeton"/>
    <d v="2025-05-16T00:00:00"/>
    <s v="https://image-cdn-ak.spotifycdn.com/image/ab67616d00001e029febc3d2b06f4844ee98cfc8"/>
    <b v="0"/>
  </r>
  <r>
    <n v="490"/>
    <s v="spotify:track:2efbgTtEGNpsUZaOfgRTR6"/>
    <x v="408"/>
    <s v="blackout"/>
    <s v="Sony Music Latin"/>
    <n v="194"/>
    <n v="2"/>
    <d v="1899-12-30T02:48:00"/>
    <b v="0"/>
    <n v="78"/>
    <n v="79"/>
    <n v="96"/>
    <n v="5"/>
    <n v="24"/>
    <n v="0"/>
    <n v="11"/>
    <n v="96"/>
    <n v="138"/>
    <s v="Reggaeton"/>
    <d v="2025-05-16T00:00:00"/>
    <s v="https://image-cdn-ak.spotifycdn.com/image/ab67616d00001e029febc3d2b06f4844ee98cfc8"/>
    <b v="0"/>
  </r>
  <r>
    <n v="490"/>
    <s v="spotify:track:2efbgTtEGNpsUZaOfgRTR6"/>
    <x v="409"/>
    <s v="blackout"/>
    <s v="Sony Music Latin"/>
    <n v="194"/>
    <n v="2"/>
    <d v="1899-12-30T02:48:00"/>
    <b v="0"/>
    <n v="78"/>
    <n v="79"/>
    <n v="96"/>
    <n v="5"/>
    <n v="24"/>
    <n v="0"/>
    <n v="11"/>
    <n v="96"/>
    <n v="138"/>
    <s v="Reggaeton"/>
    <d v="2025-05-16T00:00:00"/>
    <s v="https://image-cdn-ak.spotifycdn.com/image/ab67616d00001e029febc3d2b06f4844ee98cfc8"/>
    <b v="0"/>
  </r>
  <r>
    <n v="491"/>
    <s v="spotify:track:2esZG2XFtuoWWA9AfDvSxy"/>
    <x v="410"/>
    <s v="Gata Only"/>
    <s v="FloyyMenor under exclusive license to UnitedMasters LLC"/>
    <n v="3"/>
    <n v="92"/>
    <d v="1899-12-30T03:42:00"/>
    <b v="1"/>
    <n v="79"/>
    <n v="50"/>
    <n v="86"/>
    <n v="5"/>
    <n v="45"/>
    <n v="0"/>
    <n v="9"/>
    <n v="67"/>
    <n v="100"/>
    <s v="Reggaeton"/>
    <d v="2024-01-26T00:00:00"/>
    <s v="https://image-cdn-ak.spotifycdn.com/image/ab67616d00001e02200e2b6526846c59789c92e6"/>
    <b v="0"/>
  </r>
  <r>
    <n v="491"/>
    <s v="spotify:track:2esZG2XFtuoWWA9AfDvSxy"/>
    <x v="411"/>
    <s v="Gata Only"/>
    <s v="FloyyMenor under exclusive license to UnitedMasters LLC"/>
    <n v="3"/>
    <n v="92"/>
    <d v="1899-12-30T03:42:00"/>
    <b v="1"/>
    <n v="79"/>
    <n v="50"/>
    <n v="86"/>
    <n v="5"/>
    <n v="45"/>
    <n v="0"/>
    <n v="9"/>
    <n v="67"/>
    <n v="100"/>
    <s v="Reggaeton"/>
    <d v="2024-01-26T00:00:00"/>
    <s v="https://image-cdn-ak.spotifycdn.com/image/ab67616d00001e02200e2b6526846c59789c92e6"/>
    <b v="0"/>
  </r>
  <r>
    <n v="493"/>
    <s v="spotify:track:2fCwv2ppU5nTRTckomIGsd"/>
    <x v="412"/>
    <s v="REDRED"/>
    <s v="Republic Records – CORTIS"/>
    <n v="61"/>
    <n v="17"/>
    <s v="02:48:00"/>
    <b v="0"/>
    <n v="75"/>
    <n v="70"/>
    <n v="74"/>
    <n v="8"/>
    <n v="19"/>
    <n v="1"/>
    <n v="14"/>
    <n v="66"/>
    <n v="122"/>
    <s v="K-Pop"/>
    <s v="5/6/2026"/>
    <s v="https://image-cdn-ak.spotifycdn.com/image/ab67616d00001e0224ace1518851b27e9983f739"/>
    <b v="0"/>
  </r>
  <r>
    <n v="494"/>
    <s v="spotify:track:2fuYa3Lx06QQJAm0MjztKr"/>
    <x v="187"/>
    <s v="Let Down"/>
    <s v="XL Recordings"/>
    <n v="55"/>
    <n v="57"/>
    <d v="1899-12-30T04:59:00"/>
    <b v="0"/>
    <n v="35"/>
    <n v="68"/>
    <n v="85"/>
    <n v="3"/>
    <n v="0"/>
    <n v="11"/>
    <n v="18"/>
    <n v="14"/>
    <n v="102"/>
    <s v="Alternative"/>
    <d v="1997-05-21T00:00:00"/>
    <s v="https://image-cdn-ak.spotifycdn.com/image/ab67616d00001e02c8b444df094279e70d0ed856"/>
    <b v="0"/>
  </r>
  <r>
    <n v="495"/>
    <s v="spotify:track:2gSNBigeWMVtY3QBIvPAEc"/>
    <x v="38"/>
    <s v="Bad - 2012 Remaster"/>
    <s v="Epic/Legacy"/>
    <n v="47"/>
    <n v="13"/>
    <d v="1899-12-30T04:07:00"/>
    <b v="0"/>
    <n v="68"/>
    <n v="78"/>
    <n v="81"/>
    <n v="5"/>
    <n v="10"/>
    <n v="0"/>
    <n v="13"/>
    <n v="55"/>
    <n v="114"/>
    <s v="Pop"/>
    <d v="1987-08-31T00:00:00"/>
    <s v="https://image-cdn-fa.spotifycdn.com/image/ab67616d00001e02eb2087dcd1eb61f833bdedff"/>
    <b v="0"/>
  </r>
  <r>
    <n v="496"/>
    <s v="spotify:track:2gYTC8DsplN3RNdpdBcCOQ"/>
    <x v="413"/>
    <s v="Die On This Hill"/>
    <s v="Capitol Records"/>
    <n v="9"/>
    <n v="29"/>
    <s v="03:42:00"/>
    <b v="0"/>
    <n v="52"/>
    <n v="38"/>
    <n v="69"/>
    <n v="4"/>
    <n v="74"/>
    <n v="0"/>
    <n v="12"/>
    <n v="28"/>
    <n v="116"/>
    <s v="Pop"/>
    <s v="14/11/2025"/>
    <s v="https://image-cdn-fa.spotifycdn.com/image/ab67616d00001e020901e50bfaff4351a29f462b"/>
    <b v="0"/>
  </r>
  <r>
    <n v="497"/>
    <s v="spotify:track:2gam98EZKrF9XuOkU13ApN"/>
    <x v="414"/>
    <s v="Promiscuous"/>
    <s v="Mosley / Geffen"/>
    <n v="140"/>
    <n v="34"/>
    <d v="1899-12-30T04:02:00"/>
    <b v="0"/>
    <n v="81"/>
    <n v="97"/>
    <n v="90"/>
    <n v="5"/>
    <n v="6"/>
    <n v="0"/>
    <n v="15"/>
    <n v="87"/>
    <n v="114"/>
    <s v="Pop"/>
    <d v="2006-05-09T00:00:00"/>
    <s v="https://image-cdn-ak.spotifycdn.com/image/ab67616d00001e02a6f439c8957170652f9410e2"/>
    <b v="0"/>
  </r>
  <r>
    <n v="497"/>
    <s v="spotify:track:2gam98EZKrF9XuOkU13ApN"/>
    <x v="88"/>
    <s v="Promiscuous"/>
    <s v="Mosley / Geffen"/>
    <n v="140"/>
    <n v="34"/>
    <d v="1899-12-30T04:02:00"/>
    <b v="0"/>
    <n v="81"/>
    <n v="97"/>
    <n v="90"/>
    <n v="5"/>
    <n v="6"/>
    <n v="0"/>
    <n v="15"/>
    <n v="87"/>
    <n v="114"/>
    <s v="Pop"/>
    <d v="2006-05-09T00:00:00"/>
    <s v="https://image-cdn-ak.spotifycdn.com/image/ab67616d00001e02a6f439c8957170652f9410e2"/>
    <b v="0"/>
  </r>
  <r>
    <n v="498"/>
    <s v="spotify:track:2gbCG4Rt9984UZ7Tc0dIFd"/>
    <x v="58"/>
    <s v="White Christmas (with Shania Twain)"/>
    <s v="Reprise"/>
    <n v="113"/>
    <n v="6"/>
    <d v="1899-12-30T03:05:00"/>
    <b v="0"/>
    <n v="55"/>
    <n v="50"/>
    <n v="73"/>
    <n v="4"/>
    <n v="55"/>
    <n v="0"/>
    <n v="15"/>
    <n v="78"/>
    <n v="120"/>
    <s v="Christmas"/>
    <d v="2011-10-24T00:00:00"/>
    <s v="https://image-cdn-ak.spotifycdn.com/image/ab67616d00001e0295517befb15ad5d63af701ab"/>
    <b v="1"/>
  </r>
  <r>
    <n v="498"/>
    <s v="spotify:track:2gbCG4Rt9984UZ7Tc0dIFd"/>
    <x v="415"/>
    <s v="White Christmas (with Shania Twain)"/>
    <s v="Reprise"/>
    <n v="113"/>
    <n v="6"/>
    <d v="1899-12-30T03:05:00"/>
    <b v="0"/>
    <n v="55"/>
    <n v="50"/>
    <n v="73"/>
    <n v="4"/>
    <n v="55"/>
    <n v="0"/>
    <n v="15"/>
    <n v="78"/>
    <n v="120"/>
    <s v="Christmas"/>
    <d v="2011-10-24T00:00:00"/>
    <s v="https://image-cdn-ak.spotifycdn.com/image/ab67616d00001e0295517befb15ad5d63af701ab"/>
    <b v="1"/>
  </r>
  <r>
    <n v="499"/>
    <s v="spotify:track:2gbEvM5IwVIwJFpTVPUXV5"/>
    <x v="416"/>
    <s v="Cuida do Pet"/>
    <s v="Oldilla Records"/>
    <n v="146"/>
    <n v="6"/>
    <s v="02:48:00"/>
    <b v="1"/>
    <n v="88"/>
    <n v="84"/>
    <n v="78"/>
    <n v="18"/>
    <n v="10"/>
    <n v="0"/>
    <n v="25"/>
    <n v="80"/>
    <n v="133"/>
    <s v="Funk Brasileiro"/>
    <s v="19/6/2026"/>
    <s v="https://image-cdn-ak.spotifycdn.com/image/ab67616d00001e02abee4fe3c7900628e21a07d5"/>
    <b v="0"/>
  </r>
  <r>
    <n v="499"/>
    <s v="spotify:track:2gbEvM5IwVIwJFpTVPUXV5"/>
    <x v="417"/>
    <s v="Cuida do Pet"/>
    <s v="Oldilla Records"/>
    <n v="146"/>
    <n v="6"/>
    <s v="02:48:00"/>
    <b v="1"/>
    <n v="88"/>
    <n v="84"/>
    <n v="78"/>
    <n v="18"/>
    <n v="10"/>
    <n v="0"/>
    <n v="25"/>
    <n v="80"/>
    <n v="133"/>
    <s v="Funk Brasileiro"/>
    <s v="19/6/2026"/>
    <s v="https://image-cdn-ak.spotifycdn.com/image/ab67616d00001e02abee4fe3c7900628e21a07d5"/>
    <b v="0"/>
  </r>
  <r>
    <n v="499"/>
    <s v="spotify:track:2gbEvM5IwVIwJFpTVPUXV5"/>
    <x v="418"/>
    <s v="Cuida do Pet"/>
    <s v="Oldilla Records"/>
    <n v="146"/>
    <n v="6"/>
    <s v="02:48:00"/>
    <b v="1"/>
    <n v="88"/>
    <n v="84"/>
    <n v="78"/>
    <n v="18"/>
    <n v="10"/>
    <n v="0"/>
    <n v="25"/>
    <n v="80"/>
    <n v="133"/>
    <s v="Funk Brasileiro"/>
    <s v="19/6/2026"/>
    <s v="https://image-cdn-ak.spotifycdn.com/image/ab67616d00001e02abee4fe3c7900628e21a07d5"/>
    <b v="0"/>
  </r>
  <r>
    <n v="499"/>
    <s v="spotify:track:2gbEvM5IwVIwJFpTVPUXV5"/>
    <x v="419"/>
    <s v="Cuida do Pet"/>
    <s v="Oldilla Records"/>
    <n v="146"/>
    <n v="6"/>
    <s v="02:48:00"/>
    <b v="1"/>
    <n v="88"/>
    <n v="84"/>
    <n v="78"/>
    <n v="18"/>
    <n v="10"/>
    <n v="0"/>
    <n v="25"/>
    <n v="80"/>
    <n v="133"/>
    <s v="Funk Brasileiro"/>
    <s v="19/6/2026"/>
    <s v="https://image-cdn-ak.spotifycdn.com/image/ab67616d00001e02abee4fe3c7900628e21a07d5"/>
    <b v="0"/>
  </r>
  <r>
    <n v="499"/>
    <s v="spotify:track:2gbEvM5IwVIwJFpTVPUXV5"/>
    <x v="420"/>
    <s v="Cuida do Pet"/>
    <s v="Oldilla Records"/>
    <n v="146"/>
    <n v="6"/>
    <s v="02:48:00"/>
    <b v="1"/>
    <n v="88"/>
    <n v="84"/>
    <n v="78"/>
    <n v="18"/>
    <n v="10"/>
    <n v="0"/>
    <n v="25"/>
    <n v="80"/>
    <n v="133"/>
    <s v="Funk Brasileiro"/>
    <s v="19/6/2026"/>
    <s v="https://image-cdn-ak.spotifycdn.com/image/ab67616d00001e02abee4fe3c7900628e21a07d5"/>
    <b v="0"/>
  </r>
  <r>
    <n v="499"/>
    <s v="spotify:track:2gbEvM5IwVIwJFpTVPUXV5"/>
    <x v="421"/>
    <s v="Cuida do Pet"/>
    <s v="Oldilla Records"/>
    <n v="146"/>
    <n v="6"/>
    <s v="02:48:00"/>
    <b v="1"/>
    <n v="88"/>
    <n v="84"/>
    <n v="78"/>
    <n v="18"/>
    <n v="10"/>
    <n v="0"/>
    <n v="25"/>
    <n v="80"/>
    <n v="133"/>
    <s v="Funk Brasileiro"/>
    <s v="19/6/2026"/>
    <s v="https://image-cdn-ak.spotifycdn.com/image/ab67616d00001e02abee4fe3c7900628e21a07d5"/>
    <b v="0"/>
  </r>
  <r>
    <n v="499"/>
    <s v="spotify:track:2gbEvM5IwVIwJFpTVPUXV5"/>
    <x v="422"/>
    <s v="Cuida do Pet"/>
    <s v="Oldilla Records"/>
    <n v="146"/>
    <n v="6"/>
    <s v="02:48:00"/>
    <b v="1"/>
    <n v="88"/>
    <n v="84"/>
    <n v="78"/>
    <n v="18"/>
    <n v="10"/>
    <n v="0"/>
    <n v="25"/>
    <n v="80"/>
    <n v="133"/>
    <s v="Funk Brasileiro"/>
    <s v="19/6/2026"/>
    <s v="https://image-cdn-ak.spotifycdn.com/image/ab67616d00001e02abee4fe3c7900628e21a07d5"/>
    <b v="0"/>
  </r>
  <r>
    <n v="500"/>
    <s v="spotify:track:2gyHr9WqZeMtzJOpWGuGo6"/>
    <x v="423"/>
    <s v="Reflections Laughing (feat. Travis Scott, Florence + The Machine)"/>
    <s v="XO / Republic Records"/>
    <n v="47"/>
    <n v="1"/>
    <d v="1899-12-30T03:38:00"/>
    <b v="1"/>
    <n v="33"/>
    <n v="36"/>
    <n v="84"/>
    <n v="4"/>
    <n v="14"/>
    <n v="1"/>
    <n v="13"/>
    <n v="4"/>
    <n v="80"/>
    <s v="R&amp;B"/>
    <d v="2025-01-31T00:00:00"/>
    <s v="https://image-cdn-ak.spotifycdn.com/image/ab67616d00001e02de79f330bc297af3fae736da"/>
    <b v="0"/>
  </r>
  <r>
    <n v="500"/>
    <s v="spotify:track:2gyHr9WqZeMtzJOpWGuGo6"/>
    <x v="55"/>
    <s v="Reflections Laughing (feat. Travis Scott, Florence + The Machine)"/>
    <s v="XO / Republic Records"/>
    <n v="47"/>
    <n v="1"/>
    <d v="1899-12-30T03:38:00"/>
    <b v="1"/>
    <n v="33"/>
    <n v="36"/>
    <n v="84"/>
    <n v="4"/>
    <n v="14"/>
    <n v="1"/>
    <n v="13"/>
    <n v="4"/>
    <n v="80"/>
    <s v="R&amp;B"/>
    <d v="2025-01-31T00:00:00"/>
    <s v="https://image-cdn-ak.spotifycdn.com/image/ab67616d00001e02de79f330bc297af3fae736da"/>
    <b v="0"/>
  </r>
  <r>
    <n v="500"/>
    <s v="spotify:track:2gyHr9WqZeMtzJOpWGuGo6"/>
    <x v="186"/>
    <s v="Reflections Laughing (feat. Travis Scott, Florence + The Machine)"/>
    <s v="XO / Republic Records"/>
    <n v="47"/>
    <n v="1"/>
    <d v="1899-12-30T03:38:00"/>
    <b v="1"/>
    <n v="33"/>
    <n v="36"/>
    <n v="84"/>
    <n v="4"/>
    <n v="14"/>
    <n v="1"/>
    <n v="13"/>
    <n v="4"/>
    <n v="80"/>
    <s v="R&amp;B"/>
    <d v="2025-01-31T00:00:00"/>
    <s v="https://image-cdn-ak.spotifycdn.com/image/ab67616d00001e02de79f330bc297af3fae736da"/>
    <b v="0"/>
  </r>
  <r>
    <n v="501"/>
    <s v="spotify:track:2igwFfvr1OAGX9SKDCPBwO"/>
    <x v="424"/>
    <s v="Empire State Of Mind"/>
    <s v="Roc Nation / Jay-Z"/>
    <n v="91"/>
    <n v="15"/>
    <d v="1899-12-30T04:36:00"/>
    <b v="1"/>
    <n v="49"/>
    <n v="96"/>
    <n v="97"/>
    <n v="39"/>
    <n v="3"/>
    <n v="0"/>
    <n v="46"/>
    <n v="81"/>
    <n v="174"/>
    <s v="Hip-Hop/Rap"/>
    <d v="2009-10-20T00:00:00"/>
    <s v="https://image-cdn-ak.spotifycdn.com/image/ab67616d00001e02fec1b815bb3c50a64a90fd10"/>
    <b v="0"/>
  </r>
  <r>
    <n v="501"/>
    <s v="spotify:track:2igwFfvr1OAGX9SKDCPBwO"/>
    <x v="425"/>
    <s v="Empire State Of Mind"/>
    <s v="Roc Nation / Jay-Z"/>
    <n v="91"/>
    <n v="15"/>
    <d v="1899-12-30T04:36:00"/>
    <b v="1"/>
    <n v="49"/>
    <n v="96"/>
    <n v="97"/>
    <n v="39"/>
    <n v="3"/>
    <n v="0"/>
    <n v="46"/>
    <n v="81"/>
    <n v="174"/>
    <s v="Hip-Hop/Rap"/>
    <d v="2009-10-20T00:00:00"/>
    <s v="https://image-cdn-ak.spotifycdn.com/image/ab67616d00001e02fec1b815bb3c50a64a90fd10"/>
    <b v="0"/>
  </r>
  <r>
    <n v="503"/>
    <s v="spotify:track:2j7wI9QWrP8cjKDdOLVQTU"/>
    <x v="19"/>
    <s v="Babylon"/>
    <s v="Taylor Swift"/>
    <n v="5"/>
    <n v="1"/>
    <s v="03:18:00"/>
    <b v="0"/>
    <n v="67"/>
    <n v="55"/>
    <n v="72"/>
    <n v="5"/>
    <n v="42"/>
    <n v="0"/>
    <n v="14"/>
    <n v="47"/>
    <n v="100"/>
    <s v="Pop"/>
    <s v="3/10/2025"/>
    <s v="https://image-cdn-fa.spotifycdn.com/image/ab67616d00001e02cf3de6b538d8b1ed73a4d5d1"/>
    <b v="0"/>
  </r>
  <r>
    <n v="504"/>
    <s v="spotify:track:2jCJjRc9mz6VYBMhLy3H9i"/>
    <x v="426"/>
    <s v="Plastic Cigarette"/>
    <s v="Warner Records"/>
    <n v="159"/>
    <n v="1"/>
    <s v="03:48:00"/>
    <b v="0"/>
    <n v="53"/>
    <n v="45"/>
    <n v="70"/>
    <n v="4"/>
    <n v="62"/>
    <n v="0"/>
    <n v="11"/>
    <n v="38"/>
    <n v="120"/>
    <s v="Country"/>
    <s v="23/1/2026"/>
    <s v="https://image-cdn-ak.spotifycdn.com/image/ab67616d00001e026addb951ebfd51d72b42123f"/>
    <b v="0"/>
  </r>
  <r>
    <n v="505"/>
    <s v="spotify:track:2jNyiavSywmA472t2m6ZBz"/>
    <x v="177"/>
    <s v="What Was That"/>
    <s v="Universal Music New Zealand Limited"/>
    <n v="19"/>
    <n v="3"/>
    <d v="1899-12-30T03:05:00"/>
    <b v="0"/>
    <n v="60"/>
    <n v="61"/>
    <n v="89"/>
    <n v="16"/>
    <n v="35"/>
    <n v="0"/>
    <n v="10"/>
    <n v="17"/>
    <n v="127"/>
    <s v="Alternative"/>
    <d v="2025-04-25T00:00:00"/>
    <s v="https://image-cdn-fa.spotifycdn.com/image/ab67616d00001e02bffc95a2df3dd4505f9ddd4f"/>
    <b v="0"/>
  </r>
  <r>
    <n v="506"/>
    <s v="spotify:track:2k7EhDUKXApmeYVew9xeDf"/>
    <x v="427"/>
    <s v="Pilantra e Meio"/>
    <s v="Eric Land"/>
    <n v="107"/>
    <n v="3"/>
    <s v="02:48:00"/>
    <b v="0"/>
    <n v="78"/>
    <n v="76"/>
    <n v="74"/>
    <n v="6"/>
    <n v="29"/>
    <n v="0"/>
    <n v="22"/>
    <n v="85"/>
    <n v="135"/>
    <s v="Sertanejo"/>
    <s v="20/6/2025"/>
    <s v="https://image-cdn-fa.spotifycdn.com/image/ab67616d00001e021a2ce8108f4679eda9d01b7e"/>
    <b v="0"/>
  </r>
  <r>
    <n v="506"/>
    <s v="spotify:track:2k7EhDUKXApmeYVew9xeDf"/>
    <x v="428"/>
    <s v="Pilantra e Meio"/>
    <s v="Eric Land"/>
    <n v="107"/>
    <n v="3"/>
    <s v="02:48:00"/>
    <b v="0"/>
    <n v="78"/>
    <n v="76"/>
    <n v="74"/>
    <n v="6"/>
    <n v="29"/>
    <n v="0"/>
    <n v="22"/>
    <n v="85"/>
    <n v="135"/>
    <s v="Sertanejo"/>
    <s v="20/6/2025"/>
    <s v="https://image-cdn-fa.spotifycdn.com/image/ab67616d00001e021a2ce8108f4679eda9d01b7e"/>
    <b v="0"/>
  </r>
  <r>
    <n v="507"/>
    <s v="spotify:track:2kZoOj1n5vk9BuF0sih58M"/>
    <x v="53"/>
    <s v="SOMEBODY LOVES ME"/>
    <s v="OVO Sound"/>
    <n v="115"/>
    <n v="1"/>
    <s v="03:28:00"/>
    <b v="1"/>
    <n v="73"/>
    <n v="52"/>
    <n v="70"/>
    <n v="12"/>
    <n v="34"/>
    <n v="0"/>
    <n v="11"/>
    <n v="41"/>
    <n v="112"/>
    <s v="R&amp;B"/>
    <s v="27/6/2025"/>
    <s v="https://image-cdn-fa.spotifycdn.com/image/ab67616d00001e02b5a28a256eae6dc0424fef59"/>
    <b v="0"/>
  </r>
  <r>
    <n v="507"/>
    <s v="spotify:track:2kZoOj1n5vk9BuF0sih58M"/>
    <x v="54"/>
    <s v="SOMEBODY LOVES ME"/>
    <s v="OVO Sound"/>
    <n v="115"/>
    <n v="1"/>
    <s v="03:28:00"/>
    <b v="1"/>
    <n v="73"/>
    <n v="52"/>
    <n v="70"/>
    <n v="12"/>
    <n v="34"/>
    <n v="0"/>
    <n v="11"/>
    <n v="41"/>
    <n v="112"/>
    <s v="R&amp;B"/>
    <s v="27/6/2025"/>
    <s v="https://image-cdn-fa.spotifycdn.com/image/ab67616d00001e02b5a28a256eae6dc0424fef59"/>
    <b v="0"/>
  </r>
  <r>
    <n v="508"/>
    <s v="spotify:track:2lAUq68F2bt7Kc218n9FPp"/>
    <x v="86"/>
    <s v="AY MAMÁ"/>
    <s v="2024 Double P Records"/>
    <n v="107"/>
    <n v="10"/>
    <d v="1899-12-30T03:05:00"/>
    <b v="1"/>
    <n v="67"/>
    <n v="76"/>
    <n v="90"/>
    <n v="12"/>
    <n v="37"/>
    <n v="0"/>
    <n v="35"/>
    <n v="73"/>
    <n v="149"/>
    <s v="Regional Mexicano"/>
    <d v="2025-03-14T00:00:00"/>
    <s v="https://image-cdn-ak.spotifycdn.com/image/ab67616d00001e0247e9618ef7411438f9c9478b"/>
    <b v="0"/>
  </r>
  <r>
    <n v="508"/>
    <s v="spotify:track:2lAUq68F2bt7Kc218n9FPp"/>
    <x v="31"/>
    <s v="AY MAMÁ"/>
    <s v="2024 Double P Records"/>
    <n v="107"/>
    <n v="10"/>
    <d v="1899-12-30T03:05:00"/>
    <b v="1"/>
    <n v="67"/>
    <n v="76"/>
    <n v="90"/>
    <n v="12"/>
    <n v="37"/>
    <n v="0"/>
    <n v="35"/>
    <n v="73"/>
    <n v="149"/>
    <s v="Regional Mexicano"/>
    <d v="2025-03-14T00:00:00"/>
    <s v="https://image-cdn-ak.spotifycdn.com/image/ab67616d00001e0247e9618ef7411438f9c9478b"/>
    <b v="0"/>
  </r>
  <r>
    <n v="509"/>
    <s v="spotify:track:2lTm559tuIvatlT1u0JYG2"/>
    <x v="103"/>
    <s v="BAILE INoLVIDABLE"/>
    <s v="Rimas Entertainment LLC."/>
    <n v="2"/>
    <n v="91"/>
    <d v="1899-12-30T04:11:00"/>
    <b v="1"/>
    <n v="17"/>
    <n v="0"/>
    <n v="23"/>
    <n v="6"/>
    <n v="19"/>
    <n v="79"/>
    <n v="11"/>
    <n v="22"/>
    <n v="119"/>
    <s v="Reggaeton"/>
    <d v="2025-01-05T00:00:00"/>
    <s v="https://image-cdn-ak.spotifycdn.com/image/ab67616d00001e02bbd45c8d36e0e045ef640411"/>
    <b v="0"/>
  </r>
  <r>
    <n v="510"/>
    <s v="spotify:track:2lpygKqzPFtItQ4ss3cgfb"/>
    <x v="383"/>
    <s v="Cinderella (feat. Ty Dolla $ign)"/>
    <s v="Warner Records"/>
    <n v="21"/>
    <n v="19"/>
    <d v="1899-12-30T04:55:00"/>
    <b v="1"/>
    <n v="68"/>
    <n v="68"/>
    <n v="78"/>
    <n v="12"/>
    <n v="20"/>
    <n v="0"/>
    <n v="11"/>
    <n v="48"/>
    <n v="110"/>
    <s v="Hip-Hop/Rap"/>
    <d v="2025-03-21T00:00:00"/>
    <s v="https://image-cdn-ak.spotifycdn.com/image/ab67616d00001e022e92f776279eaf45d14a33fd"/>
    <b v="0"/>
  </r>
  <r>
    <n v="510"/>
    <s v="spotify:track:2lpygKqzPFtItQ4ss3cgfb"/>
    <x v="429"/>
    <s v="Cinderella (feat. Ty Dolla $ign)"/>
    <s v="Warner Records"/>
    <n v="21"/>
    <n v="19"/>
    <d v="1899-12-30T04:55:00"/>
    <b v="1"/>
    <n v="68"/>
    <n v="68"/>
    <n v="78"/>
    <n v="12"/>
    <n v="20"/>
    <n v="0"/>
    <n v="11"/>
    <n v="48"/>
    <n v="110"/>
    <s v="Hip-Hop/Rap"/>
    <d v="2025-03-21T00:00:00"/>
    <s v="https://image-cdn-ak.spotifycdn.com/image/ab67616d00001e022e92f776279eaf45d14a33fd"/>
    <b v="0"/>
  </r>
  <r>
    <n v="511"/>
    <s v="spotify:track:2mdEsXPu8ZmkHRRtAdC09e"/>
    <x v="228"/>
    <s v="Cinnamon Girl"/>
    <s v="Polydor Records"/>
    <n v="86"/>
    <n v="28"/>
    <d v="1899-12-30T05:03:00"/>
    <b v="0"/>
    <n v="29"/>
    <n v="34"/>
    <n v="82"/>
    <n v="4"/>
    <n v="81"/>
    <n v="41"/>
    <n v="14"/>
    <n v="14"/>
    <n v="92"/>
    <s v="Dream Pop"/>
    <d v="2019-08-30T00:00:00"/>
    <s v="https://image-cdn-ak.spotifycdn.com/image/ab67616d00001e02879e9318cb9f4e05ee552ac9"/>
    <b v="0"/>
  </r>
  <r>
    <n v="512"/>
    <s v="spotify:track:2mdrVnxEnPR6iFijakkxQS"/>
    <x v="430"/>
    <s v="QLOO*"/>
    <s v="Sony Music Entertainment Chile S.A"/>
    <n v="35"/>
    <n v="22"/>
    <d v="1899-12-30T02:48:00"/>
    <b v="1"/>
    <n v="82"/>
    <n v="78"/>
    <n v="81"/>
    <n v="12"/>
    <n v="8"/>
    <n v="0"/>
    <n v="13"/>
    <n v="68"/>
    <n v="100"/>
    <s v="Reggaeton"/>
    <d v="2025-02-14T00:00:00"/>
    <s v="https://image-cdn-ak.spotifycdn.com/image/ab67616d00001e0213189b29e3f97c1e7442508e"/>
    <b v="0"/>
  </r>
  <r>
    <n v="512"/>
    <s v="spotify:track:2mdrVnxEnPR6iFijakkxQS"/>
    <x v="431"/>
    <s v="QLOO*"/>
    <s v="Sony Music Entertainment Chile S.A"/>
    <n v="35"/>
    <n v="22"/>
    <d v="1899-12-30T02:48:00"/>
    <b v="1"/>
    <n v="82"/>
    <n v="78"/>
    <n v="81"/>
    <n v="12"/>
    <n v="8"/>
    <n v="0"/>
    <n v="13"/>
    <n v="68"/>
    <n v="100"/>
    <s v="Reggaeton"/>
    <d v="2025-02-14T00:00:00"/>
    <s v="https://image-cdn-ak.spotifycdn.com/image/ab67616d00001e0213189b29e3f97c1e7442508e"/>
    <b v="0"/>
  </r>
  <r>
    <n v="513"/>
    <s v="spotify:track:2mvabkN1i2gLnGAPUVdwek"/>
    <x v="19"/>
    <s v="Christmas Tree Farm"/>
    <s v="Taylor Swift"/>
    <n v="76"/>
    <n v="8"/>
    <d v="1899-12-30T03:32:00"/>
    <b v="0"/>
    <n v="60"/>
    <n v="58"/>
    <n v="76"/>
    <n v="5"/>
    <n v="35"/>
    <n v="0"/>
    <n v="13"/>
    <n v="72"/>
    <n v="120"/>
    <s v="Christmas"/>
    <d v="2019-12-06T00:00:00"/>
    <s v="https://image-cdn-ak.spotifycdn.com/image/ab67616d00001e02b550071a3fa8e03f6a83f313"/>
    <b v="1"/>
  </r>
  <r>
    <n v="514"/>
    <s v="spotify:track:2n9fC0A4ptmWqYeMXEVaok"/>
    <x v="121"/>
    <s v="GOOD CREDIT (with Kendrick Lamar)"/>
    <s v="AWGE/Interscope Records"/>
    <n v="26"/>
    <n v="2"/>
    <d v="1899-12-30T03:28:00"/>
    <b v="1"/>
    <n v="74"/>
    <n v="68"/>
    <n v="88"/>
    <n v="22"/>
    <n v="2"/>
    <n v="0"/>
    <n v="86"/>
    <n v="40"/>
    <n v="145"/>
    <s v="Hip-Hop/Rap"/>
    <d v="2025-03-14T00:00:00"/>
    <s v="https://image-cdn-ak.spotifycdn.com/image/ab67616d00001e026b219c8d8462bfe254a20469"/>
    <b v="0"/>
  </r>
  <r>
    <n v="514"/>
    <s v="spotify:track:2n9fC0A4ptmWqYeMXEVaok"/>
    <x v="1"/>
    <s v="GOOD CREDIT (with Kendrick Lamar)"/>
    <s v="AWGE/Interscope Records"/>
    <n v="26"/>
    <n v="2"/>
    <d v="1899-12-30T03:28:00"/>
    <b v="1"/>
    <n v="74"/>
    <n v="68"/>
    <n v="88"/>
    <n v="22"/>
    <n v="2"/>
    <n v="0"/>
    <n v="86"/>
    <n v="40"/>
    <n v="145"/>
    <s v="Hip-Hop/Rap"/>
    <d v="2025-03-14T00:00:00"/>
    <s v="https://image-cdn-ak.spotifycdn.com/image/ab67616d00001e026b219c8d8462bfe254a20469"/>
    <b v="0"/>
  </r>
  <r>
    <n v="515"/>
    <s v="spotify:track:2nLtzopw4rPReszdYBJU6h"/>
    <x v="227"/>
    <s v="Numb"/>
    <s v="Warner Records"/>
    <n v="24"/>
    <n v="130"/>
    <d v="1899-12-30T03:07:00"/>
    <b v="0"/>
    <n v="49"/>
    <n v="87"/>
    <n v="93"/>
    <n v="4"/>
    <n v="0"/>
    <n v="0"/>
    <n v="48"/>
    <n v="21"/>
    <n v="110"/>
    <s v="Nu Metal"/>
    <d v="2003-03-25T00:00:00"/>
    <s v="https://image-cdn-ak.spotifycdn.com/image/ab67616d00001e025f1f51d14e8bea89484ecd1b"/>
    <b v="0"/>
  </r>
  <r>
    <n v="516"/>
    <s v="spotify:track:2nMeu6UenVvwUktBCpLMK9"/>
    <x v="228"/>
    <s v="Young And Beautiful"/>
    <s v="Polydor Records"/>
    <n v="104"/>
    <n v="72"/>
    <d v="1899-12-30T03:56:00"/>
    <b v="0"/>
    <n v="32"/>
    <n v="42"/>
    <n v="85"/>
    <n v="4"/>
    <n v="26"/>
    <n v="0"/>
    <n v="11"/>
    <n v="15"/>
    <n v="114"/>
    <s v="Dream Pop"/>
    <d v="2013-04-22T00:00:00"/>
    <s v="https://image-cdn-ak.spotifycdn.com/image/ab67616d00001e02d7fb3e4c63020039d1cff6b2"/>
    <b v="0"/>
  </r>
  <r>
    <n v="517"/>
    <s v="spotify:track:2njWzPDRRhsXOUhiA42e62"/>
    <x v="432"/>
    <s v="Jogodo"/>
    <s v="Starboy Entertainment Ltd. / GIRAN Republic / EMPIRE"/>
    <n v="194"/>
    <n v="1"/>
    <s v="02:48:00"/>
    <b v="0"/>
    <n v="81"/>
    <n v="68"/>
    <n v="73"/>
    <n v="7"/>
    <n v="18"/>
    <n v="0"/>
    <n v="11"/>
    <n v="75"/>
    <n v="102"/>
    <s v="Afrobeat"/>
    <s v="13/6/2025"/>
    <s v="https://image-cdn-ak.spotifycdn.com/image/ab67616d00001e0206206895bb91710b0cad3a80"/>
    <b v="0"/>
  </r>
  <r>
    <n v="517"/>
    <s v="spotify:track:2njWzPDRRhsXOUhiA42e62"/>
    <x v="324"/>
    <s v="Jogodo"/>
    <s v="Starboy Entertainment Ltd. / GIRAN Republic / EMPIRE"/>
    <n v="194"/>
    <n v="1"/>
    <s v="02:48:00"/>
    <b v="0"/>
    <n v="81"/>
    <n v="68"/>
    <n v="73"/>
    <n v="7"/>
    <n v="18"/>
    <n v="0"/>
    <n v="11"/>
    <n v="75"/>
    <n v="102"/>
    <s v="Afrobeat"/>
    <s v="13/6/2025"/>
    <s v="https://image-cdn-ak.spotifycdn.com/image/ab67616d00001e0206206895bb91710b0cad3a80"/>
    <b v="0"/>
  </r>
  <r>
    <n v="518"/>
    <s v="spotify:track:2o1pb13quMReXZqE7jWsgq"/>
    <x v="98"/>
    <s v="intro (end of the world)"/>
    <s v="Republic Records"/>
    <n v="25"/>
    <n v="17"/>
    <d v="1899-12-30T01:12:00"/>
    <b v="1"/>
    <n v="51"/>
    <n v="36"/>
    <n v="84"/>
    <n v="4"/>
    <n v="67"/>
    <n v="0"/>
    <n v="18"/>
    <n v="38"/>
    <n v="85"/>
    <s v="Pop"/>
    <d v="2024-03-08T00:00:00"/>
    <s v="https://image-cdn-ak.spotifycdn.com/image/ab67616d00001e028b58d20f1b77295730db15b4"/>
    <b v="0"/>
  </r>
  <r>
    <n v="519"/>
    <s v="spotify:track:2oWFJJW9d1bIra3zHjR6GO"/>
    <x v="433"/>
    <s v="bloodstream"/>
    <s v="Artist House"/>
    <n v="83"/>
    <n v="10"/>
    <s v="03:12:00"/>
    <b v="0"/>
    <n v="58"/>
    <n v="46"/>
    <n v="70"/>
    <n v="5"/>
    <n v="61"/>
    <n v="0"/>
    <n v="11"/>
    <n v="36"/>
    <n v="124"/>
    <s v="Pop"/>
    <s v="7/11/2025"/>
    <s v="https://image-cdn-ak.spotifycdn.com/image/ab67616d00001e029c031feeff1647deb7577309"/>
    <b v="0"/>
  </r>
  <r>
    <n v="520"/>
    <s v="spotify:track:2pbSCYzxrG0wa6qcj8IyiE"/>
    <x v="142"/>
    <s v="Cuando No Era Cantante - Remix"/>
    <s v="El Bogueto"/>
    <n v="30"/>
    <n v="14"/>
    <d v="1899-12-30T03:18:00"/>
    <b v="1"/>
    <n v="85"/>
    <n v="80"/>
    <n v="82"/>
    <n v="12"/>
    <n v="5"/>
    <n v="0"/>
    <n v="13"/>
    <n v="68"/>
    <n v="96"/>
    <s v="Reggaeton"/>
    <d v="2024-12-06T00:00:00"/>
    <s v="https://image-cdn-ak.spotifycdn.com/image/ab67616d00001e0276ca2bb969e79a911090df63"/>
    <b v="0"/>
  </r>
  <r>
    <n v="520"/>
    <s v="spotify:track:2pbSCYzxrG0wa6qcj8IyiE"/>
    <x v="273"/>
    <s v="Cuando No Era Cantante - Remix"/>
    <s v="El Bogueto"/>
    <n v="30"/>
    <n v="14"/>
    <d v="1899-12-30T03:18:00"/>
    <b v="1"/>
    <n v="85"/>
    <n v="80"/>
    <n v="82"/>
    <n v="12"/>
    <n v="5"/>
    <n v="0"/>
    <n v="13"/>
    <n v="68"/>
    <n v="96"/>
    <s v="Reggaeton"/>
    <d v="2024-12-06T00:00:00"/>
    <s v="https://image-cdn-ak.spotifycdn.com/image/ab67616d00001e0276ca2bb969e79a911090df63"/>
    <b v="0"/>
  </r>
  <r>
    <n v="520"/>
    <s v="spotify:track:2pbSCYzxrG0wa6qcj8IyiE"/>
    <x v="256"/>
    <s v="Cuando No Era Cantante - Remix"/>
    <s v="El Bogueto"/>
    <n v="30"/>
    <n v="14"/>
    <d v="1899-12-30T03:18:00"/>
    <b v="1"/>
    <n v="85"/>
    <n v="80"/>
    <n v="82"/>
    <n v="12"/>
    <n v="5"/>
    <n v="0"/>
    <n v="13"/>
    <n v="68"/>
    <n v="96"/>
    <s v="Reggaeton"/>
    <d v="2024-12-06T00:00:00"/>
    <s v="https://image-cdn-ak.spotifycdn.com/image/ab67616d00001e0276ca2bb969e79a911090df63"/>
    <b v="0"/>
  </r>
  <r>
    <n v="520"/>
    <s v="spotify:track:2pbSCYzxrG0wa6qcj8IyiE"/>
    <x v="274"/>
    <s v="Cuando No Era Cantante - Remix"/>
    <s v="El Bogueto"/>
    <n v="30"/>
    <n v="14"/>
    <d v="1899-12-30T03:18:00"/>
    <b v="1"/>
    <n v="85"/>
    <n v="80"/>
    <n v="82"/>
    <n v="12"/>
    <n v="5"/>
    <n v="0"/>
    <n v="13"/>
    <n v="68"/>
    <n v="96"/>
    <s v="Reggaeton"/>
    <d v="2024-12-06T00:00:00"/>
    <s v="https://image-cdn-ak.spotifycdn.com/image/ab67616d00001e0276ca2bb969e79a911090df63"/>
    <b v="0"/>
  </r>
  <r>
    <n v="521"/>
    <s v="spotify:track:2plbrEY59IikOBgBGLjaoe"/>
    <x v="39"/>
    <s v="Die With A Smile"/>
    <s v="Interscope"/>
    <n v="1"/>
    <n v="29"/>
    <d v="1899-12-30T04:11:00"/>
    <b v="0"/>
    <n v="52"/>
    <n v="59"/>
    <n v="87"/>
    <n v="3"/>
    <n v="31"/>
    <n v="0"/>
    <n v="12"/>
    <n v="54"/>
    <n v="158"/>
    <s v="Pop"/>
    <d v="2024-08-16T00:00:00"/>
    <s v="https://image-cdn-ak.spotifycdn.com/image/ab67616d00001e0282ea2e9e1858aa012c57cd45"/>
    <b v="0"/>
  </r>
  <r>
    <n v="521"/>
    <s v="spotify:track:2plbrEY59IikOBgBGLjaoe"/>
    <x v="10"/>
    <s v="Die With A Smile"/>
    <s v="Interscope"/>
    <n v="1"/>
    <n v="29"/>
    <d v="1899-12-30T04:11:00"/>
    <b v="0"/>
    <n v="52"/>
    <n v="59"/>
    <n v="87"/>
    <n v="3"/>
    <n v="31"/>
    <n v="0"/>
    <n v="12"/>
    <n v="54"/>
    <n v="158"/>
    <s v="Pop"/>
    <d v="2024-08-16T00:00:00"/>
    <s v="https://image-cdn-ak.spotifycdn.com/image/ab67616d00001e0282ea2e9e1858aa012c57cd45"/>
    <b v="0"/>
  </r>
  <r>
    <n v="522"/>
    <s v="spotify:track:2pnPe4pJtq7689i5ydzvJJ"/>
    <x v="434"/>
    <s v="Run Rudolph Run"/>
    <s v="Geffen*"/>
    <n v="27"/>
    <n v="29"/>
    <d v="1899-12-30T02:38:00"/>
    <b v="0"/>
    <n v="62"/>
    <n v="62"/>
    <n v="77"/>
    <n v="4"/>
    <n v="40"/>
    <n v="0"/>
    <n v="15"/>
    <n v="78"/>
    <n v="140"/>
    <s v="Christmas"/>
    <d v="1958-11-01T00:00:00"/>
    <s v="https://image-cdn-ak.spotifycdn.com/image/ab67616d00001e0239807cff601735a3dec9e24c"/>
    <b v="1"/>
  </r>
  <r>
    <n v="523"/>
    <s v="spotify:track:2pwED7E7gGr3UR7T3s3LSM"/>
    <x v="435"/>
    <s v="Papaoutai - Afro Soul"/>
    <s v="Unjaps AB"/>
    <n v="64"/>
    <n v="4"/>
    <s v="02:55:00"/>
    <b v="0"/>
    <n v="81"/>
    <n v="66"/>
    <n v="73"/>
    <n v="7"/>
    <n v="24"/>
    <n v="0"/>
    <n v="12"/>
    <n v="70"/>
    <n v="114"/>
    <s v="Afro House"/>
    <s v="23/1/2026"/>
    <s v="https://image-cdn-fa.spotifycdn.com/image/ab67616d00001e0290fa9bde9e533701feaf1dc6"/>
    <b v="0"/>
  </r>
  <r>
    <n v="523"/>
    <s v="spotify:track:2pwED7E7gGr3UR7T3s3LSM"/>
    <x v="436"/>
    <s v="Papaoutai - Afro Soul"/>
    <s v="Unjaps AB"/>
    <n v="64"/>
    <n v="4"/>
    <s v="02:55:00"/>
    <b v="0"/>
    <n v="81"/>
    <n v="66"/>
    <n v="73"/>
    <n v="7"/>
    <n v="24"/>
    <n v="0"/>
    <n v="12"/>
    <n v="70"/>
    <n v="114"/>
    <s v="Afro House"/>
    <s v="23/1/2026"/>
    <s v="https://image-cdn-fa.spotifycdn.com/image/ab67616d00001e0290fa9bde9e533701feaf1dc6"/>
    <b v="0"/>
  </r>
  <r>
    <n v="523"/>
    <s v="spotify:track:2pwED7E7gGr3UR7T3s3LSM"/>
    <x v="437"/>
    <s v="Papaoutai - Afro Soul"/>
    <s v="Unjaps AB"/>
    <n v="64"/>
    <n v="4"/>
    <s v="02:55:00"/>
    <b v="0"/>
    <n v="81"/>
    <n v="66"/>
    <n v="73"/>
    <n v="7"/>
    <n v="24"/>
    <n v="0"/>
    <n v="12"/>
    <n v="70"/>
    <n v="114"/>
    <s v="Afro House"/>
    <s v="23/1/2026"/>
    <s v="https://image-cdn-fa.spotifycdn.com/image/ab67616d00001e0290fa9bde9e533701feaf1dc6"/>
    <b v="0"/>
  </r>
  <r>
    <n v="525"/>
    <s v="spotify:track:2qfAnCOsLPFs8zOQc2pNKI"/>
    <x v="438"/>
    <s v="Pilé"/>
    <s v="Nojoke Record"/>
    <n v="180"/>
    <n v="5"/>
    <s v="03:05:00"/>
    <b v="1"/>
    <n v="75"/>
    <n v="60"/>
    <n v="71"/>
    <n v="9"/>
    <n v="31"/>
    <n v="0"/>
    <n v="15"/>
    <n v="63"/>
    <n v="122"/>
    <s v="French Rap"/>
    <s v="23/1/2026"/>
    <s v="https://image-cdn-ak.spotifycdn.com/image/ab67616d00001e028ee092eb7a383ab57bd51dee"/>
    <b v="0"/>
  </r>
  <r>
    <n v="526"/>
    <s v="spotify:track:2qo9LSOvqq5yFxETD8XMaj"/>
    <x v="31"/>
    <s v="CORAZÓN PARTÍO"/>
    <s v="Double P Records"/>
    <n v="85"/>
    <n v="2"/>
    <s v="02:48:00"/>
    <b v="1"/>
    <n v="74"/>
    <n v="70"/>
    <n v="73"/>
    <n v="6"/>
    <n v="25"/>
    <n v="0"/>
    <n v="15"/>
    <n v="85"/>
    <n v="142"/>
    <s v="Regional Mexicano"/>
    <s v="30/5/2025"/>
    <s v="https://image-cdn-ak.spotifycdn.com/image/ab67616d00001e02b6e63ecab0d5efdf6b8dbb15"/>
    <b v="0"/>
  </r>
  <r>
    <n v="527"/>
    <s v="spotify:track:2qqylaMQ54zfveakMkDULI"/>
    <x v="2"/>
    <s v="DADZ LOVE"/>
    <s v="JRC Entertainment, LLC / ILH Production Co. LLC / Def Jam Recordings"/>
    <n v="189"/>
    <n v="1"/>
    <s v="03:18:00"/>
    <b v="1"/>
    <n v="75"/>
    <n v="58"/>
    <n v="72"/>
    <n v="18"/>
    <n v="26"/>
    <n v="0"/>
    <n v="16"/>
    <n v="53"/>
    <n v="126"/>
    <s v="Hip-Hop/Rap"/>
    <s v="12/9/2025"/>
    <s v="https://image-cdn-ak.spotifycdn.com/image/ab67616d00001e02d65c4773bc5061fd27facc5b"/>
    <b v="0"/>
  </r>
  <r>
    <n v="527"/>
    <s v="spotify:track:2qqylaMQ54zfveakMkDULI"/>
    <x v="439"/>
    <s v="DADZ LOVE"/>
    <s v="JRC Entertainment, LLC / ILH Production Co. LLC / Def Jam Recordings"/>
    <n v="189"/>
    <n v="1"/>
    <s v="03:18:00"/>
    <b v="1"/>
    <n v="75"/>
    <n v="58"/>
    <n v="72"/>
    <n v="18"/>
    <n v="26"/>
    <n v="0"/>
    <n v="16"/>
    <n v="53"/>
    <n v="126"/>
    <s v="Hip-Hop/Rap"/>
    <s v="12/9/2025"/>
    <s v="https://image-cdn-ak.spotifycdn.com/image/ab67616d00001e02d65c4773bc5061fd27facc5b"/>
    <b v="0"/>
  </r>
  <r>
    <n v="528"/>
    <s v="spotify:track:2rKkfc4VZ74FQDc1FF1Zo6"/>
    <x v="69"/>
    <s v="Body to Body"/>
    <s v="BIGHIT MUSIC"/>
    <n v="2"/>
    <n v="21"/>
    <s v="03:18:00"/>
    <b v="0"/>
    <n v="78"/>
    <n v="64"/>
    <n v="72"/>
    <n v="6"/>
    <n v="23"/>
    <n v="0"/>
    <n v="10"/>
    <n v="71"/>
    <n v="112"/>
    <s v="K-Pop"/>
    <s v="20/3/2026"/>
    <s v="https://image-cdn-fa.spotifycdn.com/image/ab67616d00001e02dfa17fad7f190c901603270e"/>
    <b v="0"/>
  </r>
  <r>
    <n v="529"/>
    <s v="spotify:track:2rvd6akG8qEtBNUvQpN7iY"/>
    <x v="10"/>
    <s v="How Bad Do U Want Me"/>
    <s v="Interscope Records"/>
    <n v="72"/>
    <n v="2"/>
    <d v="1899-12-30T03:05:00"/>
    <b v="1"/>
    <n v="51"/>
    <n v="73"/>
    <n v="93"/>
    <n v="7"/>
    <n v="0"/>
    <n v="0"/>
    <n v="9"/>
    <n v="44"/>
    <n v="188"/>
    <s v="Pop"/>
    <d v="2025-03-07T00:00:00"/>
    <s v="https://image-cdn-ak.spotifycdn.com/image/ab67616d00001e02b0860cf0a98e09663c82290c"/>
    <b v="0"/>
  </r>
  <r>
    <n v="530"/>
    <s v="spotify:track:2tHwzyyOLoWSFqYNjeVMzj"/>
    <x v="124"/>
    <s v="Please Please Please"/>
    <s v="Island Records"/>
    <n v="1"/>
    <n v="73"/>
    <d v="1899-12-30T03:05:00"/>
    <b v="1"/>
    <n v="68"/>
    <n v="59"/>
    <n v="90"/>
    <n v="5"/>
    <n v="26"/>
    <n v="0"/>
    <n v="10"/>
    <n v="62"/>
    <n v="107"/>
    <s v="Pop"/>
    <d v="2024-06-06T00:00:00"/>
    <s v="https://image-cdn-ak.spotifycdn.com/image/ab67616d00001e02fd8d7a8d96871e791cb1f626"/>
    <b v="0"/>
  </r>
  <r>
    <n v="531"/>
    <s v="spotify:track:2tpWsVSb9UEmDRxAl1zhX1"/>
    <x v="440"/>
    <s v="Counting Stars"/>
    <s v="Mosley / Interscope"/>
    <n v="86"/>
    <n v="283"/>
    <d v="1899-12-30T04:17:00"/>
    <b v="0"/>
    <n v="66"/>
    <n v="71"/>
    <n v="92"/>
    <n v="4"/>
    <n v="7"/>
    <n v="0"/>
    <n v="12"/>
    <n v="47"/>
    <n v="122"/>
    <s v="Pop Rock"/>
    <d v="2013-03-31T00:00:00"/>
    <s v="https://image-cdn-ak.spotifycdn.com/image/ab67616d00001e029e2f95ae77cf436017ada9cb"/>
    <b v="0"/>
  </r>
  <r>
    <n v="532"/>
    <s v="spotify:track:2tudvzsrR56uom6smgOcSf"/>
    <x v="329"/>
    <s v="Like That"/>
    <s v="Wilburn Holding Co./Boominati/Epic/Republic"/>
    <n v="4"/>
    <n v="32"/>
    <d v="1899-12-30T04:27:00"/>
    <b v="1"/>
    <n v="81"/>
    <n v="68"/>
    <n v="92"/>
    <n v="23"/>
    <n v="1"/>
    <n v="0"/>
    <n v="12"/>
    <n v="31"/>
    <n v="162"/>
    <s v="Hip-Hop/Rap"/>
    <d v="2024-03-22T00:00:00"/>
    <s v="https://image-cdn-fa.spotifycdn.com/image/ab67616d00001e02cec3fc072352b5f4f637d9fa"/>
    <b v="0"/>
  </r>
  <r>
    <n v="532"/>
    <s v="spotify:track:2tudvzsrR56uom6smgOcSf"/>
    <x v="121"/>
    <s v="Like That"/>
    <s v="Wilburn Holding Co./Boominati/Epic/Republic"/>
    <n v="4"/>
    <n v="32"/>
    <d v="1899-12-30T04:27:00"/>
    <b v="1"/>
    <n v="81"/>
    <n v="68"/>
    <n v="92"/>
    <n v="23"/>
    <n v="1"/>
    <n v="0"/>
    <n v="12"/>
    <n v="31"/>
    <n v="162"/>
    <s v="Hip-Hop/Rap"/>
    <d v="2024-03-22T00:00:00"/>
    <s v="https://image-cdn-fa.spotifycdn.com/image/ab67616d00001e02cec3fc072352b5f4f637d9fa"/>
    <b v="0"/>
  </r>
  <r>
    <n v="532"/>
    <s v="spotify:track:2tudvzsrR56uom6smgOcSf"/>
    <x v="441"/>
    <s v="Like That"/>
    <s v="Wilburn Holding Co./Boominati/Epic/Republic"/>
    <n v="4"/>
    <n v="32"/>
    <d v="1899-12-30T04:27:00"/>
    <b v="1"/>
    <n v="81"/>
    <n v="68"/>
    <n v="92"/>
    <n v="23"/>
    <n v="1"/>
    <n v="0"/>
    <n v="12"/>
    <n v="31"/>
    <n v="162"/>
    <s v="Hip-Hop/Rap"/>
    <d v="2024-03-22T00:00:00"/>
    <s v="https://image-cdn-fa.spotifycdn.com/image/ab67616d00001e02cec3fc072352b5f4f637d9fa"/>
    <b v="0"/>
  </r>
  <r>
    <n v="533"/>
    <s v="spotify:track:2u9S9JJ6hTZS3Vf22HOZKg"/>
    <x v="53"/>
    <s v="NOKIA"/>
    <s v="OVO Sound"/>
    <n v="18"/>
    <n v="28"/>
    <s v="03:18:00"/>
    <b v="1"/>
    <n v="83"/>
    <n v="62"/>
    <n v="73"/>
    <n v="28"/>
    <n v="16"/>
    <n v="0"/>
    <n v="11"/>
    <n v="51"/>
    <n v="138"/>
    <s v="Hip-Hop/Rap"/>
    <s v="20/6/2025"/>
    <s v="https://image-cdn-fa.spotifycdn.com/image/ab67616d00001e02b5a28a256eae6dc0424fef59"/>
    <b v="0"/>
  </r>
  <r>
    <n v="534"/>
    <s v="spotify:track:2uFaJJtFpPDc5Pa95XzTvg"/>
    <x v="376"/>
    <s v="Let It Snow! Let It Snow! Let It Snow!"/>
    <s v="Capitol Records"/>
    <n v="6"/>
    <n v="44"/>
    <d v="1899-12-30T01:55:00"/>
    <b v="0"/>
    <n v="55"/>
    <n v="50"/>
    <n v="72"/>
    <n v="4"/>
    <n v="55"/>
    <n v="0"/>
    <n v="15"/>
    <n v="78"/>
    <n v="120"/>
    <s v="Christmas"/>
    <d v="1959-11-01T00:00:00"/>
    <s v="https://image-cdn-ak.spotifycdn.com/image/ab67616d00001e026d88028a85c771f37374c8ea"/>
    <b v="1"/>
  </r>
  <r>
    <n v="535"/>
    <s v="spotify:track:2uIX8YMNjGMD7441kqyyNU"/>
    <x v="65"/>
    <s v="ocean eyes"/>
    <s v="Darkroom"/>
    <n v="87"/>
    <n v="94"/>
    <d v="1899-12-30T03:20:00"/>
    <b v="0"/>
    <n v="51"/>
    <n v="36"/>
    <n v="87"/>
    <n v="4"/>
    <n v="82"/>
    <n v="3"/>
    <n v="8"/>
    <n v="17"/>
    <n v="145"/>
    <s v="Indie Pop"/>
    <d v="2016-11-18T00:00:00"/>
    <s v="https://image-cdn-ak.spotifycdn.com/image/ab67616d00001e022cafcdd985630d72594ecc49"/>
    <b v="0"/>
  </r>
  <r>
    <n v="536"/>
    <s v="spotify:track:2uP6t2J5MEwhr9rDkAAzwh"/>
    <x v="258"/>
    <s v="Get You (feat. Kali Uchis)"/>
    <s v="HV Recordings"/>
    <n v="198"/>
    <n v="2"/>
    <d v="1899-12-30T04:20:00"/>
    <b v="0"/>
    <n v="66"/>
    <n v="30"/>
    <n v="86"/>
    <n v="3"/>
    <n v="43"/>
    <n v="0"/>
    <n v="7"/>
    <n v="36"/>
    <n v="74"/>
    <s v="R&amp;B"/>
    <d v="2016-09-13T00:00:00"/>
    <s v="https://image-cdn-fa.spotifycdn.com/image/ab67616d00001e027aa8783ad8def37cc548a9cf"/>
    <b v="0"/>
  </r>
  <r>
    <n v="536"/>
    <s v="spotify:track:2uP6t2J5MEwhr9rDkAAzwh"/>
    <x v="442"/>
    <s v="Get You (feat. Kali Uchis)"/>
    <s v="HV Recordings"/>
    <n v="198"/>
    <n v="2"/>
    <d v="1899-12-30T04:20:00"/>
    <b v="0"/>
    <n v="66"/>
    <n v="30"/>
    <n v="86"/>
    <n v="3"/>
    <n v="43"/>
    <n v="0"/>
    <n v="7"/>
    <n v="36"/>
    <n v="74"/>
    <s v="R&amp;B"/>
    <d v="2016-09-13T00:00:00"/>
    <s v="https://image-cdn-fa.spotifycdn.com/image/ab67616d00001e027aa8783ad8def37cc548a9cf"/>
    <b v="0"/>
  </r>
  <r>
    <n v="537"/>
    <s v="spotify:track:2uPMsTEKx79gJ8rB3AcT0v"/>
    <x v="443"/>
    <s v="Daddy Yankee: Bzrp Music Sessions, Vol. 0/66"/>
    <s v="DALE PLAY Records"/>
    <n v="12"/>
    <n v="4"/>
    <d v="1899-12-30T03:18:00"/>
    <b v="1"/>
    <n v="85"/>
    <n v="80"/>
    <n v="82"/>
    <n v="14"/>
    <n v="5"/>
    <n v="0"/>
    <n v="13"/>
    <n v="68"/>
    <n v="96"/>
    <s v="Reggaeton"/>
    <d v="2024-11-15T00:00:00"/>
    <s v="https://image-cdn-fa.spotifycdn.com/image/ab67616d00001e02256e4fd17616bfe624911861"/>
    <b v="0"/>
  </r>
  <r>
    <n v="537"/>
    <s v="spotify:track:2uPMsTEKx79gJ8rB3AcT0v"/>
    <x v="444"/>
    <s v="Daddy Yankee: Bzrp Music Sessions, Vol. 0/66"/>
    <s v="DALE PLAY Records"/>
    <n v="12"/>
    <n v="4"/>
    <d v="1899-12-30T03:18:00"/>
    <b v="1"/>
    <n v="85"/>
    <n v="80"/>
    <n v="82"/>
    <n v="14"/>
    <n v="5"/>
    <n v="0"/>
    <n v="13"/>
    <n v="68"/>
    <n v="96"/>
    <s v="Reggaeton"/>
    <d v="2024-11-15T00:00:00"/>
    <s v="https://image-cdn-fa.spotifycdn.com/image/ab67616d00001e02256e4fd17616bfe624911861"/>
    <b v="0"/>
  </r>
  <r>
    <n v="538"/>
    <s v="spotify:track:2uXlHCUbq9OMUwx3hrk06o"/>
    <x v="445"/>
    <s v="Riptide"/>
    <s v="Atlantic Records"/>
    <n v="30"/>
    <n v="294"/>
    <d v="1899-12-30T03:24:00"/>
    <b v="0"/>
    <n v="48"/>
    <n v="73"/>
    <n v="89"/>
    <n v="4"/>
    <n v="44"/>
    <n v="0"/>
    <n v="15"/>
    <n v="48"/>
    <n v="102"/>
    <s v="Indie Pop"/>
    <d v="2013-05-27T00:00:00"/>
    <s v="https://image-cdn-fa.spotifycdn.com/image/ab67616d00001e0205d081cbdc2f67d37a364d63"/>
    <b v="0"/>
  </r>
  <r>
    <n v="539"/>
    <s v="spotify:track:2uqYupMHANxnwgeiXTZXzd"/>
    <x v="446"/>
    <s v="Austin (Boots Stop Workin')"/>
    <s v="Warner Records"/>
    <n v="20"/>
    <n v="42"/>
    <d v="1899-12-30T02:50:00"/>
    <b v="1"/>
    <n v="76"/>
    <n v="67"/>
    <n v="89"/>
    <n v="5"/>
    <n v="46"/>
    <n v="0"/>
    <n v="11"/>
    <n v="74"/>
    <n v="115"/>
    <s v="Country"/>
    <d v="2023-11-17T00:00:00"/>
    <s v="https://image-cdn-ak.spotifycdn.com/image/ab67616d00001e0282a775a7ac58fcd10ca9c514"/>
    <b v="0"/>
  </r>
  <r>
    <n v="540"/>
    <s v="spotify:track:2uvE4L5ZsYKpv8hbK4TIOt"/>
    <x v="447"/>
    <s v="MUTT"/>
    <s v="EZMNY Records/Motown Records"/>
    <n v="121"/>
    <n v="5"/>
    <d v="1899-12-30T03:18:00"/>
    <b v="1"/>
    <n v="57"/>
    <n v="46"/>
    <n v="87"/>
    <n v="13"/>
    <n v="22"/>
    <n v="0"/>
    <n v="7"/>
    <n v="60"/>
    <n v="180"/>
    <s v="R&amp;B"/>
    <d v="2024-09-27T00:00:00"/>
    <s v="https://image-cdn-ak.spotifycdn.com/image/ab67616d00001e027fc4fb3453f841652d2e4814"/>
    <b v="0"/>
  </r>
  <r>
    <n v="541"/>
    <s v="spotify:track:2v0AG62ZHtD3I4YmTb3WYM"/>
    <x v="55"/>
    <s v="Niagara Falls"/>
    <s v="XO / Republic Records"/>
    <n v="102"/>
    <n v="1"/>
    <d v="1899-12-30T04:36:00"/>
    <b v="1"/>
    <n v="57"/>
    <n v="56"/>
    <n v="89"/>
    <n v="3"/>
    <n v="7"/>
    <n v="0"/>
    <n v="19"/>
    <n v="18"/>
    <n v="97"/>
    <s v="R&amp;B"/>
    <d v="2025-01-31T00:00:00"/>
    <s v="https://image-cdn-ak.spotifycdn.com/image/ab67616d00001e02de79f330bc297af3fae736da"/>
    <b v="0"/>
  </r>
  <r>
    <n v="542"/>
    <s v="spotify:track:2wAmparvQdtQemzY9I8PKv"/>
    <x v="448"/>
    <s v="Y Que Fue?"/>
    <s v="EMDP Music"/>
    <n v="70"/>
    <n v="3"/>
    <d v="1899-12-30T03:18:00"/>
    <b v="0"/>
    <n v="89"/>
    <n v="65"/>
    <n v="89"/>
    <n v="6"/>
    <n v="5"/>
    <n v="2"/>
    <n v="10"/>
    <n v="87"/>
    <n v="133"/>
    <s v="Dembow"/>
    <d v="2004-05-11T00:00:00"/>
    <s v="https://image-cdn-fa.spotifycdn.com/image/ab67616d00001e027f26c0802b29e8d3c4bbc163"/>
    <b v="0"/>
  </r>
  <r>
    <n v="544"/>
    <s v="spotify:track:2x3mwb96B6TquRqMtbxUE1"/>
    <x v="19"/>
    <s v="Actually Romantic"/>
    <s v="Taylor Swift"/>
    <n v="6"/>
    <n v="6"/>
    <s v="03:18:00"/>
    <b v="0"/>
    <n v="59"/>
    <n v="40"/>
    <n v="69"/>
    <n v="4"/>
    <n v="70"/>
    <n v="0"/>
    <n v="11"/>
    <n v="31"/>
    <n v="86"/>
    <s v="Pop"/>
    <s v="3/10/2025"/>
    <s v="https://image-cdn-ak.spotifycdn.com/image/ab67616d00001e02d7812467811a7da6e6a44902"/>
    <b v="0"/>
  </r>
  <r>
    <n v="545"/>
    <s v="spotify:track:2xGO2UjzxeVQSIkyg98vck"/>
    <x v="449"/>
    <s v="Thank God It's Christmas"/>
    <s v="Columbia"/>
    <n v="48"/>
    <n v="15"/>
    <d v="1899-12-30T04:19:00"/>
    <b v="0"/>
    <n v="58"/>
    <n v="60"/>
    <n v="76"/>
    <n v="4"/>
    <n v="30"/>
    <n v="0"/>
    <n v="14"/>
    <n v="72"/>
    <n v="130"/>
    <s v="Christmas"/>
    <d v="1984-11-26T00:00:00"/>
    <s v="https://image-cdn-fa.spotifycdn.com/image/ab67616d00001e02d1e7c0e1bf0980298428a1ae"/>
    <b v="1"/>
  </r>
  <r>
    <n v="546"/>
    <s v="spotify:track:2xql0pid3EUwW38AsywxhV"/>
    <x v="127"/>
    <s v="Reflections"/>
    <s v="Columbia"/>
    <n v="93"/>
    <n v="8"/>
    <d v="1899-12-30T04:02:00"/>
    <b v="0"/>
    <n v="65"/>
    <n v="59"/>
    <n v="88"/>
    <n v="3"/>
    <n v="11"/>
    <n v="5"/>
    <n v="12"/>
    <n v="54"/>
    <n v="114"/>
    <s v="Indie Pop"/>
    <d v="2015-10-30T00:00:00"/>
    <s v="https://image-cdn-ak.spotifycdn.com/image/ab67616d00001e029b6ac98a52f62d5cb473da40"/>
    <b v="0"/>
  </r>
  <r>
    <n v="547"/>
    <s v="spotify:track:2xsTsnA5QOFCnFXdEHGkli"/>
    <x v="206"/>
    <s v="STAY HERE 4 LIFE (feat. Brent Faiyaz)"/>
    <s v="A$AP Worldwide/RCA Records"/>
    <n v="65"/>
    <n v="2"/>
    <s v="03:05:00"/>
    <b v="1"/>
    <n v="71"/>
    <n v="55"/>
    <n v="71"/>
    <n v="15"/>
    <n v="38"/>
    <n v="0"/>
    <n v="10"/>
    <n v="48"/>
    <n v="96"/>
    <s v="Hip-Hop/Rap"/>
    <s v="27/6/2025"/>
    <s v="https://image-cdn-ak.spotifycdn.com/image/ab67616d00001e02be35d523672e13da3debc413"/>
    <b v="0"/>
  </r>
  <r>
    <n v="547"/>
    <s v="spotify:track:2xsTsnA5QOFCnFXdEHGkli"/>
    <x v="450"/>
    <s v="STAY HERE 4 LIFE (feat. Brent Faiyaz)"/>
    <s v="A$AP Worldwide/RCA Records"/>
    <n v="65"/>
    <n v="2"/>
    <s v="03:05:00"/>
    <b v="1"/>
    <n v="71"/>
    <n v="55"/>
    <n v="71"/>
    <n v="15"/>
    <n v="38"/>
    <n v="0"/>
    <n v="10"/>
    <n v="48"/>
    <n v="96"/>
    <s v="Hip-Hop/Rap"/>
    <s v="27/6/2025"/>
    <s v="https://image-cdn-ak.spotifycdn.com/image/ab67616d00001e02be35d523672e13da3debc413"/>
    <b v="0"/>
  </r>
  <r>
    <n v="548"/>
    <s v="spotify:track:2y42xAsl6dfMeVXQgOYsUw"/>
    <x v="451"/>
    <s v="Wicked Game"/>
    <s v="Chris Isaak"/>
    <n v="165"/>
    <n v="2"/>
    <d v="1899-12-30T04:46:00"/>
    <b v="0"/>
    <n v="66"/>
    <n v="30"/>
    <n v="70"/>
    <n v="3"/>
    <n v="68"/>
    <n v="1"/>
    <n v="9"/>
    <n v="36"/>
    <n v="112"/>
    <s v="Pop Rock"/>
    <d v="1989-07-01T00:00:00"/>
    <s v="https://image-cdn-fa.spotifycdn.com/image/ab67616d00001e02ad0e25c1c366d63bcbae4073"/>
    <b v="0"/>
  </r>
  <r>
    <n v="549"/>
    <s v="spotify:track:2y8mkajKikV5S1PRCMQ5WL"/>
    <x v="452"/>
    <s v="KALYANI (with Shreya Ghoshal) - Remix"/>
    <s v="Universal Music India Pvt Ltd."/>
    <n v="194"/>
    <n v="1"/>
    <s v="03:18:00"/>
    <b v="0"/>
    <n v="73"/>
    <n v="70"/>
    <n v="73"/>
    <n v="6"/>
    <n v="26"/>
    <n v="0"/>
    <n v="11"/>
    <n v="58"/>
    <n v="126"/>
    <s v="Bollywood"/>
    <s v="23/1/2026"/>
    <s v="https://image-cdn-ak.spotifycdn.com/image/ab67616d00001e029aa819fdf84c78fc1976391d"/>
    <b v="0"/>
  </r>
  <r>
    <n v="549"/>
    <s v="spotify:track:2y8mkajKikV5S1PRCMQ5WL"/>
    <x v="453"/>
    <s v="KALYANI (with Shreya Ghoshal) - Remix"/>
    <s v="Universal Music India Pvt Ltd."/>
    <n v="194"/>
    <n v="1"/>
    <s v="03:18:00"/>
    <b v="0"/>
    <n v="73"/>
    <n v="70"/>
    <n v="73"/>
    <n v="6"/>
    <n v="26"/>
    <n v="0"/>
    <n v="11"/>
    <n v="58"/>
    <n v="126"/>
    <s v="Bollywood"/>
    <s v="23/1/2026"/>
    <s v="https://image-cdn-ak.spotifycdn.com/image/ab67616d00001e029aa819fdf84c78fc1976391d"/>
    <b v="0"/>
  </r>
  <r>
    <n v="549"/>
    <s v="spotify:track:2y8mkajKikV5S1PRCMQ5WL"/>
    <x v="454"/>
    <s v="KALYANI (with Shreya Ghoshal) - Remix"/>
    <s v="Universal Music India Pvt Ltd."/>
    <n v="194"/>
    <n v="1"/>
    <s v="03:18:00"/>
    <b v="0"/>
    <n v="73"/>
    <n v="70"/>
    <n v="73"/>
    <n v="6"/>
    <n v="26"/>
    <n v="0"/>
    <n v="11"/>
    <n v="58"/>
    <n v="126"/>
    <s v="Bollywood"/>
    <s v="23/1/2026"/>
    <s v="https://image-cdn-ak.spotifycdn.com/image/ab67616d00001e029aa819fdf84c78fc1976391d"/>
    <b v="0"/>
  </r>
  <r>
    <n v="549"/>
    <s v="spotify:track:2y8mkajKikV5S1PRCMQ5WL"/>
    <x v="316"/>
    <s v="KALYANI (with Shreya Ghoshal) - Remix"/>
    <s v="Universal Music India Pvt Ltd."/>
    <n v="194"/>
    <n v="1"/>
    <s v="03:18:00"/>
    <b v="0"/>
    <n v="73"/>
    <n v="70"/>
    <n v="73"/>
    <n v="6"/>
    <n v="26"/>
    <n v="0"/>
    <n v="11"/>
    <n v="58"/>
    <n v="126"/>
    <s v="Bollywood"/>
    <s v="23/1/2026"/>
    <s v="https://image-cdn-ak.spotifycdn.com/image/ab67616d00001e029aa819fdf84c78fc1976391d"/>
    <b v="0"/>
  </r>
  <r>
    <n v="550"/>
    <s v="spotify:track:2yPoXCs7BSIUrucMdK5PzV"/>
    <x v="425"/>
    <s v="Umbrella"/>
    <s v="Def Jam Recordings"/>
    <n v="59"/>
    <n v="21"/>
    <d v="1899-12-30T04:36:00"/>
    <b v="0"/>
    <n v="58"/>
    <n v="83"/>
    <n v="92"/>
    <n v="12"/>
    <n v="1"/>
    <n v="0"/>
    <n v="4"/>
    <n v="58"/>
    <n v="174"/>
    <s v="R&amp;B"/>
    <d v="2007-03-29T00:00:00"/>
    <s v="https://image-cdn-ak.spotifycdn.com/image/ab67616d00001e02b9ff0a5f40d3406aed5e5e3b"/>
    <b v="0"/>
  </r>
  <r>
    <n v="550"/>
    <s v="spotify:track:2yPoXCs7BSIUrucMdK5PzV"/>
    <x v="110"/>
    <s v="Umbrella"/>
    <s v="Def Jam Recordings"/>
    <n v="59"/>
    <n v="21"/>
    <d v="1899-12-30T04:36:00"/>
    <b v="0"/>
    <n v="58"/>
    <n v="83"/>
    <n v="92"/>
    <n v="12"/>
    <n v="1"/>
    <n v="0"/>
    <n v="4"/>
    <n v="58"/>
    <n v="174"/>
    <s v="R&amp;B"/>
    <d v="2007-03-29T00:00:00"/>
    <s v="https://image-cdn-ak.spotifycdn.com/image/ab67616d00001e02b9ff0a5f40d3406aed5e5e3b"/>
    <b v="0"/>
  </r>
  <r>
    <n v="551"/>
    <s v="spotify:track:2yWlGEgEfPot0lv3OAjuG3"/>
    <x v="8"/>
    <s v="Just Keep Watching (From F1® The Movie)"/>
    <s v="Atlantic Records"/>
    <n v="10"/>
    <n v="42"/>
    <s v="02:48:00"/>
    <b v="0"/>
    <n v="73"/>
    <n v="68"/>
    <n v="73"/>
    <n v="5"/>
    <n v="21"/>
    <n v="0"/>
    <n v="13"/>
    <n v="56"/>
    <n v="120"/>
    <s v="Pop"/>
    <s v="27/6/2025"/>
    <s v="https://image-cdn-ak.spotifycdn.com/image/ab67616d00001e02a23d1b3449fb415346735a08"/>
    <b v="0"/>
  </r>
  <r>
    <n v="551"/>
    <s v="spotify:track:2yWlGEgEfPot0lv3OAjuG3"/>
    <x v="23"/>
    <s v="Just Keep Watching (From F1® The Movie)"/>
    <s v="Atlantic Records"/>
    <n v="10"/>
    <n v="42"/>
    <s v="02:48:00"/>
    <b v="0"/>
    <n v="73"/>
    <n v="68"/>
    <n v="73"/>
    <n v="5"/>
    <n v="21"/>
    <n v="0"/>
    <n v="13"/>
    <n v="56"/>
    <n v="120"/>
    <s v="Pop"/>
    <s v="27/6/2025"/>
    <s v="https://image-cdn-ak.spotifycdn.com/image/ab67616d00001e02a23d1b3449fb415346735a08"/>
    <b v="0"/>
  </r>
  <r>
    <n v="552"/>
    <s v="spotify:track:2ydagYqcyFfRtQPzKc5E8l"/>
    <x v="1"/>
    <s v="I SEEEEEE YOU BABY BOI"/>
    <s v="AWGE/Interscope Records"/>
    <n v="74"/>
    <n v="1"/>
    <d v="1899-12-30T02:48:00"/>
    <b v="1"/>
    <n v="55"/>
    <n v="92"/>
    <n v="93"/>
    <n v="4"/>
    <n v="1"/>
    <n v="0"/>
    <n v="29"/>
    <n v="10"/>
    <n v="145"/>
    <s v="Hip-Hop/Rap"/>
    <d v="2025-03-14T00:00:00"/>
    <s v="https://image-cdn-ak.spotifycdn.com/image/ab67616d00001e026b219c8d8462bfe254a20469"/>
    <b v="0"/>
  </r>
  <r>
    <n v="553"/>
    <s v="spotify:track:2zOmS55knKWSgScYPTNmGQ"/>
    <x v="23"/>
    <s v="Sports car"/>
    <s v="RCA Records Label"/>
    <n v="24"/>
    <n v="4"/>
    <d v="1899-12-30T02:48:00"/>
    <b v="0"/>
    <n v="86"/>
    <n v="80"/>
    <n v="94"/>
    <n v="3"/>
    <n v="5"/>
    <n v="0"/>
    <n v="9"/>
    <n v="87"/>
    <n v="107"/>
    <s v="Pop"/>
    <d v="2025-02-21T00:00:00"/>
    <s v="https://image-cdn-ak.spotifycdn.com/image/ab67616d00001e0232d23acd5a1286a3e8473215"/>
    <b v="0"/>
  </r>
  <r>
    <n v="554"/>
    <s v="spotify:track:2zYzyRzz6pRmhPzyfMEC8s"/>
    <x v="455"/>
    <s v="Highway to Hell"/>
    <s v="Columbia"/>
    <n v="149"/>
    <n v="24"/>
    <d v="1899-12-30T03:28:00"/>
    <b v="0"/>
    <n v="57"/>
    <n v="91"/>
    <n v="92"/>
    <n v="13"/>
    <n v="6"/>
    <n v="0"/>
    <n v="16"/>
    <n v="42"/>
    <n v="116"/>
    <s v="Hard Rock"/>
    <d v="1979-07-27T00:00:00"/>
    <s v="https://image-cdn-ak.spotifycdn.com/image/ab67616d00001e0243058ea096fa35ac33c43587"/>
    <b v="0"/>
  </r>
  <r>
    <n v="555"/>
    <s v="spotify:track:2zbq6eS68i4NIJWekIuW1s"/>
    <x v="456"/>
    <s v="Marilag"/>
    <s v="Universal Music Philippines Inc."/>
    <n v="153"/>
    <n v="5"/>
    <d v="1899-12-30T03:48:00"/>
    <b v="0"/>
    <n v="64"/>
    <n v="58"/>
    <n v="84"/>
    <n v="21"/>
    <n v="47"/>
    <n v="0"/>
    <n v="10"/>
    <n v="91"/>
    <n v="156"/>
    <s v="Indie Pop"/>
    <d v="2024-11-22T00:00:00"/>
    <s v="https://image-cdn-fa.spotifycdn.com/image/ab67616d00001e024fac68d7fc631af679325118"/>
    <b v="0"/>
  </r>
  <r>
    <n v="556"/>
    <s v="spotify:track:312z6PZ8wwREck8613PkJk"/>
    <x v="77"/>
    <s v="A Couple Minutes"/>
    <s v="PLG - Capitol"/>
    <n v="76"/>
    <n v="20"/>
    <d v="1899-12-30T03:05:00"/>
    <b v="0"/>
    <n v="62"/>
    <n v="65"/>
    <n v="76"/>
    <n v="5"/>
    <n v="35"/>
    <n v="0"/>
    <n v="10"/>
    <n v="52"/>
    <n v="95"/>
    <s v="Pop"/>
    <d v="2024-10-18T00:00:00"/>
    <s v="https://image-cdn-ak.spotifycdn.com/image/ab67616d00001e029a336bfb6d40bbd90a507417"/>
    <b v="0"/>
  </r>
  <r>
    <n v="557"/>
    <s v="spotify:track:315aBOUD3xtj7sUMXtRgMV"/>
    <x v="200"/>
    <s v="In The Stars"/>
    <s v="Night Street Records, Inc./Warner Records Inc."/>
    <n v="54"/>
    <n v="31"/>
    <d v="1899-12-30T03:18:00"/>
    <b v="0"/>
    <n v="36"/>
    <n v="54"/>
    <n v="90"/>
    <n v="5"/>
    <n v="34"/>
    <n v="0"/>
    <n v="14"/>
    <n v="30"/>
    <n v="78"/>
    <s v="Pop"/>
    <d v="2022-11-04T00:00:00"/>
    <s v="https://image-cdn-ak.spotifycdn.com/image/ab67616d00001e02831949037a1db10b87b005fa"/>
    <b v="0"/>
  </r>
  <r>
    <n v="558"/>
    <s v="spotify:track:31IKMjvv6Oskp4hjGVeYsT"/>
    <x v="413"/>
    <s v="Pure"/>
    <s v="Capitol Records"/>
    <n v="110"/>
    <n v="3"/>
    <s v="03:18:00"/>
    <b v="0"/>
    <n v="56"/>
    <n v="35"/>
    <n v="68"/>
    <n v="4"/>
    <n v="80"/>
    <n v="0"/>
    <n v="10"/>
    <n v="32"/>
    <n v="90"/>
    <s v="Pop"/>
    <s v="14/11/2025"/>
    <s v="https://image-cdn-ak.spotifycdn.com/image/ab67616d00001e02b09eea420767969b6729962b"/>
    <b v="0"/>
  </r>
  <r>
    <n v="559"/>
    <s v="spotify:track:31we7ZzWdSBEOKs5Ln6QVF"/>
    <x v="104"/>
    <s v="NUBES"/>
    <s v="WEA Latina"/>
    <n v="113"/>
    <n v="1"/>
    <s v="03:05:00"/>
    <b v="1"/>
    <n v="80"/>
    <n v="65"/>
    <n v="73"/>
    <n v="8"/>
    <n v="24"/>
    <n v="0"/>
    <n v="14"/>
    <n v="71"/>
    <n v="98"/>
    <s v="Reggaeton"/>
    <s v="27/6/2025"/>
    <s v="https://image-cdn-ak.spotifycdn.com/image/ab67616d00001e02a0c87f5cc0823bf711e5c7cb"/>
    <b v="0"/>
  </r>
  <r>
    <n v="559"/>
    <s v="spotify:track:31we7ZzWdSBEOKs5Ln6QVF"/>
    <x v="105"/>
    <s v="NUBES"/>
    <s v="WEA Latina"/>
    <n v="113"/>
    <n v="1"/>
    <s v="03:05:00"/>
    <b v="1"/>
    <n v="80"/>
    <n v="65"/>
    <n v="73"/>
    <n v="8"/>
    <n v="24"/>
    <n v="0"/>
    <n v="14"/>
    <n v="71"/>
    <n v="98"/>
    <s v="Reggaeton"/>
    <s v="27/6/2025"/>
    <s v="https://image-cdn-ak.spotifycdn.com/image/ab67616d00001e02a0c87f5cc0823bf711e5c7cb"/>
    <b v="0"/>
  </r>
  <r>
    <n v="560"/>
    <s v="spotify:track:321yySUTzRXUbzkRTeTzDB"/>
    <x v="457"/>
    <s v="Wasted Love"/>
    <s v="Warner Music Central Europe"/>
    <n v="149"/>
    <n v="1"/>
    <d v="1899-12-30T03:05:00"/>
    <b v="0"/>
    <n v="68"/>
    <n v="70"/>
    <n v="78"/>
    <n v="8"/>
    <n v="20"/>
    <n v="0"/>
    <n v="11"/>
    <n v="58"/>
    <n v="105"/>
    <s v="Pop"/>
    <d v="2025-05-16T00:00:00"/>
    <s v="https://image-cdn-ak.spotifycdn.com/image/ab67616d00001e027de5fab535418ab314d8f2d7"/>
    <b v="0"/>
  </r>
  <r>
    <n v="561"/>
    <s v="spotify:track:32OlwWuMpZ6b0aN2RZOeMS"/>
    <x v="39"/>
    <s v="Uptown Funk (feat. Bruno Mars)"/>
    <s v="Columbia"/>
    <n v="181"/>
    <n v="3"/>
    <d v="1899-12-30T04:30:00"/>
    <b v="0"/>
    <n v="86"/>
    <n v="61"/>
    <n v="88"/>
    <n v="8"/>
    <n v="1"/>
    <n v="0"/>
    <n v="3"/>
    <n v="93"/>
    <n v="115"/>
    <s v="Funk"/>
    <d v="2014-11-10T00:00:00"/>
    <s v="https://image-cdn-ak.spotifycdn.com/image/ab67616d00001e029860171ddfee17f77a570cf6"/>
    <b v="0"/>
  </r>
  <r>
    <n v="561"/>
    <s v="spotify:track:32OlwWuMpZ6b0aN2RZOeMS"/>
    <x v="458"/>
    <s v="Uptown Funk (feat. Bruno Mars)"/>
    <s v="Columbia"/>
    <n v="181"/>
    <n v="3"/>
    <d v="1899-12-30T04:30:00"/>
    <b v="0"/>
    <n v="86"/>
    <n v="61"/>
    <n v="88"/>
    <n v="8"/>
    <n v="1"/>
    <n v="0"/>
    <n v="3"/>
    <n v="93"/>
    <n v="115"/>
    <s v="Funk"/>
    <d v="2014-11-10T00:00:00"/>
    <s v="https://image-cdn-ak.spotifycdn.com/image/ab67616d00001e029860171ddfee17f77a570cf6"/>
    <b v="0"/>
  </r>
  <r>
    <n v="562"/>
    <s v="spotify:track:32SJM4tQyJHsB8rgVtZURn"/>
    <x v="459"/>
    <s v="WASSUP"/>
    <s v="The Wave Music Group"/>
    <n v="134"/>
    <n v="2"/>
    <d v="1899-12-30T02:48:00"/>
    <b v="1"/>
    <n v="80"/>
    <n v="75"/>
    <n v="80"/>
    <n v="12"/>
    <n v="12"/>
    <n v="0"/>
    <n v="12"/>
    <n v="62"/>
    <n v="100"/>
    <s v="Reggaeton"/>
    <d v="2025-04-18T00:00:00"/>
    <s v="https://image-cdn-fa.spotifycdn.com/image/ab67616d00001e024fb3dec62284bce58f432b05"/>
    <b v="0"/>
  </r>
  <r>
    <n v="564"/>
    <s v="spotify:track:331l3xABO0HMr1Kkyh2LZq"/>
    <x v="155"/>
    <s v="I Don't Wanna Wait"/>
    <s v="Parlophone UK"/>
    <n v="34"/>
    <n v="30"/>
    <d v="1899-12-30T02:28:00"/>
    <b v="0"/>
    <n v="68"/>
    <n v="71"/>
    <n v="92"/>
    <n v="3"/>
    <n v="4"/>
    <n v="0"/>
    <n v="23"/>
    <n v="55"/>
    <n v="130"/>
    <s v="EDM"/>
    <d v="2024-04-05T00:00:00"/>
    <s v="https://image-cdn-ak.spotifycdn.com/image/ab67616d00001e027ce51d1a9049162e7e2fcf60"/>
    <b v="0"/>
  </r>
  <r>
    <n v="564"/>
    <s v="spotify:track:331l3xABO0HMr1Kkyh2LZq"/>
    <x v="440"/>
    <s v="I Don't Wanna Wait"/>
    <s v="Parlophone UK"/>
    <n v="34"/>
    <n v="30"/>
    <d v="1899-12-30T02:28:00"/>
    <b v="0"/>
    <n v="68"/>
    <n v="71"/>
    <n v="92"/>
    <n v="3"/>
    <n v="4"/>
    <n v="0"/>
    <n v="23"/>
    <n v="55"/>
    <n v="130"/>
    <s v="EDM"/>
    <d v="2024-04-05T00:00:00"/>
    <s v="https://image-cdn-ak.spotifycdn.com/image/ab67616d00001e027ce51d1a9049162e7e2fcf60"/>
    <b v="0"/>
  </r>
  <r>
    <n v="565"/>
    <s v="spotify:track:33KU9huHP1Lv1UWWVkuTYd"/>
    <x v="460"/>
    <s v="Impostor Syndrome"/>
    <s v="Many Hats Distribution"/>
    <n v="175"/>
    <n v="2"/>
    <d v="1899-12-30T03:05:00"/>
    <b v="0"/>
    <n v="62"/>
    <n v="62"/>
    <n v="76"/>
    <n v="6"/>
    <n v="30"/>
    <n v="0"/>
    <n v="10"/>
    <n v="48"/>
    <n v="100"/>
    <s v="Indie Rock"/>
    <d v="2018-02-16T00:00:00"/>
    <s v="https://image-cdn-fa.spotifycdn.com/image/ab67616d00001e02f7832bb86831bdec9848acda"/>
    <b v="0"/>
  </r>
  <r>
    <n v="566"/>
    <s v="spotify:track:33MeEaRCeIQMSRyFTr5ZJU"/>
    <x v="30"/>
    <s v="Pvta Luna"/>
    <s v="Josa Records (Neton Vega)"/>
    <n v="61"/>
    <n v="23"/>
    <d v="1899-12-30T03:05:00"/>
    <b v="1"/>
    <n v="80"/>
    <n v="75"/>
    <n v="80"/>
    <n v="10"/>
    <n v="12"/>
    <n v="0"/>
    <n v="12"/>
    <n v="60"/>
    <n v="108"/>
    <s v="Regional Mexicano"/>
    <d v="2025-03-14T00:00:00"/>
    <s v="https://image-cdn-ak.spotifycdn.com/image/ab67616d00001e020c3ba1d7cd1468c7e5a2ddda"/>
    <b v="0"/>
  </r>
  <r>
    <n v="567"/>
    <s v="spotify:track:33cRPtUHTjMG90FZV76S8T"/>
    <x v="98"/>
    <s v="intro (end of the world) - extended"/>
    <s v="Republic Records"/>
    <n v="72"/>
    <n v="2"/>
    <d v="1899-12-30T02:48:00"/>
    <b v="1"/>
    <n v="34"/>
    <n v="37"/>
    <n v="85"/>
    <n v="4"/>
    <n v="78"/>
    <n v="0"/>
    <n v="9"/>
    <n v="40"/>
    <n v="81"/>
    <s v="Pop"/>
    <d v="2024-03-08T00:00:00"/>
    <s v="https://image-cdn-fa.spotifycdn.com/image/ab67616d00001e026c9d796f3d1a060de02a3077"/>
    <b v="0"/>
  </r>
  <r>
    <n v="568"/>
    <s v="spotify:track:33lL8HLB8YO834kMoQeoZd"/>
    <x v="331"/>
    <s v="Show Me Love"/>
    <s v="WizTheMc"/>
    <n v="22"/>
    <n v="30"/>
    <d v="1899-12-30T02:48:00"/>
    <b v="0"/>
    <n v="71"/>
    <n v="69"/>
    <n v="88"/>
    <n v="4"/>
    <n v="2"/>
    <n v="0"/>
    <n v="11"/>
    <n v="16"/>
    <n v="107"/>
    <s v="Afrobeat"/>
    <d v="2025-02-14T00:00:00"/>
    <s v="https://image-cdn-ak.spotifycdn.com/image/ab67616d00001e0212a333a62cf1a898ce04218a"/>
    <b v="0"/>
  </r>
  <r>
    <n v="568"/>
    <s v="spotify:track:33lL8HLB8YO834kMoQeoZd"/>
    <x v="332"/>
    <s v="Show Me Love"/>
    <s v="WizTheMc"/>
    <n v="22"/>
    <n v="30"/>
    <d v="1899-12-30T02:48:00"/>
    <b v="0"/>
    <n v="71"/>
    <n v="69"/>
    <n v="88"/>
    <n v="4"/>
    <n v="2"/>
    <n v="0"/>
    <n v="11"/>
    <n v="16"/>
    <n v="107"/>
    <s v="Afrobeat"/>
    <d v="2025-02-14T00:00:00"/>
    <s v="https://image-cdn-ak.spotifycdn.com/image/ab67616d00001e0212a333a62cf1a898ce04218a"/>
    <b v="0"/>
  </r>
  <r>
    <n v="570"/>
    <s v="spotify:track:34sUWOEjFKrj8Rzk1HHicq"/>
    <x v="461"/>
    <s v="It Feels Like Christmas (Spotify Singles Holiday)"/>
    <s v="Many Hats Distribution"/>
    <n v="96"/>
    <n v="1"/>
    <d v="1899-12-30T03:18:00"/>
    <b v="0"/>
    <n v="62"/>
    <n v="65"/>
    <n v="78"/>
    <n v="5"/>
    <n v="30"/>
    <n v="0"/>
    <n v="14"/>
    <n v="78"/>
    <n v="120"/>
    <s v="Christmas"/>
    <d v="2020-12-01T00:00:00"/>
    <s v="https://image-cdn-ak.spotifycdn.com/image/ab67616d00001e0284c9304d82e5bf785f9380cc"/>
    <b v="1"/>
  </r>
  <r>
    <n v="571"/>
    <s v="spotify:track:35ISBknsCeZQtq66xABI9g"/>
    <x v="462"/>
    <s v="Messy"/>
    <s v="Universal-Island Records Ltd."/>
    <n v="7"/>
    <n v="63"/>
    <d v="1899-12-30T03:20:00"/>
    <b v="1"/>
    <n v="80"/>
    <n v="55"/>
    <n v="90"/>
    <n v="4"/>
    <n v="10"/>
    <n v="0"/>
    <n v="12"/>
    <n v="65"/>
    <n v="111"/>
    <s v="Pop"/>
    <d v="2024-11-29T00:00:00"/>
    <s v="https://image-cdn-ak.spotifycdn.com/image/ab67616d00001e026aa2a180c7b009ca8454ef89"/>
    <b v="0"/>
  </r>
  <r>
    <n v="572"/>
    <s v="spotify:track:35po0dhj4pRkbVDeooNVBW"/>
    <x v="37"/>
    <s v="Staying Still"/>
    <s v="Mercury Records"/>
    <n v="174"/>
    <n v="2"/>
    <s v="03:48:00"/>
    <b v="0"/>
    <n v="56"/>
    <n v="48"/>
    <n v="71"/>
    <n v="4"/>
    <n v="54"/>
    <n v="0"/>
    <n v="11"/>
    <n v="39"/>
    <n v="115"/>
    <s v="Indie Folk"/>
    <s v="3/4/2026"/>
    <s v="https://image-cdn-ak.spotifycdn.com/image/ab67616d00001e02c39789e2dbdad5af5736e07a"/>
    <b v="0"/>
  </r>
  <r>
    <n v="573"/>
    <s v="spotify:track:36OpC3NK7kQzcOo8qiCHaA"/>
    <x v="413"/>
    <s v="The Visitor"/>
    <s v="Capitol Records"/>
    <n v="67"/>
    <n v="4"/>
    <s v="03:18:00"/>
    <b v="0"/>
    <n v="50"/>
    <n v="41"/>
    <n v="70"/>
    <n v="5"/>
    <n v="71"/>
    <n v="0"/>
    <n v="13"/>
    <n v="26"/>
    <n v="128"/>
    <s v="Pop"/>
    <s v="14/11/2025"/>
    <s v="https://image-cdn-ak.spotifycdn.com/image/ab67616d00001e02ef729e70c894394c1a4461fb"/>
    <b v="0"/>
  </r>
  <r>
    <n v="575"/>
    <s v="spotify:track:36vmaZyO0iAE6FZ7287fg2"/>
    <x v="77"/>
    <s v="Dive"/>
    <s v="PLG - Capitol"/>
    <n v="150"/>
    <n v="7"/>
    <d v="1899-12-30T03:05:00"/>
    <b v="0"/>
    <n v="63"/>
    <n v="75"/>
    <n v="90"/>
    <n v="4"/>
    <n v="15"/>
    <n v="0"/>
    <n v="13"/>
    <n v="28"/>
    <n v="90"/>
    <s v="Pop"/>
    <d v="2024-10-18T00:00:00"/>
    <s v="https://image-cdn-fa.spotifycdn.com/image/ab67616d00001e02cac9b52107643faf13a7587b"/>
    <b v="0"/>
  </r>
  <r>
    <n v="576"/>
    <s v="spotify:track:37wfBdDJidbipEG2fEwkWX"/>
    <x v="30"/>
    <s v="RIKI"/>
    <s v="Josa Records"/>
    <n v="40"/>
    <n v="7"/>
    <d v="1899-12-30T03:05:00"/>
    <b v="1"/>
    <n v="80"/>
    <n v="75"/>
    <n v="80"/>
    <n v="10"/>
    <n v="12"/>
    <n v="0"/>
    <n v="12"/>
    <n v="60"/>
    <n v="108"/>
    <s v="Regional Mexicano"/>
    <d v="2025-03-14T00:00:00"/>
    <s v="https://image-cdn-ak.spotifycdn.com/image/ab67616d00001e02476b0e8446a0724a7adcd02b"/>
    <b v="0"/>
  </r>
  <r>
    <n v="577"/>
    <s v="spotify:track:38EGs4h8GqgrS1HT344SCQ"/>
    <x v="463"/>
    <s v="Con otra"/>
    <s v="DALE PLAY Records / RIMAS Entertainment LLC"/>
    <n v="163"/>
    <n v="2"/>
    <s v="03:05:00"/>
    <b v="0"/>
    <n v="68"/>
    <n v="48"/>
    <n v="70"/>
    <n v="8"/>
    <n v="55"/>
    <n v="0"/>
    <n v="11"/>
    <n v="49"/>
    <n v="90"/>
    <s v="Reggaeton"/>
    <s v="30/5/2025"/>
    <s v="https://image-cdn-fa.spotifycdn.com/image/ab67616d00001e027dd25ef23df4dc7ab5c4b2f8"/>
    <b v="0"/>
  </r>
  <r>
    <n v="578"/>
    <s v="spotify:track:38Ps9Kui6qJjpVqdBOfN5M"/>
    <x v="464"/>
    <s v="P do Pecado - Ao Vivo"/>
    <s v="Som Livre"/>
    <n v="52"/>
    <n v="29"/>
    <d v="1899-12-30T03:05:00"/>
    <b v="1"/>
    <n v="80"/>
    <n v="75"/>
    <n v="80"/>
    <n v="12"/>
    <n v="8"/>
    <n v="0"/>
    <n v="13"/>
    <n v="68"/>
    <n v="128"/>
    <s v="Sertanejo"/>
    <d v="2025-02-14T00:00:00"/>
    <s v="https://image-cdn-ak.spotifycdn.com/image/ab67616d00001e02c89ff3434d85f33354c929b8"/>
    <b v="0"/>
  </r>
  <r>
    <n v="578"/>
    <s v="spotify:track:38Ps9Kui6qJjpVqdBOfN5M"/>
    <x v="465"/>
    <s v="P do Pecado - Ao Vivo"/>
    <s v="Som Livre"/>
    <n v="52"/>
    <n v="29"/>
    <d v="1899-12-30T03:05:00"/>
    <b v="1"/>
    <n v="80"/>
    <n v="75"/>
    <n v="80"/>
    <n v="12"/>
    <n v="8"/>
    <n v="0"/>
    <n v="13"/>
    <n v="68"/>
    <n v="128"/>
    <s v="Sertanejo"/>
    <d v="2025-02-14T00:00:00"/>
    <s v="https://image-cdn-ak.spotifycdn.com/image/ab67616d00001e02c89ff3434d85f33354c929b8"/>
    <b v="0"/>
  </r>
  <r>
    <n v="579"/>
    <s v="spotify:track:38WyDtxZhxm63jiythwemE"/>
    <x v="177"/>
    <s v="Ribs"/>
    <s v="Universal Music New Zealand Limited"/>
    <n v="157"/>
    <n v="6"/>
    <d v="1899-12-30T04:18:00"/>
    <b v="0"/>
    <n v="52"/>
    <n v="47"/>
    <n v="85"/>
    <n v="7"/>
    <n v="53"/>
    <n v="61"/>
    <n v="11"/>
    <n v="4"/>
    <n v="128"/>
    <s v="Alternative"/>
    <d v="2013-09-30T00:00:00"/>
    <s v="https://image-cdn-ak.spotifycdn.com/image/ab67616d00001e02e19c63f62581ab73a6589382"/>
    <b v="0"/>
  </r>
  <r>
    <n v="580"/>
    <s v="spotify:track:38iBHQloAVZNpKsFVU8aAd"/>
    <x v="466"/>
    <s v="MR RECOUP"/>
    <s v="Slaughter Gang, LLC/Epic Records"/>
    <n v="151"/>
    <n v="1"/>
    <s v="03:18:00"/>
    <b v="1"/>
    <n v="82"/>
    <n v="61"/>
    <n v="72"/>
    <n v="22"/>
    <n v="16"/>
    <n v="0"/>
    <n v="12"/>
    <n v="45"/>
    <n v="134"/>
    <s v="Hip-Hop/Rap"/>
    <s v="27/6/2025"/>
    <s v="https://image-cdn-ak.spotifycdn.com/image/ab67616d00001e02faee4a5e5b3c191c6cd9617f"/>
    <b v="0"/>
  </r>
  <r>
    <n v="580"/>
    <s v="spotify:track:38iBHQloAVZNpKsFVU8aAd"/>
    <x v="53"/>
    <s v="MR RECOUP"/>
    <s v="Slaughter Gang, LLC/Epic Records"/>
    <n v="151"/>
    <n v="1"/>
    <s v="03:18:00"/>
    <b v="1"/>
    <n v="82"/>
    <n v="61"/>
    <n v="72"/>
    <n v="22"/>
    <n v="16"/>
    <n v="0"/>
    <n v="12"/>
    <n v="45"/>
    <n v="134"/>
    <s v="Hip-Hop/Rap"/>
    <s v="27/6/2025"/>
    <s v="https://image-cdn-ak.spotifycdn.com/image/ab67616d00001e02faee4a5e5b3c191c6cd9617f"/>
    <b v="0"/>
  </r>
  <r>
    <n v="581"/>
    <s v="spotify:track:393OFJFZKIIv66JmJcNm9D"/>
    <x v="53"/>
    <s v="National Treasures"/>
    <s v="OVO/Republic"/>
    <n v="6"/>
    <n v="7"/>
    <s v="03:18:00"/>
    <b v="1"/>
    <n v="68"/>
    <n v="48"/>
    <n v="70"/>
    <n v="26"/>
    <n v="54"/>
    <n v="0"/>
    <n v="12"/>
    <n v="26"/>
    <n v="134"/>
    <s v="Hip-Hop/Rap"/>
    <s v="22/5/2026"/>
    <s v="https://image-cdn-fa.spotifycdn.com/image/ab67616d00001e02fe9d3ab9adb1d3b59835b81c"/>
    <b v="0"/>
  </r>
  <r>
    <n v="582"/>
    <s v="spotify:track:39O9PGzlZnVTOhAYQjyBRG"/>
    <x v="428"/>
    <s v="Uma e Quinze da Manhã"/>
    <s v="Sua Música Digital"/>
    <n v="190"/>
    <n v="1"/>
    <s v="03:05:00"/>
    <b v="0"/>
    <n v="82"/>
    <n v="74"/>
    <n v="74"/>
    <n v="6"/>
    <n v="31"/>
    <n v="0"/>
    <n v="18"/>
    <n v="84"/>
    <n v="124"/>
    <s v="Sertanejo"/>
    <s v="15/5/2026"/>
    <s v="https://image-cdn-ak.spotifycdn.com/image/ab67616d00001e02a85fd7fdb23f07d004e1450a"/>
    <b v="0"/>
  </r>
  <r>
    <n v="583"/>
    <s v="spotify:track:39shmbIHICJ2Wxnk1fPSdz"/>
    <x v="467"/>
    <s v="Should I Stay or Should I Go - Remastered"/>
    <s v="Sony Music UK"/>
    <n v="90"/>
    <n v="3"/>
    <d v="1899-12-30T03:08:00"/>
    <b v="0"/>
    <n v="74"/>
    <n v="84"/>
    <n v="89"/>
    <n v="12"/>
    <n v="8"/>
    <n v="0"/>
    <n v="38"/>
    <n v="82"/>
    <n v="113"/>
    <s v="Punk Rock"/>
    <d v="1982-06-10T00:00:00"/>
    <s v="https://image-cdn-fa.spotifycdn.com/image/ab67616d00001e02280b72ca76b4734debfc190e"/>
    <b v="0"/>
  </r>
  <r>
    <n v="584"/>
    <s v="spotify:track:3A02hWQ2ebOFDWSbAMNnpw"/>
    <x v="468"/>
    <s v="bittersweet"/>
    <s v="Epic/Sing It Loud"/>
    <n v="146"/>
    <n v="7"/>
    <s v="03:05:00"/>
    <b v="0"/>
    <n v="56"/>
    <n v="53"/>
    <n v="71"/>
    <n v="4"/>
    <n v="52"/>
    <n v="0"/>
    <n v="11"/>
    <n v="39"/>
    <n v="124"/>
    <s v="Pop"/>
    <s v="22/8/2025"/>
    <s v="https://image-cdn-ak.spotifycdn.com/image/ab67616d00001e022fb3d517253228abf2468f74"/>
    <b v="0"/>
  </r>
  <r>
    <n v="585"/>
    <s v="spotify:track:3AD73lKeY2c9JhsHRqWkOw"/>
    <x v="186"/>
    <s v="KICK OUT"/>
    <s v="Cactus Jack / Epic"/>
    <n v="59"/>
    <n v="2"/>
    <s v="03:18:00"/>
    <b v="1"/>
    <n v="78"/>
    <n v="70"/>
    <n v="74"/>
    <n v="8"/>
    <n v="15"/>
    <n v="0"/>
    <n v="16"/>
    <n v="50"/>
    <n v="142"/>
    <s v="Hip-Hop/Rap"/>
    <s v="27/6/2025"/>
    <s v="https://image-cdn-ak.spotifycdn.com/image/ab67616d00001e02c9e25378bc8de02341f3db99"/>
    <b v="0"/>
  </r>
  <r>
    <n v="587"/>
    <s v="spotify:track:3AWDeHLc88XogCaCnZQLVI"/>
    <x v="55"/>
    <s v="Cry For Me"/>
    <s v="XO / Republic Records"/>
    <n v="9"/>
    <n v="10"/>
    <d v="1899-12-30T03:48:00"/>
    <b v="1"/>
    <n v="65"/>
    <n v="64"/>
    <n v="89"/>
    <n v="3"/>
    <n v="9"/>
    <n v="0"/>
    <n v="67"/>
    <n v="42"/>
    <n v="120"/>
    <s v="R&amp;B"/>
    <d v="2025-01-31T00:00:00"/>
    <s v="https://image-cdn-ak.spotifycdn.com/image/ab67616d00001e02de79f330bc297af3fae736da"/>
    <b v="0"/>
  </r>
  <r>
    <n v="588"/>
    <s v="spotify:track:3Ac4AjYkqsvop2ydbSAhTX"/>
    <x v="39"/>
    <s v="Why You Wanna Fight?"/>
    <s v="Atlantic Records"/>
    <n v="78"/>
    <n v="1"/>
    <s v="03:05:00"/>
    <b v="0"/>
    <n v="73"/>
    <n v="65"/>
    <n v="73"/>
    <n v="6"/>
    <n v="20"/>
    <n v="0"/>
    <n v="14"/>
    <n v="63"/>
    <n v="110"/>
    <s v="Pop"/>
    <s v="12/9/2025"/>
    <s v="https://image-cdn-ak.spotifycdn.com/image/ab67616d00001e023eb8dc748f7efb1470f74395"/>
    <b v="0"/>
  </r>
  <r>
    <n v="591"/>
    <s v="spotify:track:3B2ZpJeewPvhAkjXtTkdtJ"/>
    <x v="23"/>
    <s v="NOBODY'S GIRL"/>
    <s v="RCA Records Label"/>
    <n v="28"/>
    <n v="2"/>
    <d v="1899-12-30T03:05:00"/>
    <b v="0"/>
    <n v="75"/>
    <n v="78"/>
    <n v="80"/>
    <n v="8"/>
    <n v="12"/>
    <n v="0"/>
    <n v="12"/>
    <n v="60"/>
    <n v="115"/>
    <s v="Pop"/>
    <d v="2025-02-21T00:00:00"/>
    <s v="https://image-cdn-ak.spotifycdn.com/image/ab67616d00001e02177ea3a7cc03eeb677eebdc4"/>
    <b v="0"/>
  </r>
  <r>
    <n v="592"/>
    <s v="spotify:track:3B4cjvGlPvyBLNG3AzEgkZ"/>
    <x v="7"/>
    <s v="E85"/>
    <s v="CactusJack/Donnway/ATL"/>
    <n v="47"/>
    <n v="24"/>
    <d v="1899-12-30T03:05:00"/>
    <b v="1"/>
    <n v="72"/>
    <n v="75"/>
    <n v="80"/>
    <n v="14"/>
    <n v="5"/>
    <n v="0"/>
    <n v="12"/>
    <n v="48"/>
    <n v="128"/>
    <s v="Hip-Hop/Rap"/>
    <d v="2025-05-16T00:00:00"/>
    <s v="https://image-cdn-ak.spotifycdn.com/image/ab67616d00001e0225c28f3c9fbdbab1a88dd619"/>
    <b v="0"/>
  </r>
  <r>
    <n v="593"/>
    <s v="spotify:track:3B54sVLJ402zGa6Xm4YGNe"/>
    <x v="469"/>
    <s v="Unforgettable"/>
    <s v="Bad Boy Entertainment/Epic Records"/>
    <n v="3"/>
    <n v="160"/>
    <d v="1899-12-30T03:53:00"/>
    <b v="1"/>
    <n v="73"/>
    <n v="77"/>
    <n v="92"/>
    <n v="12"/>
    <n v="3"/>
    <n v="1"/>
    <n v="10"/>
    <n v="73"/>
    <n v="98"/>
    <s v="Afrobeat"/>
    <d v="2017-04-07T00:00:00"/>
    <s v="https://image-cdn-ak.spotifycdn.com/image/ab67616d00001e028a31195a371b2233456f6c07"/>
    <b v="0"/>
  </r>
  <r>
    <n v="593"/>
    <s v="spotify:track:3B54sVLJ402zGa6Xm4YGNe"/>
    <x v="100"/>
    <s v="Unforgettable"/>
    <s v="Bad Boy Entertainment/Epic Records"/>
    <n v="3"/>
    <n v="160"/>
    <d v="1899-12-30T03:53:00"/>
    <b v="1"/>
    <n v="73"/>
    <n v="77"/>
    <n v="92"/>
    <n v="12"/>
    <n v="3"/>
    <n v="1"/>
    <n v="10"/>
    <n v="73"/>
    <n v="98"/>
    <s v="Afrobeat"/>
    <d v="2017-04-07T00:00:00"/>
    <s v="https://image-cdn-ak.spotifycdn.com/image/ab67616d00001e028a31195a371b2233456f6c07"/>
    <b v="0"/>
  </r>
  <r>
    <n v="594"/>
    <s v="spotify:track:3BZUM1xojiL3TvRo3T50R9"/>
    <x v="80"/>
    <s v="Blancanieves"/>
    <s v="WEA Latina"/>
    <n v="134"/>
    <n v="2"/>
    <s v="03:05:00"/>
    <b v="1"/>
    <n v="74"/>
    <n v="67"/>
    <n v="73"/>
    <n v="5"/>
    <n v="26"/>
    <n v="0"/>
    <n v="13"/>
    <n v="82"/>
    <n v="145"/>
    <s v="Regional Mexicano"/>
    <s v="27/6/2025"/>
    <s v="https://image-cdn-ak.spotifycdn.com/image/ab67616d00001e02b60ef80c5a8a3b25dd6bea6e"/>
    <b v="0"/>
  </r>
  <r>
    <n v="595"/>
    <s v="spotify:track:3BntzKsnLf2pc0dsvE3Zav"/>
    <x v="202"/>
    <s v="Bad Dreams"/>
    <s v="Warner Records"/>
    <n v="50"/>
    <n v="45"/>
    <d v="1899-12-30T03:18:00"/>
    <b v="0"/>
    <n v="71"/>
    <n v="68"/>
    <n v="90"/>
    <n v="9"/>
    <n v="27"/>
    <n v="0"/>
    <n v="9"/>
    <n v="62"/>
    <n v="125"/>
    <s v="R&amp;B"/>
    <d v="2024-09-20T00:00:00"/>
    <s v="https://image-cdn-ak.spotifycdn.com/image/ab67616d00001e029164809630ef23eab60abaf0"/>
    <b v="0"/>
  </r>
  <r>
    <n v="596"/>
    <s v="spotify:track:3BovdzfaX4jb5KFQwoPfAw"/>
    <x v="38"/>
    <s v="Beat It"/>
    <s v="Epic"/>
    <n v="5"/>
    <n v="26"/>
    <d v="1899-12-30T04:18:00"/>
    <b v="0"/>
    <n v="78"/>
    <n v="71"/>
    <n v="85"/>
    <n v="5"/>
    <n v="2"/>
    <n v="0"/>
    <n v="23"/>
    <n v="90"/>
    <n v="139"/>
    <s v="Rock"/>
    <d v="1982-11-30T00:00:00"/>
    <s v="https://image-cdn-ak.spotifycdn.com/image/ab67616d00001e0232a7d87248d1b75463483df5"/>
    <b v="0"/>
  </r>
  <r>
    <n v="597"/>
    <s v="spotify:track:3C0nOe05EIt1390bVABLyN"/>
    <x v="470"/>
    <s v="On The Floor"/>
    <s v="Nuyorican Productions / IDJ"/>
    <n v="25"/>
    <n v="20"/>
    <d v="1899-12-30T04:44:00"/>
    <b v="0"/>
    <n v="73"/>
    <n v="78"/>
    <n v="91"/>
    <n v="5"/>
    <n v="10"/>
    <n v="0"/>
    <n v="7"/>
    <n v="57"/>
    <n v="130"/>
    <s v="Dance Pop"/>
    <d v="2011-02-08T00:00:00"/>
    <s v="https://image-cdn-ak.spotifycdn.com/image/ab67616d00001e02d7b2aa3834b82b1cbe899a48"/>
    <b v="0"/>
  </r>
  <r>
    <n v="597"/>
    <s v="spotify:track:3C0nOe05EIt1390bVABLyN"/>
    <x v="471"/>
    <s v="On The Floor"/>
    <s v="Nuyorican Productions / IDJ"/>
    <n v="25"/>
    <n v="20"/>
    <d v="1899-12-30T04:44:00"/>
    <b v="0"/>
    <n v="73"/>
    <n v="78"/>
    <n v="91"/>
    <n v="5"/>
    <n v="10"/>
    <n v="0"/>
    <n v="7"/>
    <n v="57"/>
    <n v="130"/>
    <s v="Dance Pop"/>
    <d v="2011-02-08T00:00:00"/>
    <s v="https://image-cdn-ak.spotifycdn.com/image/ab67616d00001e02d7b2aa3834b82b1cbe899a48"/>
    <b v="0"/>
  </r>
  <r>
    <n v="598"/>
    <s v="spotify:track:3CRDbSIZ4r5MsZ0YwxuEkn"/>
    <x v="68"/>
    <s v="Stressed Out"/>
    <s v="Fueled By Ramen"/>
    <n v="63"/>
    <n v="63"/>
    <d v="1899-12-30T03:22:00"/>
    <b v="0"/>
    <n v="73"/>
    <n v="64"/>
    <n v="91"/>
    <n v="14"/>
    <n v="5"/>
    <n v="0"/>
    <n v="6"/>
    <n v="65"/>
    <n v="170"/>
    <s v="Alternative"/>
    <d v="2015-04-28T00:00:00"/>
    <s v="https://image-cdn-ak.spotifycdn.com/image/ab67616d00001e022df0d98a423025032d0db1f7"/>
    <b v="0"/>
  </r>
  <r>
    <n v="599"/>
    <s v="spotify:track:3D24ErT1MMmUfXWotSj2A2"/>
    <x v="256"/>
    <s v="ME JALO"/>
    <s v="Rancho Humilde/Streetmob Records/Grupo Frontera/Sony Music Latin"/>
    <n v="41"/>
    <n v="27"/>
    <d v="1899-12-30T03:05:00"/>
    <b v="1"/>
    <n v="47"/>
    <n v="75"/>
    <n v="90"/>
    <n v="11"/>
    <n v="22"/>
    <n v="0"/>
    <n v="17"/>
    <n v="62"/>
    <n v="80"/>
    <s v="Regional Mexicano"/>
    <d v="2025-03-14T00:00:00"/>
    <s v="https://image-cdn-ak.spotifycdn.com/image/ab67616d00001e0204874856f3c501181d060128"/>
    <b v="0"/>
  </r>
  <r>
    <n v="599"/>
    <s v="spotify:track:3D24ErT1MMmUfXWotSj2A2"/>
    <x v="86"/>
    <s v="ME JALO"/>
    <s v="Rancho Humilde/Streetmob Records/Grupo Frontera/Sony Music Latin"/>
    <n v="41"/>
    <n v="27"/>
    <d v="1899-12-30T03:05:00"/>
    <b v="1"/>
    <n v="47"/>
    <n v="75"/>
    <n v="90"/>
    <n v="11"/>
    <n v="22"/>
    <n v="0"/>
    <n v="17"/>
    <n v="62"/>
    <n v="80"/>
    <s v="Regional Mexicano"/>
    <d v="2025-03-14T00:00:00"/>
    <s v="https://image-cdn-ak.spotifycdn.com/image/ab67616d00001e0204874856f3c501181d060128"/>
    <b v="0"/>
  </r>
  <r>
    <n v="600"/>
    <s v="spotify:track:3DK90400cDlV5WUJPraMph"/>
    <x v="53"/>
    <s v="Ran To Atlanta (feat. Future &amp; Molly Santana)"/>
    <s v="OVO/Republic"/>
    <n v="5"/>
    <n v="4"/>
    <s v="03:18:00"/>
    <b v="1"/>
    <n v="84"/>
    <n v="67"/>
    <n v="74"/>
    <n v="22"/>
    <n v="16"/>
    <n v="0"/>
    <n v="15"/>
    <n v="45"/>
    <n v="142"/>
    <s v="Hip-Hop/Rap"/>
    <s v="22/5/2026"/>
    <s v="https://image-cdn-ak.spotifycdn.com/image/ab67616d00001e02fe9d3ab9adb1d3b59835b81c"/>
    <b v="0"/>
  </r>
  <r>
    <n v="600"/>
    <s v="spotify:track:3DK90400cDlV5WUJPraMph"/>
    <x v="329"/>
    <s v="Ran To Atlanta (feat. Future &amp; Molly Santana)"/>
    <s v="OVO/Republic"/>
    <n v="5"/>
    <n v="4"/>
    <s v="03:18:00"/>
    <b v="1"/>
    <n v="84"/>
    <n v="67"/>
    <n v="74"/>
    <n v="22"/>
    <n v="16"/>
    <n v="0"/>
    <n v="15"/>
    <n v="45"/>
    <n v="142"/>
    <s v="Hip-Hop/Rap"/>
    <s v="22/5/2026"/>
    <s v="https://image-cdn-ak.spotifycdn.com/image/ab67616d00001e02fe9d3ab9adb1d3b59835b81c"/>
    <b v="0"/>
  </r>
  <r>
    <n v="600"/>
    <s v="spotify:track:3DK90400cDlV5WUJPraMph"/>
    <x v="472"/>
    <s v="Ran To Atlanta (feat. Future &amp; Molly Santana)"/>
    <s v="OVO/Republic"/>
    <n v="5"/>
    <n v="4"/>
    <s v="03:18:00"/>
    <b v="1"/>
    <n v="84"/>
    <n v="67"/>
    <n v="74"/>
    <n v="22"/>
    <n v="16"/>
    <n v="0"/>
    <n v="15"/>
    <n v="45"/>
    <n v="142"/>
    <s v="Hip-Hop/Rap"/>
    <s v="22/5/2026"/>
    <s v="https://image-cdn-ak.spotifycdn.com/image/ab67616d00001e02fe9d3ab9adb1d3b59835b81c"/>
    <b v="0"/>
  </r>
  <r>
    <n v="601"/>
    <s v="spotify:track:3DwQ7AH3xGD9h65ezslm6q"/>
    <x v="473"/>
    <s v="Enter Sandman - Remastered 2021"/>
    <s v="Blackened Recordings / Universal Music"/>
    <n v="191"/>
    <n v="1"/>
    <d v="1899-12-30T05:31:00"/>
    <b v="0"/>
    <n v="58"/>
    <n v="83"/>
    <n v="86"/>
    <n v="3"/>
    <n v="0"/>
    <n v="1"/>
    <n v="6"/>
    <n v="60"/>
    <n v="123"/>
    <s v="Heavy Metal"/>
    <d v="1991-07-29T00:00:00"/>
    <s v="https://image-cdn-ak.spotifycdn.com/image/ab67616d00001e02c1a13209dfe146aef3296e34"/>
    <b v="0"/>
  </r>
  <r>
    <n v="602"/>
    <s v="spotify:track:3E7dfMvvCLUddWissuqMwr"/>
    <x v="362"/>
    <s v="Party In The U.S.A."/>
    <s v="Hollywood Records"/>
    <n v="93"/>
    <n v="8"/>
    <d v="1899-12-30T03:22:00"/>
    <b v="0"/>
    <n v="65"/>
    <n v="70"/>
    <n v="92"/>
    <n v="4"/>
    <n v="0"/>
    <n v="0"/>
    <n v="9"/>
    <n v="47"/>
    <n v="96"/>
    <s v="Pop"/>
    <d v="2009-08-11T00:00:00"/>
    <s v="https://image-cdn-ak.spotifycdn.com/image/ab67616d00001e024ea6653890e297d53e93e3e0"/>
    <b v="0"/>
  </r>
  <r>
    <n v="603"/>
    <s v="spotify:track:3E9IzxNXsk7yFfc1SHpiG1"/>
    <x v="329"/>
    <s v="Dum, Dumb, and Dumber (with Young Thug &amp; Future)"/>
    <s v="Quality Control Music/Motown Records"/>
    <n v="123"/>
    <n v="1"/>
    <s v="03:18:00"/>
    <b v="1"/>
    <n v="85"/>
    <n v="62"/>
    <n v="72"/>
    <n v="26"/>
    <n v="14"/>
    <n v="0"/>
    <n v="13"/>
    <n v="50"/>
    <n v="132"/>
    <s v="Hip-Hop/Rap"/>
    <s v="13/6/2025"/>
    <s v="https://image-cdn-ak.spotifycdn.com/image/ab67616d00001e02ed9de13afd41c3377cf330b9"/>
    <b v="0"/>
  </r>
  <r>
    <n v="603"/>
    <s v="spotify:track:3E9IzxNXsk7yFfc1SHpiG1"/>
    <x v="474"/>
    <s v="Dum, Dumb, and Dumber (with Young Thug &amp; Future)"/>
    <s v="Quality Control Music/Motown Records"/>
    <n v="123"/>
    <n v="1"/>
    <s v="03:18:00"/>
    <b v="1"/>
    <n v="85"/>
    <n v="62"/>
    <n v="72"/>
    <n v="26"/>
    <n v="14"/>
    <n v="0"/>
    <n v="13"/>
    <n v="50"/>
    <n v="132"/>
    <s v="Hip-Hop/Rap"/>
    <s v="13/6/2025"/>
    <s v="https://image-cdn-ak.spotifycdn.com/image/ab67616d00001e02ed9de13afd41c3377cf330b9"/>
    <b v="0"/>
  </r>
  <r>
    <n v="603"/>
    <s v="spotify:track:3E9IzxNXsk7yFfc1SHpiG1"/>
    <x v="475"/>
    <s v="Dum, Dumb, and Dumber (with Young Thug &amp; Future)"/>
    <s v="Quality Control Music/Motown Records"/>
    <n v="123"/>
    <n v="1"/>
    <s v="03:18:00"/>
    <b v="1"/>
    <n v="85"/>
    <n v="62"/>
    <n v="72"/>
    <n v="26"/>
    <n v="14"/>
    <n v="0"/>
    <n v="13"/>
    <n v="50"/>
    <n v="132"/>
    <s v="Hip-Hop/Rap"/>
    <s v="13/6/2025"/>
    <s v="https://image-cdn-ak.spotifycdn.com/image/ab67616d00001e02ed9de13afd41c3377cf330b9"/>
    <b v="0"/>
  </r>
  <r>
    <n v="604"/>
    <s v="spotify:track:3EMfeKtNK4q4k3sVjwg5Yy"/>
    <x v="124"/>
    <s v="My Man on Willpower"/>
    <s v="Island Records"/>
    <n v="9"/>
    <n v="4"/>
    <s v="03:05:00"/>
    <b v="0"/>
    <n v="70"/>
    <n v="55"/>
    <n v="71"/>
    <n v="5"/>
    <n v="39"/>
    <n v="0"/>
    <n v="12"/>
    <n v="58"/>
    <n v="102"/>
    <s v="Pop"/>
    <s v="29/8/2025"/>
    <s v="https://image-cdn-ak.spotifycdn.com/image/ab67616d00001e02b1863bf95557ea7f357c4947"/>
    <b v="0"/>
  </r>
  <r>
    <n v="605"/>
    <s v="spotify:track:3ESSGgWzRf1xvP7G5hHMhB"/>
    <x v="404"/>
    <s v="Again"/>
    <s v="300 Entertainment/RGF Productions"/>
    <n v="120"/>
    <n v="3"/>
    <d v="1899-12-30T03:00:00"/>
    <b v="1"/>
    <n v="75"/>
    <n v="73"/>
    <n v="93"/>
    <n v="7"/>
    <n v="1"/>
    <n v="0"/>
    <n v="33"/>
    <n v="29"/>
    <n v="93"/>
    <s v="Hip-Hop/Rap"/>
    <d v="2015-04-17T00:00:00"/>
    <s v="https://image-cdn-fa.spotifycdn.com/image/ab67616d00001e02df7c1e1c441dd172ea8f29f9"/>
    <b v="0"/>
  </r>
  <r>
    <n v="606"/>
    <s v="spotify:track:3EnTGnmNu1TDEcpbbTajuo"/>
    <x v="37"/>
    <s v="23"/>
    <s v="Mercury Records"/>
    <n v="141"/>
    <n v="1"/>
    <s v="03:48:00"/>
    <b v="0"/>
    <n v="52"/>
    <n v="42"/>
    <n v="69"/>
    <n v="5"/>
    <n v="61"/>
    <n v="0"/>
    <n v="13"/>
    <n v="34"/>
    <n v="96"/>
    <s v="Indie Folk"/>
    <s v="3/4/2026"/>
    <s v="https://image-cdn-ak.spotifycdn.com/image/ab67616d00001e02d879855b819250d3d00a1a38"/>
    <b v="0"/>
  </r>
  <r>
    <n v="607"/>
    <s v="spotify:track:3FZPp9lBUvhsxFxKJi3VkB"/>
    <x v="476"/>
    <s v="GO"/>
    <s v="YG Entertainment"/>
    <n v="23"/>
    <n v="2"/>
    <s v="02:48:00"/>
    <b v="0"/>
    <n v="82"/>
    <n v="79"/>
    <n v="76"/>
    <n v="8"/>
    <n v="10"/>
    <n v="0"/>
    <n v="20"/>
    <n v="74"/>
    <n v="126"/>
    <s v="K-Pop"/>
    <s v="20/3/2026"/>
    <s v="https://image-cdn-ak.spotifycdn.com/image/ab67616d00001e02d885644b72d5254dd621dc45"/>
    <b v="0"/>
  </r>
  <r>
    <n v="608"/>
    <s v="spotify:track:3FjK86616FbluOfTxNK2gY"/>
    <x v="288"/>
    <s v="ANXIETY (feat. Doechii)"/>
    <s v="Winners Circle/RCA Records"/>
    <n v="22"/>
    <n v="4"/>
    <s v="03:05:00"/>
    <b v="1"/>
    <n v="74"/>
    <n v="62"/>
    <n v="72"/>
    <n v="15"/>
    <n v="24"/>
    <n v="0"/>
    <n v="14"/>
    <n v="50"/>
    <n v="140"/>
    <s v="Hip-Hop/Rap"/>
    <s v="15/8/2025"/>
    <s v="https://image-cdn-ak.spotifycdn.com/image/ab67616d00001e02ddb936ba2d182b6973003709"/>
    <b v="0"/>
  </r>
  <r>
    <n v="608"/>
    <s v="spotify:track:3FjK86616FbluOfTxNK2gY"/>
    <x v="477"/>
    <s v="ANXIETY (feat. Doechii)"/>
    <s v="Winners Circle/RCA Records"/>
    <n v="22"/>
    <n v="4"/>
    <s v="03:05:00"/>
    <b v="1"/>
    <n v="74"/>
    <n v="62"/>
    <n v="72"/>
    <n v="15"/>
    <n v="24"/>
    <n v="0"/>
    <n v="14"/>
    <n v="50"/>
    <n v="140"/>
    <s v="Hip-Hop/Rap"/>
    <s v="15/8/2025"/>
    <s v="https://image-cdn-ak.spotifycdn.com/image/ab67616d00001e02ddb936ba2d182b6973003709"/>
    <b v="0"/>
  </r>
  <r>
    <n v="609"/>
    <s v="spotify:track:3G7agPwWfcORnWCAGMDOpm"/>
    <x v="103"/>
    <s v="LA MuDANZA"/>
    <s v="Rimas Entertainment LLC."/>
    <n v="32"/>
    <n v="7"/>
    <d v="1899-12-30T03:18:00"/>
    <b v="1"/>
    <n v="56"/>
    <n v="93"/>
    <n v="91"/>
    <n v="6"/>
    <n v="98"/>
    <n v="94"/>
    <n v="13"/>
    <n v="97"/>
    <n v="174"/>
    <s v="Reggaeton"/>
    <d v="2025-01-05T00:00:00"/>
    <s v="https://image-cdn-ak.spotifycdn.com/image/ab67616d00001e02bbd45c8d36e0e045ef640411"/>
    <b v="0"/>
  </r>
  <r>
    <n v="610"/>
    <s v="spotify:track:3GCdLUSnKSMJhs4Tj6CV3s"/>
    <x v="121"/>
    <s v="All The Stars (with SZA) - From &quot;Black Panther: The Album&quot;"/>
    <s v="Black Panther (TDE/DMG) PS"/>
    <n v="2"/>
    <n v="172"/>
    <d v="1899-12-30T03:52:00"/>
    <b v="1"/>
    <n v="70"/>
    <n v="63"/>
    <n v="92"/>
    <n v="6"/>
    <n v="6"/>
    <n v="0"/>
    <n v="9"/>
    <n v="56"/>
    <n v="97"/>
    <s v="Hip-Hop/Rap"/>
    <d v="2018-01-04T00:00:00"/>
    <s v="https://image-cdn-fa.spotifycdn.com/image/ab67616d00001e02c027ad28821777b00dcaa888"/>
    <b v="0"/>
  </r>
  <r>
    <n v="610"/>
    <s v="spotify:track:3GCdLUSnKSMJhs4Tj6CV3s"/>
    <x v="20"/>
    <s v="All The Stars (with SZA) - From &quot;Black Panther: The Album&quot;"/>
    <s v="Black Panther (TDE/DMG) PS"/>
    <n v="2"/>
    <n v="172"/>
    <d v="1899-12-30T03:52:00"/>
    <b v="1"/>
    <n v="70"/>
    <n v="63"/>
    <n v="92"/>
    <n v="6"/>
    <n v="6"/>
    <n v="0"/>
    <n v="9"/>
    <n v="56"/>
    <n v="97"/>
    <s v="Hip-Hop/Rap"/>
    <d v="2018-01-04T00:00:00"/>
    <s v="https://image-cdn-fa.spotifycdn.com/image/ab67616d00001e02c027ad28821777b00dcaa888"/>
    <b v="0"/>
  </r>
  <r>
    <n v="611"/>
    <s v="spotify:track:3HfKlhohNNTLIv2t9uvmzz"/>
    <x v="478"/>
    <s v="FEAR"/>
    <s v="NF Real Music II"/>
    <n v="147"/>
    <n v="1"/>
    <d v="1899-12-30T03:18:00"/>
    <b v="1"/>
    <n v="62"/>
    <n v="72"/>
    <n v="79"/>
    <n v="14"/>
    <n v="20"/>
    <n v="0"/>
    <n v="11"/>
    <n v="38"/>
    <n v="110"/>
    <s v="Hip-Hop/Rap"/>
    <d v="2025-04-04T00:00:00"/>
    <s v="https://image-cdn-ak.spotifycdn.com/image/ab67616d00001e0292640546d2877fe762c0f050"/>
    <b v="0"/>
  </r>
  <r>
    <n v="612"/>
    <s v="spotify:track:3HlWVKwU0JqJXqJK9DWHnZ"/>
    <x v="11"/>
    <s v="I'm The Problem"/>
    <s v="Big Loud Records / Mercury Records / Republic Records"/>
    <n v="61"/>
    <n v="3"/>
    <d v="1899-12-30T03:18:00"/>
    <b v="0"/>
    <n v="55"/>
    <n v="75"/>
    <n v="92"/>
    <n v="4"/>
    <n v="66"/>
    <n v="0"/>
    <n v="10"/>
    <n v="49"/>
    <n v="92"/>
    <s v="Country"/>
    <d v="2025-05-16T00:00:00"/>
    <s v="https://image-cdn-ak.spotifycdn.com/image/ab67616d00001e0292930c2636726e65410f571a"/>
    <b v="0"/>
  </r>
  <r>
    <n v="613"/>
    <s v="spotify:track:3IEvQ1CzszUJtTRLmmMJ2X"/>
    <x v="60"/>
    <s v="5-7"/>
    <s v="2024 Double P Records"/>
    <n v="160"/>
    <n v="5"/>
    <s v="03:05:00"/>
    <b v="0"/>
    <n v="78"/>
    <n v="74"/>
    <n v="74"/>
    <n v="6"/>
    <n v="18"/>
    <n v="0"/>
    <n v="12"/>
    <n v="89"/>
    <n v="135"/>
    <s v="Regional Mexicano"/>
    <s v="30/5/2025"/>
    <s v="https://image-cdn-ak.spotifycdn.com/image/ab67616d00001e0247e9618ef7411438f9c9478b"/>
    <b v="0"/>
  </r>
  <r>
    <n v="613"/>
    <s v="spotify:track:3IEvQ1CzszUJtTRLmmMJ2X"/>
    <x v="31"/>
    <s v="5-7"/>
    <s v="2024 Double P Records"/>
    <n v="160"/>
    <n v="5"/>
    <s v="03:05:00"/>
    <b v="0"/>
    <n v="78"/>
    <n v="74"/>
    <n v="74"/>
    <n v="6"/>
    <n v="18"/>
    <n v="0"/>
    <n v="12"/>
    <n v="89"/>
    <n v="135"/>
    <s v="Regional Mexicano"/>
    <s v="30/5/2025"/>
    <s v="https://image-cdn-ak.spotifycdn.com/image/ab67616d00001e0247e9618ef7411438f9c9478b"/>
    <b v="0"/>
  </r>
  <r>
    <n v="614"/>
    <s v="spotify:track:3IOQZRcEkplCXg6LofKqE9"/>
    <x v="280"/>
    <s v="Iron Man - 2009 Remaster"/>
    <s v="Sanctuary Records"/>
    <n v="121"/>
    <n v="1"/>
    <d v="1899-12-30T05:55:00"/>
    <b v="0"/>
    <n v="33"/>
    <n v="83"/>
    <n v="85"/>
    <n v="10"/>
    <n v="0"/>
    <n v="0"/>
    <n v="9"/>
    <n v="52"/>
    <n v="158"/>
    <s v="Heavy Metal"/>
    <d v="1970-09-18T00:00:00"/>
    <s v="https://image-cdn-ak.spotifycdn.com/image/ab67616d00001e02d5fccf9ce08b6a1e7d12a222"/>
    <b v="0"/>
  </r>
  <r>
    <n v="615"/>
    <s v="spotify:track:3JG1uFc40wfyrqaWC7iv0e"/>
    <x v="479"/>
    <s v="i like the way you kiss me"/>
    <s v="Artemas"/>
    <n v="1"/>
    <n v="49"/>
    <d v="1899-12-30T02:28:00"/>
    <b v="0"/>
    <n v="60"/>
    <n v="95"/>
    <n v="93"/>
    <n v="4"/>
    <n v="0"/>
    <n v="1"/>
    <n v="8"/>
    <n v="75"/>
    <n v="152"/>
    <s v="Alternative Pop"/>
    <d v="2024-03-19T00:00:00"/>
    <s v="https://image-cdn-ak.spotifycdn.com/image/ab67616d00001e02c9cd12dd361f5d40ca435868"/>
    <b v="0"/>
  </r>
  <r>
    <n v="616"/>
    <s v="spotify:track:3JTphuwOWcI28J2vS4gMmI"/>
    <x v="480"/>
    <s v="Yerinde Dur"/>
    <s v="3TR6AP2"/>
    <n v="95"/>
    <n v="2"/>
    <s v="03:05:00"/>
    <b v="0"/>
    <n v="75"/>
    <n v="69"/>
    <n v="73"/>
    <n v="5"/>
    <n v="24"/>
    <n v="0"/>
    <n v="14"/>
    <n v="63"/>
    <n v="114"/>
    <s v="Turkish Pop"/>
    <s v="20/6/2025"/>
    <s v="https://image-cdn-ak.spotifycdn.com/image/ab67616d00001e02e39badecc39de4c5e51e42be"/>
    <b v="0"/>
  </r>
  <r>
    <n v="616"/>
    <s v="spotify:track:3JTphuwOWcI28J2vS4gMmI"/>
    <x v="481"/>
    <s v="Yerinde Dur"/>
    <s v="3TR6AP2"/>
    <n v="95"/>
    <n v="2"/>
    <s v="03:05:00"/>
    <b v="0"/>
    <n v="75"/>
    <n v="69"/>
    <n v="73"/>
    <n v="5"/>
    <n v="24"/>
    <n v="0"/>
    <n v="14"/>
    <n v="63"/>
    <n v="114"/>
    <s v="Turkish Pop"/>
    <s v="20/6/2025"/>
    <s v="https://image-cdn-ak.spotifycdn.com/image/ab67616d00001e02e39badecc39de4c5e51e42be"/>
    <b v="0"/>
  </r>
  <r>
    <n v="617"/>
    <s v="spotify:track:3JiLQJmVW7d4O8AQDFB3oj"/>
    <x v="482"/>
    <s v="Thodi Si Daaru"/>
    <s v="AP Dhillon"/>
    <n v="127"/>
    <n v="3"/>
    <s v="03:18:00"/>
    <b v="0"/>
    <n v="73"/>
    <n v="61"/>
    <n v="72"/>
    <n v="6"/>
    <n v="36"/>
    <n v="0"/>
    <n v="12"/>
    <n v="60"/>
    <n v="98"/>
    <s v="Punjabi"/>
    <s v="13/6/2025"/>
    <s v="https://image-cdn-fa.spotifycdn.com/image/ab67616d00001e02eb0516ec1c97c3cc97f4cb61"/>
    <b v="0"/>
  </r>
  <r>
    <n v="617"/>
    <s v="spotify:track:3JiLQJmVW7d4O8AQDFB3oj"/>
    <x v="316"/>
    <s v="Thodi Si Daaru"/>
    <s v="AP Dhillon"/>
    <n v="127"/>
    <n v="3"/>
    <s v="03:18:00"/>
    <b v="0"/>
    <n v="73"/>
    <n v="61"/>
    <n v="72"/>
    <n v="6"/>
    <n v="36"/>
    <n v="0"/>
    <n v="12"/>
    <n v="60"/>
    <n v="98"/>
    <s v="Punjabi"/>
    <s v="13/6/2025"/>
    <s v="https://image-cdn-fa.spotifycdn.com/image/ab67616d00001e02eb0516ec1c97c3cc97f4cb61"/>
    <b v="0"/>
  </r>
  <r>
    <n v="618"/>
    <s v="spotify:track:3K68JyPFh5fV8bdWesIqdb"/>
    <x v="483"/>
    <s v="Islands in the Stream"/>
    <s v="RLG/Legacy"/>
    <n v="180"/>
    <n v="1"/>
    <d v="1899-12-30T04:09:00"/>
    <b v="0"/>
    <n v="59"/>
    <n v="47"/>
    <n v="84"/>
    <n v="4"/>
    <n v="68"/>
    <n v="0"/>
    <n v="7"/>
    <n v="74"/>
    <n v="204"/>
    <s v="Country"/>
    <d v="1983-08-01T00:00:00"/>
    <s v="https://image-cdn-ak.spotifycdn.com/image/ab67616d00001e02a80abfeabfda25d2a18e851d"/>
    <b v="0"/>
  </r>
  <r>
    <n v="618"/>
    <s v="spotify:track:3K68JyPFh5fV8bdWesIqdb"/>
    <x v="484"/>
    <s v="Islands in the Stream"/>
    <s v="RLG/Legacy"/>
    <n v="180"/>
    <n v="1"/>
    <d v="1899-12-30T04:09:00"/>
    <b v="0"/>
    <n v="59"/>
    <n v="47"/>
    <n v="84"/>
    <n v="4"/>
    <n v="68"/>
    <n v="0"/>
    <n v="7"/>
    <n v="74"/>
    <n v="204"/>
    <s v="Country"/>
    <d v="1983-08-01T00:00:00"/>
    <s v="https://image-cdn-ak.spotifycdn.com/image/ab67616d00001e02a80abfeabfda25d2a18e851d"/>
    <b v="0"/>
  </r>
  <r>
    <n v="619"/>
    <s v="spotify:track:3KC1yCIfkLrRaeeMUEKvg3"/>
    <x v="11"/>
    <s v="Superman"/>
    <s v="Big Loud Records / Mercury Records / Republic Records"/>
    <n v="89"/>
    <n v="1"/>
    <d v="1899-12-30T03:18:00"/>
    <b v="0"/>
    <n v="62"/>
    <n v="68"/>
    <n v="78"/>
    <n v="6"/>
    <n v="25"/>
    <n v="0"/>
    <n v="11"/>
    <n v="50"/>
    <n v="100"/>
    <s v="Country"/>
    <d v="2025-05-16T00:00:00"/>
    <s v="https://image-cdn-fa.spotifycdn.com/image/ab67616d00001e0235ea219ce47813b5e2dc3745"/>
    <b v="0"/>
  </r>
  <r>
    <n v="620"/>
    <s v="spotify:track:3KTuR5TklU3D3BiBQkWEpI"/>
    <x v="61"/>
    <s v="RARI"/>
    <s v="Double P Records"/>
    <n v="183"/>
    <n v="2"/>
    <d v="1899-12-30T03:05:00"/>
    <b v="1"/>
    <n v="75"/>
    <n v="70"/>
    <n v="87"/>
    <n v="5"/>
    <n v="51"/>
    <n v="2"/>
    <n v="9"/>
    <n v="39"/>
    <n v="110"/>
    <s v="Regional Mexicano"/>
    <d v="2024-11-15T00:00:00"/>
    <s v="https://image-cdn-ak.spotifycdn.com/image/ab67616d00001e02a6c219baa8210e319606f5ce"/>
    <b v="0"/>
  </r>
  <r>
    <n v="621"/>
    <s v="spotify:track:3KYOGt8IO6j8wptkG9THag"/>
    <x v="205"/>
    <s v="Take Me To Church"/>
    <s v="Universal-Island Records Ltd."/>
    <n v="108"/>
    <n v="173"/>
    <d v="1899-12-30T04:01:00"/>
    <b v="0"/>
    <n v="57"/>
    <n v="66"/>
    <n v="91"/>
    <n v="5"/>
    <n v="64"/>
    <n v="0"/>
    <n v="12"/>
    <n v="44"/>
    <n v="129"/>
    <s v="Indie Rock"/>
    <d v="2013-09-16T00:00:00"/>
    <s v="https://image-cdn-fa.spotifycdn.com/image/ab67616d00001e024f1facd12893c3625eeec6bf"/>
    <b v="0"/>
  </r>
  <r>
    <n v="622"/>
    <s v="spotify:track:3KgHiAVuP88QoQs9CO4z1P"/>
    <x v="31"/>
    <s v="TATTOO"/>
    <s v="Double P Records"/>
    <n v="24"/>
    <n v="16"/>
    <d v="1899-12-30T03:05:00"/>
    <b v="1"/>
    <n v="76"/>
    <n v="75"/>
    <n v="93"/>
    <n v="7"/>
    <n v="48"/>
    <n v="0"/>
    <n v="9"/>
    <n v="46"/>
    <n v="110"/>
    <s v="Regional Mexicano"/>
    <d v="2025-03-14T00:00:00"/>
    <s v="https://image-cdn-ak.spotifycdn.com/image/ab67616d00001e024555f9d48babadbd649ba713"/>
    <b v="0"/>
  </r>
  <r>
    <n v="624"/>
    <s v="spotify:track:3LWVXp636uLT356Rj08Jaz"/>
    <x v="485"/>
    <s v="Be Mine"/>
    <s v="BIGHIT MUSIC"/>
    <n v="67"/>
    <n v="8"/>
    <d v="1899-12-30T03:18:00"/>
    <b v="0"/>
    <n v="69"/>
    <n v="75"/>
    <n v="91"/>
    <n v="9"/>
    <n v="6"/>
    <n v="0"/>
    <n v="11"/>
    <n v="56"/>
    <n v="66"/>
    <s v="K-Pop"/>
    <d v="2025-03-28T00:00:00"/>
    <s v="https://image-cdn-ak.spotifycdn.com/image/ab67616d00001e02f02c451189a709b9a952aaec"/>
    <b v="0"/>
  </r>
  <r>
    <n v="625"/>
    <s v="spotify:track:3M0lSi5WW79CXQamgSBIjx"/>
    <x v="486"/>
    <s v="Swim"/>
    <s v="Warner Records"/>
    <n v="52"/>
    <n v="32"/>
    <d v="1899-12-30T03:28:00"/>
    <b v="1"/>
    <n v="67"/>
    <n v="54"/>
    <n v="89"/>
    <n v="4"/>
    <n v="27"/>
    <n v="0"/>
    <n v="8"/>
    <n v="8"/>
    <n v="120"/>
    <s v="Alternative R&amp;B"/>
    <d v="2017-01-20T00:00:00"/>
    <s v="https://image-cdn-ak.spotifycdn.com/image/ab67616d00001e025a0c2870f4f309e382d1fad6"/>
    <b v="0"/>
  </r>
  <r>
    <n v="626"/>
    <s v="spotify:track:3MJ6lFNV12FSHAOzTzkwxz"/>
    <x v="11"/>
    <s v="Smile"/>
    <s v="Big Loud Records / Mercury Records / Republic Records"/>
    <n v="83"/>
    <n v="2"/>
    <d v="1899-12-30T03:18:00"/>
    <b v="0"/>
    <n v="50"/>
    <n v="22"/>
    <n v="81"/>
    <n v="3"/>
    <n v="94"/>
    <n v="0"/>
    <n v="8"/>
    <n v="40"/>
    <n v="126"/>
    <s v="Country"/>
    <d v="2025-05-16T00:00:00"/>
    <s v="https://image-cdn-ak.spotifycdn.com/image/ab67616d00001e026c088410e41c97c4503f86d9"/>
    <b v="0"/>
  </r>
  <r>
    <n v="627"/>
    <s v="spotify:track:3MKhTroJs5GF9H7LqN9fiw"/>
    <x v="487"/>
    <s v="Devil in Disguise"/>
    <s v="broke"/>
    <n v="154"/>
    <n v="3"/>
    <s v="02:48:00"/>
    <b v="1"/>
    <n v="66"/>
    <n v="64"/>
    <n v="72"/>
    <n v="4"/>
    <n v="29"/>
    <n v="0"/>
    <n v="11"/>
    <n v="51"/>
    <n v="126"/>
    <s v="Phonk"/>
    <s v="13/2/2026"/>
    <s v="https://image-cdn-ak.spotifycdn.com/image/ab67616d00001e02117ebf5e67defe3f175eaccc"/>
    <b v="0"/>
  </r>
  <r>
    <n v="628"/>
    <s v="spotify:track:3OfqwyE7RrZrtuxCRixfII"/>
    <x v="23"/>
    <s v="It's ok I'm ok"/>
    <s v="RCA Records Label"/>
    <n v="30"/>
    <n v="8"/>
    <d v="1899-12-30T03:05:00"/>
    <b v="1"/>
    <n v="75"/>
    <n v="53"/>
    <n v="87"/>
    <n v="4"/>
    <n v="1"/>
    <n v="0"/>
    <n v="8"/>
    <n v="37"/>
    <n v="115"/>
    <s v="Pop"/>
    <d v="2025-02-21T00:00:00"/>
    <s v="https://image-cdn-ak.spotifycdn.com/image/ab67616d00001e0230420759f1a2cd4923c5c65b"/>
    <b v="0"/>
  </r>
  <r>
    <n v="629"/>
    <s v="spotify:track:3PIDciSFdrQxSQSihim3hN"/>
    <x v="125"/>
    <s v="Christmas (Baby Please Come Home)"/>
    <s v="Columbia"/>
    <n v="63"/>
    <n v="26"/>
    <d v="1899-12-30T02:38:00"/>
    <b v="0"/>
    <n v="58"/>
    <n v="55"/>
    <n v="74"/>
    <n v="4"/>
    <n v="55"/>
    <n v="0"/>
    <n v="15"/>
    <n v="78"/>
    <n v="120"/>
    <s v="Christmas"/>
    <d v="1994-10-29T00:00:00"/>
    <s v="https://image-cdn-ak.spotifycdn.com/image/ab67616d00001e02c0862332847213b151ffab31"/>
    <b v="1"/>
  </r>
  <r>
    <n v="630"/>
    <s v="spotify:track:3QGsuHI8jO1Rx4JWLUh9jd"/>
    <x v="488"/>
    <s v="Treat You Better"/>
    <s v="Island Records"/>
    <n v="18"/>
    <n v="76"/>
    <d v="1899-12-30T03:07:00"/>
    <b v="0"/>
    <n v="44"/>
    <n v="82"/>
    <n v="93"/>
    <n v="34"/>
    <n v="11"/>
    <n v="0"/>
    <n v="11"/>
    <n v="77"/>
    <n v="83"/>
    <s v="Pop"/>
    <d v="2016-06-03T00:00:00"/>
    <s v="https://image-cdn-ak.spotifycdn.com/image/ab67616d00001e021376b4b16f4bfcba02dc571b"/>
    <b v="0"/>
  </r>
  <r>
    <n v="631"/>
    <s v="spotify:track:3QIoEi8Enr9uHffwInGIsC"/>
    <x v="489"/>
    <s v="Please Come Home for Christmas - 2013 Remaster"/>
    <s v="Rhino/Elektra"/>
    <n v="26"/>
    <n v="13"/>
    <d v="1899-12-30T02:57:00"/>
    <b v="0"/>
    <n v="55"/>
    <n v="50"/>
    <n v="73"/>
    <n v="4"/>
    <n v="55"/>
    <n v="0"/>
    <n v="15"/>
    <n v="72"/>
    <n v="120"/>
    <s v="Christmas"/>
    <d v="1978-11-13T00:00:00"/>
    <s v="https://image-cdn-ak.spotifycdn.com/image/ab67616d00001e026d4362a2b2e39422000f8ed3"/>
    <b v="1"/>
  </r>
  <r>
    <n v="632"/>
    <s v="spotify:track:3QaPy1KgI7nu9FJEQUgn6h"/>
    <x v="65"/>
    <s v="WILDFLOWER"/>
    <s v="Darkroom/Interscope Records"/>
    <n v="9"/>
    <n v="124"/>
    <d v="1899-12-30T04:21:00"/>
    <b v="0"/>
    <n v="47"/>
    <n v="25"/>
    <n v="80"/>
    <n v="4"/>
    <n v="61"/>
    <n v="0"/>
    <n v="17"/>
    <n v="13"/>
    <n v="148"/>
    <s v="Pop"/>
    <d v="2024-05-17T00:00:00"/>
    <s v="https://image-cdn-fa.spotifycdn.com/image/ab67616d00001e0271d62ea7ea8a5be92d3c1f62"/>
    <b v="0"/>
  </r>
  <r>
    <n v="633"/>
    <s v="spotify:track:3QiAAp20rPC3dcAtKtMaqQ"/>
    <x v="490"/>
    <s v="Blue Christmas"/>
    <s v="RCA Victor"/>
    <n v="34"/>
    <n v="37"/>
    <d v="1899-12-30T02:09:00"/>
    <b v="0"/>
    <n v="52"/>
    <n v="48"/>
    <n v="72"/>
    <n v="3"/>
    <n v="55"/>
    <n v="0"/>
    <n v="15"/>
    <n v="68"/>
    <n v="115"/>
    <s v="Christmas"/>
    <d v="1957-11-01T00:00:00"/>
    <s v="https://image-cdn-fa.spotifycdn.com/image/ab67616d00001e02a2a6d54759001ebdfe9a37a1"/>
    <b v="1"/>
  </r>
  <r>
    <n v="634"/>
    <s v="spotify:track:3QuRLv8zkIYH31O5VgEpmo"/>
    <x v="5"/>
    <s v="Carla's Song"/>
    <s v="Columbia"/>
    <n v="38"/>
    <n v="2"/>
    <s v="03:28:00"/>
    <b v="0"/>
    <n v="61"/>
    <n v="50"/>
    <n v="71"/>
    <n v="4"/>
    <n v="49"/>
    <n v="0"/>
    <n v="14"/>
    <n v="42"/>
    <n v="98"/>
    <s v="Pop"/>
    <s v="6/3/2026"/>
    <s v="https://image-cdn-ak.spotifycdn.com/image/ab67616d00001e0274959140f550b11049c18a38"/>
    <b v="0"/>
  </r>
  <r>
    <n v="635"/>
    <s v="spotify:track:3RXUgPNIbUgFxsDWuBQEt6"/>
    <x v="73"/>
    <s v="How It’s Done"/>
    <s v="K-Pop Demon Hunters"/>
    <n v="6"/>
    <n v="25"/>
    <s v="03:05:00"/>
    <b v="0"/>
    <n v="84"/>
    <n v="81"/>
    <n v="76"/>
    <n v="9"/>
    <n v="9"/>
    <n v="0"/>
    <n v="20"/>
    <n v="78"/>
    <n v="124"/>
    <s v="K-Pop"/>
    <s v="20/6/2025"/>
    <s v="https://image-cdn-ak.spotifycdn.com/image/ab67616d00001e024dcb6c5df15cf74596ab25a4"/>
    <b v="0"/>
  </r>
  <r>
    <n v="635"/>
    <s v="spotify:track:3RXUgPNIbUgFxsDWuBQEt6"/>
    <x v="74"/>
    <s v="How It’s Done"/>
    <s v="K-Pop Demon Hunters"/>
    <n v="6"/>
    <n v="25"/>
    <s v="03:05:00"/>
    <b v="0"/>
    <n v="84"/>
    <n v="81"/>
    <n v="76"/>
    <n v="9"/>
    <n v="9"/>
    <n v="0"/>
    <n v="20"/>
    <n v="78"/>
    <n v="124"/>
    <s v="K-Pop"/>
    <s v="20/6/2025"/>
    <s v="https://image-cdn-ak.spotifycdn.com/image/ab67616d00001e024dcb6c5df15cf74596ab25a4"/>
    <b v="0"/>
  </r>
  <r>
    <n v="635"/>
    <s v="spotify:track:3RXUgPNIbUgFxsDWuBQEt6"/>
    <x v="75"/>
    <s v="How It’s Done"/>
    <s v="K-Pop Demon Hunters"/>
    <n v="6"/>
    <n v="25"/>
    <s v="03:05:00"/>
    <b v="0"/>
    <n v="84"/>
    <n v="81"/>
    <n v="76"/>
    <n v="9"/>
    <n v="9"/>
    <n v="0"/>
    <n v="20"/>
    <n v="78"/>
    <n v="124"/>
    <s v="K-Pop"/>
    <s v="20/6/2025"/>
    <s v="https://image-cdn-ak.spotifycdn.com/image/ab67616d00001e024dcb6c5df15cf74596ab25a4"/>
    <b v="0"/>
  </r>
  <r>
    <n v="635"/>
    <s v="spotify:track:3RXUgPNIbUgFxsDWuBQEt6"/>
    <x v="15"/>
    <s v="How It’s Done"/>
    <s v="K-Pop Demon Hunters"/>
    <n v="6"/>
    <n v="25"/>
    <s v="03:05:00"/>
    <b v="0"/>
    <n v="84"/>
    <n v="81"/>
    <n v="76"/>
    <n v="9"/>
    <n v="9"/>
    <n v="0"/>
    <n v="20"/>
    <n v="78"/>
    <n v="124"/>
    <s v="K-Pop"/>
    <s v="20/6/2025"/>
    <s v="https://image-cdn-ak.spotifycdn.com/image/ab67616d00001e024dcb6c5df15cf74596ab25a4"/>
    <b v="0"/>
  </r>
  <r>
    <n v="635"/>
    <s v="spotify:track:3RXUgPNIbUgFxsDWuBQEt6"/>
    <x v="76"/>
    <s v="How It’s Done"/>
    <s v="K-Pop Demon Hunters"/>
    <n v="6"/>
    <n v="25"/>
    <s v="03:05:00"/>
    <b v="0"/>
    <n v="84"/>
    <n v="81"/>
    <n v="76"/>
    <n v="9"/>
    <n v="9"/>
    <n v="0"/>
    <n v="20"/>
    <n v="78"/>
    <n v="124"/>
    <s v="K-Pop"/>
    <s v="20/6/2025"/>
    <s v="https://image-cdn-ak.spotifycdn.com/image/ab67616d00001e024dcb6c5df15cf74596ab25a4"/>
    <b v="0"/>
  </r>
  <r>
    <n v="636"/>
    <s v="spotify:track:3SAga35lAPYdjj3qyfEsCF"/>
    <x v="123"/>
    <s v="Feel It (From “Invincible”)"/>
    <s v="D4VD ENT, LLC"/>
    <n v="55"/>
    <n v="14"/>
    <d v="1899-12-30T03:18:00"/>
    <b v="0"/>
    <n v="56"/>
    <n v="59"/>
    <n v="90"/>
    <n v="9"/>
    <n v="3"/>
    <n v="0"/>
    <n v="22"/>
    <n v="43"/>
    <n v="121"/>
    <s v="Indie Pop"/>
    <d v="2025-01-17T00:00:00"/>
    <s v="https://image-cdn-ak.spotifycdn.com/image/ab67616d00001e02a9da992c2ef398245027d654"/>
    <b v="0"/>
  </r>
  <r>
    <n v="637"/>
    <s v="spotify:track:3THVfoVD5kdCxPviVaCPi7"/>
    <x v="298"/>
    <s v="Internet Girl"/>
    <s v="Hybe/Geffen"/>
    <n v="31"/>
    <n v="4"/>
    <s v="02:48:00"/>
    <b v="0"/>
    <n v="78"/>
    <n v="71"/>
    <n v="74"/>
    <n v="6"/>
    <n v="18"/>
    <n v="0"/>
    <n v="15"/>
    <n v="68"/>
    <n v="115"/>
    <s v="K-Pop"/>
    <s v="9/1/2026"/>
    <s v="https://image-cdn-ak.spotifycdn.com/image/ab67616d00001e0276cf80e10aea7ef055e34ea3"/>
    <b v="0"/>
  </r>
  <r>
    <n v="638"/>
    <s v="spotify:track:3U0K5zLGVVIHoAXQolRGEP"/>
    <x v="491"/>
    <s v="A Holly Jolly Christmas"/>
    <s v="UME - Global Clearing House"/>
    <n v="23"/>
    <n v="36"/>
    <d v="1899-12-30T02:14:00"/>
    <b v="0"/>
    <n v="55"/>
    <n v="50"/>
    <n v="72"/>
    <n v="4"/>
    <n v="55"/>
    <n v="0"/>
    <n v="15"/>
    <n v="78"/>
    <n v="120"/>
    <s v="Christmas"/>
    <d v="1965-11-01T00:00:00"/>
    <s v="https://image-cdn-ak.spotifycdn.com/image/ab67616d00001e02c9d95f2cb6acc137bd84c433"/>
    <b v="1"/>
  </r>
  <r>
    <n v="639"/>
    <s v="spotify:track:3U3hFkMr0Q90pD24EkE3Pr"/>
    <x v="20"/>
    <s v="BMF"/>
    <s v="Top Dawg Entertainment/RCA Records"/>
    <n v="23"/>
    <n v="14"/>
    <d v="1899-12-30T02:48:00"/>
    <b v="1"/>
    <n v="79"/>
    <n v="55"/>
    <n v="86"/>
    <n v="3"/>
    <n v="51"/>
    <n v="2"/>
    <n v="9"/>
    <n v="97"/>
    <n v="128"/>
    <s v="R&amp;B"/>
    <d v="2022-12-09T00:00:00"/>
    <s v="https://image-cdn-ak.spotifycdn.com/image/ab67616d00001e0216fdde9f6b5606419ca9b7ca"/>
    <b v="0"/>
  </r>
  <r>
    <n v="640"/>
    <s v="spotify:track:3U4isOIWM3VvDubwSI3y7a"/>
    <x v="492"/>
    <s v="All of Me"/>
    <s v="G.O.O.D. Music/Columbia"/>
    <n v="110"/>
    <n v="160"/>
    <d v="1899-12-30T04:29:00"/>
    <b v="0"/>
    <n v="42"/>
    <n v="26"/>
    <n v="88"/>
    <n v="3"/>
    <n v="92"/>
    <n v="0"/>
    <n v="13"/>
    <n v="33"/>
    <n v="120"/>
    <s v="Pop"/>
    <d v="2013-08-12T00:00:00"/>
    <s v="https://image-cdn-fa.spotifycdn.com/image/ab67616d00001e02bdcc3b587b5249932bc415c2"/>
    <b v="0"/>
  </r>
  <r>
    <n v="641"/>
    <s v="spotify:track:3U5JVgI2x4rDyHGObzJfNf"/>
    <x v="493"/>
    <s v="Unwritten"/>
    <s v="Sony Music CG"/>
    <n v="16"/>
    <n v="89"/>
    <d v="1899-12-30T04:19:00"/>
    <b v="0"/>
    <n v="71"/>
    <n v="80"/>
    <n v="89"/>
    <n v="4"/>
    <n v="1"/>
    <n v="0"/>
    <n v="8"/>
    <n v="63"/>
    <n v="100"/>
    <s v="Pop"/>
    <d v="2004-11-29T00:00:00"/>
    <s v="https://image-cdn-ak.spotifycdn.com/image/ab67616d00001e02b337e1ca6629a53c66a3b0d4"/>
    <b v="0"/>
  </r>
  <r>
    <n v="642"/>
    <s v="spotify:track:3UGIZ8qcrMTwzLbx6Kttqt"/>
    <x v="2"/>
    <s v="Boyfriend"/>
    <s v="RBMG/Def Jam"/>
    <n v="139"/>
    <n v="1"/>
    <d v="1899-12-30T02:52:00"/>
    <b v="0"/>
    <n v="72"/>
    <n v="55"/>
    <n v="90"/>
    <n v="5"/>
    <n v="4"/>
    <n v="0"/>
    <n v="13"/>
    <n v="33"/>
    <n v="97"/>
    <s v="Pop"/>
    <d v="2012-03-26T00:00:00"/>
    <s v="https://image-cdn-ak.spotifycdn.com/image/ab67616d00001e02f1d02a6cec967f8b6b78f76e"/>
    <b v="0"/>
  </r>
  <r>
    <n v="643"/>
    <s v="spotify:track:3USxtqRwSYz57Ewm6wWRMp"/>
    <x v="494"/>
    <s v="Heat Waves"/>
    <s v="Polydor Records"/>
    <n v="1"/>
    <n v="212"/>
    <d v="1899-12-30T03:58:00"/>
    <b v="0"/>
    <n v="76"/>
    <n v="52"/>
    <n v="88"/>
    <n v="9"/>
    <n v="44"/>
    <n v="0"/>
    <n v="9"/>
    <n v="53"/>
    <n v="81"/>
    <s v="Indie Pop"/>
    <d v="2020-06-29T00:00:00"/>
    <s v="https://image-cdn-ak.spotifycdn.com/image/ab67616d00001e02712701c5e263efc8726b1464"/>
    <b v="0"/>
  </r>
  <r>
    <n v="644"/>
    <s v="spotify:track:3VTNVsTTu05dmTsVFrmGpK"/>
    <x v="495"/>
    <s v="Fairytale of New York (feat. Kirsty MacColl)"/>
    <s v="WM UK"/>
    <n v="45"/>
    <n v="34"/>
    <d v="1899-12-30T04:32:00"/>
    <b v="0"/>
    <n v="55"/>
    <n v="50"/>
    <n v="73"/>
    <n v="4"/>
    <n v="55"/>
    <n v="0"/>
    <n v="15"/>
    <n v="65"/>
    <n v="120"/>
    <s v="Christmas"/>
    <d v="1987-11-23T00:00:00"/>
    <s v="https://image-cdn-fa.spotifycdn.com/image/ab67616d00001e02d78a4f4946cd9081bd6b57b5"/>
    <b v="1"/>
  </r>
  <r>
    <n v="644"/>
    <s v="spotify:track:3VTNVsTTu05dmTsVFrmGpK"/>
    <x v="496"/>
    <s v="Fairytale of New York (feat. Kirsty MacColl)"/>
    <s v="WM UK"/>
    <n v="45"/>
    <n v="34"/>
    <d v="1899-12-30T04:32:00"/>
    <b v="0"/>
    <n v="55"/>
    <n v="50"/>
    <n v="73"/>
    <n v="4"/>
    <n v="55"/>
    <n v="0"/>
    <n v="15"/>
    <n v="65"/>
    <n v="120"/>
    <s v="Christmas"/>
    <d v="1987-11-23T00:00:00"/>
    <s v="https://image-cdn-fa.spotifycdn.com/image/ab67616d00001e02d78a4f4946cd9081bd6b57b5"/>
    <b v="1"/>
  </r>
  <r>
    <n v="646"/>
    <s v="spotify:track:3Vd4fHzwS6pBS3muymjiDi"/>
    <x v="77"/>
    <s v="Let Alone The One You Love"/>
    <s v="PLG - Capitol"/>
    <n v="146"/>
    <n v="4"/>
    <s v="03:05:00"/>
    <b v="0"/>
    <n v="66"/>
    <n v="45"/>
    <n v="71"/>
    <n v="4"/>
    <n v="62"/>
    <n v="0"/>
    <n v="11"/>
    <n v="49"/>
    <n v="102"/>
    <s v="Pop"/>
    <s v="14/11/2025"/>
    <s v="https://image-cdn-ak.spotifycdn.com/image/ab67616d00001e029a336bfb6d40bbd90a507417"/>
    <b v="0"/>
  </r>
  <r>
    <n v="647"/>
    <s v="spotify:track:3VdooJLOy4tLxKpnn46SMP"/>
    <x v="1"/>
    <s v="CRUSH (with Travis Scott)"/>
    <s v="AWGE/Interscope Records"/>
    <n v="14"/>
    <n v="2"/>
    <d v="1899-12-30T03:05:00"/>
    <b v="1"/>
    <n v="43"/>
    <n v="62"/>
    <n v="88"/>
    <n v="5"/>
    <n v="20"/>
    <n v="0"/>
    <n v="17"/>
    <n v="26"/>
    <n v="140"/>
    <s v="Hip-Hop/Rap"/>
    <d v="2025-03-14T00:00:00"/>
    <s v="https://image-cdn-ak.spotifycdn.com/image/ab67616d00001e026b219c8d8462bfe254a20469"/>
    <b v="0"/>
  </r>
  <r>
    <n v="647"/>
    <s v="spotify:track:3VdooJLOy4tLxKpnn46SMP"/>
    <x v="186"/>
    <s v="CRUSH (with Travis Scott)"/>
    <s v="AWGE/Interscope Records"/>
    <n v="14"/>
    <n v="2"/>
    <d v="1899-12-30T03:05:00"/>
    <b v="1"/>
    <n v="43"/>
    <n v="62"/>
    <n v="88"/>
    <n v="5"/>
    <n v="20"/>
    <n v="0"/>
    <n v="17"/>
    <n v="26"/>
    <n v="140"/>
    <s v="Hip-Hop/Rap"/>
    <d v="2025-03-14T00:00:00"/>
    <s v="https://image-cdn-ak.spotifycdn.com/image/ab67616d00001e026b219c8d8462bfe254a20469"/>
    <b v="0"/>
  </r>
  <r>
    <n v="648"/>
    <s v="spotify:track:3VegC0PZiHjGxb80DER8XU"/>
    <x v="69"/>
    <s v="Merry Go Round"/>
    <s v="BIGHIT MUSIC"/>
    <n v="12"/>
    <n v="12"/>
    <s v="03:18:00"/>
    <b v="0"/>
    <n v="65"/>
    <n v="58"/>
    <n v="72"/>
    <n v="5"/>
    <n v="36"/>
    <n v="0"/>
    <n v="16"/>
    <n v="51"/>
    <n v="145"/>
    <s v="K-Pop"/>
    <s v="20/3/2026"/>
    <s v="https://image-cdn-fa.spotifycdn.com/image/ab67616d00001e02dfa17fad7f190c901603270e"/>
    <b v="0"/>
  </r>
  <r>
    <n v="649"/>
    <s v="spotify:track:3Vr3zh0r7ALn8VLqCiRR10"/>
    <x v="497"/>
    <s v="Stargazing"/>
    <s v="RCA Records Label"/>
    <n v="16"/>
    <n v="58"/>
    <d v="1899-12-30T02:48:00"/>
    <b v="0"/>
    <n v="64"/>
    <n v="60"/>
    <n v="90"/>
    <n v="3"/>
    <n v="25"/>
    <n v="0"/>
    <n v="11"/>
    <n v="33"/>
    <n v="124"/>
    <s v="Pop"/>
    <d v="2024-05-10T00:00:00"/>
    <s v="https://image-cdn-ak.spotifycdn.com/image/ab67616d00001e02e4e0499c904f9dbf4d847d2f"/>
    <b v="0"/>
  </r>
  <r>
    <n v="650"/>
    <s v="spotify:track:3W5Y2d0HB3sgubDAYXGRKn"/>
    <x v="55"/>
    <s v="Take Me Back To LA"/>
    <s v="XO / Republic Records"/>
    <n v="128"/>
    <n v="1"/>
    <d v="1899-12-30T04:12:00"/>
    <b v="0"/>
    <n v="37"/>
    <n v="57"/>
    <n v="87"/>
    <n v="5"/>
    <n v="10"/>
    <n v="0"/>
    <n v="8"/>
    <n v="18"/>
    <n v="208"/>
    <s v="R&amp;B"/>
    <d v="2025-01-31T00:00:00"/>
    <s v="https://image-cdn-ak.spotifycdn.com/image/ab67616d00001e02460b137f921b16041901104a"/>
    <b v="0"/>
  </r>
  <r>
    <n v="651"/>
    <s v="spotify:track:3WQ5w7ruC3c861lHXF9Gs2"/>
    <x v="498"/>
    <s v="SWAG"/>
    <s v="JRC Entertainment, LLC / ILH Production Co. LLC / Def Jam Recordings"/>
    <n v="154"/>
    <n v="1"/>
    <s v="03:18:00"/>
    <b v="1"/>
    <n v="83"/>
    <n v="62"/>
    <n v="73"/>
    <n v="12"/>
    <n v="14"/>
    <n v="0"/>
    <n v="12"/>
    <n v="67"/>
    <n v="136"/>
    <s v="Hip-Hop/Rap"/>
    <s v="12/9/2025"/>
    <s v="https://image-cdn-ak.spotifycdn.com/image/ab67616d00001e02d65c4773bc5061fd27facc5b"/>
    <b v="0"/>
  </r>
  <r>
    <n v="651"/>
    <s v="spotify:track:3WQ5w7ruC3c861lHXF9Gs2"/>
    <x v="499"/>
    <s v="SWAG"/>
    <s v="JRC Entertainment, LLC / ILH Production Co. LLC / Def Jam Recordings"/>
    <n v="154"/>
    <n v="1"/>
    <s v="03:18:00"/>
    <b v="1"/>
    <n v="83"/>
    <n v="62"/>
    <n v="73"/>
    <n v="12"/>
    <n v="14"/>
    <n v="0"/>
    <n v="12"/>
    <n v="67"/>
    <n v="136"/>
    <s v="Hip-Hop/Rap"/>
    <s v="12/9/2025"/>
    <s v="https://image-cdn-ak.spotifycdn.com/image/ab67616d00001e02d65c4773bc5061fd27facc5b"/>
    <b v="0"/>
  </r>
  <r>
    <n v="651"/>
    <s v="spotify:track:3WQ5w7ruC3c861lHXF9Gs2"/>
    <x v="2"/>
    <s v="SWAG"/>
    <s v="JRC Entertainment, LLC / ILH Production Co. LLC / Def Jam Recordings"/>
    <n v="154"/>
    <n v="1"/>
    <s v="03:18:00"/>
    <b v="1"/>
    <n v="83"/>
    <n v="62"/>
    <n v="73"/>
    <n v="12"/>
    <n v="14"/>
    <n v="0"/>
    <n v="12"/>
    <n v="67"/>
    <n v="136"/>
    <s v="Hip-Hop/Rap"/>
    <s v="12/9/2025"/>
    <s v="https://image-cdn-ak.spotifycdn.com/image/ab67616d00001e02d65c4773bc5061fd27facc5b"/>
    <b v="0"/>
  </r>
  <r>
    <n v="652"/>
    <s v="spotify:track:3WRUvGqySBZC6RkB5c2w1S"/>
    <x v="1"/>
    <s v="MOJO JOJO"/>
    <s v="AWGE/Interscope Records"/>
    <n v="29"/>
    <n v="1"/>
    <d v="1899-12-30T02:48:00"/>
    <b v="1"/>
    <n v="81"/>
    <n v="64"/>
    <n v="89"/>
    <n v="28"/>
    <n v="1"/>
    <n v="0"/>
    <n v="11"/>
    <n v="26"/>
    <n v="148"/>
    <s v="Hip-Hop/Rap"/>
    <d v="2025-03-14T00:00:00"/>
    <s v="https://image-cdn-ak.spotifycdn.com/image/ab67616d00001e026b219c8d8462bfe254a20469"/>
    <b v="0"/>
  </r>
  <r>
    <n v="653"/>
    <s v="spotify:track:3WRgRy12YW4I9mjodKXWwy"/>
    <x v="37"/>
    <s v="American Cars"/>
    <s v="Mercury Records"/>
    <n v="50"/>
    <n v="2"/>
    <s v="03:48:00"/>
    <b v="0"/>
    <n v="59"/>
    <n v="53"/>
    <n v="72"/>
    <n v="4"/>
    <n v="46"/>
    <n v="0"/>
    <n v="10"/>
    <n v="42"/>
    <n v="124"/>
    <s v="Indie Folk"/>
    <s v="3/4/2026"/>
    <s v="https://image-cdn-ak.spotifycdn.com/image/ab67616d00001e02d879855b819250d3d00a1a38"/>
    <b v="0"/>
  </r>
  <r>
    <n v="654"/>
    <s v="spotify:track:3WgFhZfyk5nb6v7hkwPmD4"/>
    <x v="238"/>
    <s v="Mommanem"/>
    <s v="Columbia"/>
    <n v="112"/>
    <n v="1"/>
    <s v="03:18:00"/>
    <b v="1"/>
    <n v="72"/>
    <n v="58"/>
    <n v="72"/>
    <n v="22"/>
    <n v="38"/>
    <n v="0"/>
    <n v="15"/>
    <n v="46"/>
    <n v="88"/>
    <s v="Hip-Hop/Rap"/>
    <s v="18/7/2025"/>
    <s v="https://image-cdn-ak.spotifycdn.com/image/ab67616d00001e024b7fbb849ed845ddedcce346"/>
    <b v="0"/>
  </r>
  <r>
    <n v="655"/>
    <s v="spotify:track:3XsaSIPWvM61RIFfeb0BBR"/>
    <x v="24"/>
    <s v="White Christmas - 1947 Version"/>
    <s v="Geffen"/>
    <n v="25"/>
    <n v="41"/>
    <d v="1899-12-30T03:05:00"/>
    <b v="0"/>
    <n v="52"/>
    <n v="48"/>
    <n v="72"/>
    <n v="3"/>
    <n v="55"/>
    <n v="0"/>
    <n v="15"/>
    <n v="72"/>
    <n v="120"/>
    <s v="Christmas"/>
    <d v="1947-09-01T00:00:00"/>
    <s v="https://image-cdn-ak.spotifycdn.com/image/ab67616d00001e028004cd6b343732b0e1e666f5"/>
    <b v="1"/>
  </r>
  <r>
    <n v="655"/>
    <s v="spotify:track:3XsaSIPWvM61RIFfeb0BBR"/>
    <x v="500"/>
    <s v="White Christmas - 1947 Version"/>
    <s v="Geffen"/>
    <n v="25"/>
    <n v="41"/>
    <d v="1899-12-30T03:05:00"/>
    <b v="0"/>
    <n v="52"/>
    <n v="48"/>
    <n v="72"/>
    <n v="3"/>
    <n v="55"/>
    <n v="0"/>
    <n v="15"/>
    <n v="72"/>
    <n v="120"/>
    <s v="Christmas"/>
    <d v="1947-09-01T00:00:00"/>
    <s v="https://image-cdn-ak.spotifycdn.com/image/ab67616d00001e028004cd6b343732b0e1e666f5"/>
    <b v="1"/>
  </r>
  <r>
    <n v="655"/>
    <s v="spotify:track:3XsaSIPWvM61RIFfeb0BBR"/>
    <x v="501"/>
    <s v="White Christmas - 1947 Version"/>
    <s v="Geffen"/>
    <n v="25"/>
    <n v="41"/>
    <d v="1899-12-30T03:05:00"/>
    <b v="0"/>
    <n v="52"/>
    <n v="48"/>
    <n v="72"/>
    <n v="3"/>
    <n v="55"/>
    <n v="0"/>
    <n v="15"/>
    <n v="72"/>
    <n v="120"/>
    <s v="Christmas"/>
    <d v="1947-09-01T00:00:00"/>
    <s v="https://image-cdn-ak.spotifycdn.com/image/ab67616d00001e028004cd6b343732b0e1e666f5"/>
    <b v="1"/>
  </r>
  <r>
    <n v="656"/>
    <s v="spotify:track:3XyCSaEvFQeflTqlF8FAjL"/>
    <x v="502"/>
    <s v="Waka Waka (This Time for Africa) [The Official 2010 FIFA World Cup (TM) Song] (feat. Freshlyground)"/>
    <s v="Legacy Recordings"/>
    <n v="157"/>
    <n v="1"/>
    <d v="1899-12-30T03:22:00"/>
    <b v="0"/>
    <n v="70"/>
    <n v="91"/>
    <n v="93"/>
    <n v="25"/>
    <n v="0"/>
    <n v="0"/>
    <n v="15"/>
    <n v="62"/>
    <n v="127"/>
    <s v="Afro Pop"/>
    <d v="2010-05-11T00:00:00"/>
    <s v="https://image-cdn-ak.spotifycdn.com/image/ab67616d00001e02ffb27f9337dbb82468b2661a"/>
    <b v="0"/>
  </r>
  <r>
    <n v="656"/>
    <s v="spotify:track:3XyCSaEvFQeflTqlF8FAjL"/>
    <x v="153"/>
    <s v="Waka Waka (This Time for Africa) [The Official 2010 FIFA World Cup (TM) Song] (feat. Freshlyground)"/>
    <s v="Legacy Recordings"/>
    <n v="157"/>
    <n v="1"/>
    <d v="1899-12-30T03:22:00"/>
    <b v="0"/>
    <n v="70"/>
    <n v="91"/>
    <n v="93"/>
    <n v="25"/>
    <n v="0"/>
    <n v="0"/>
    <n v="15"/>
    <n v="62"/>
    <n v="127"/>
    <s v="Afro Pop"/>
    <d v="2010-05-11T00:00:00"/>
    <s v="https://image-cdn-ak.spotifycdn.com/image/ab67616d00001e02ffb27f9337dbb82468b2661a"/>
    <b v="0"/>
  </r>
  <r>
    <n v="657"/>
    <s v="spotify:track:3ZFTkvIE7kyPt6Nu3PEa7V"/>
    <x v="153"/>
    <s v="Hips Don't Lie (feat. Wyclef Jean)"/>
    <s v="Epic"/>
    <n v="82"/>
    <n v="31"/>
    <d v="1899-12-30T03:38:00"/>
    <b v="0"/>
    <n v="78"/>
    <n v="82"/>
    <n v="90"/>
    <n v="7"/>
    <n v="28"/>
    <n v="0"/>
    <n v="40"/>
    <n v="76"/>
    <n v="100"/>
    <s v="Reggaeton"/>
    <d v="2006-02-28T00:00:00"/>
    <s v="https://image-cdn-ak.spotifycdn.com/image/ab67616d00001e0227ddd747545c0d0cfe7595fa"/>
    <b v="0"/>
  </r>
  <r>
    <n v="657"/>
    <s v="spotify:track:3ZFTkvIE7kyPt6Nu3PEa7V"/>
    <x v="503"/>
    <s v="Hips Don't Lie (feat. Wyclef Jean)"/>
    <s v="Epic"/>
    <n v="82"/>
    <n v="31"/>
    <d v="1899-12-30T03:38:00"/>
    <b v="0"/>
    <n v="78"/>
    <n v="82"/>
    <n v="90"/>
    <n v="7"/>
    <n v="28"/>
    <n v="0"/>
    <n v="40"/>
    <n v="76"/>
    <n v="100"/>
    <s v="Reggaeton"/>
    <d v="2006-02-28T00:00:00"/>
    <s v="https://image-cdn-ak.spotifycdn.com/image/ab67616d00001e0227ddd747545c0d0cfe7595fa"/>
    <b v="0"/>
  </r>
  <r>
    <n v="658"/>
    <s v="spotify:track:3ZOEytgrvLwQaqXreDs2Jx"/>
    <x v="232"/>
    <s v="Can't Stop"/>
    <s v="Warner Records"/>
    <n v="161"/>
    <n v="4"/>
    <d v="1899-12-30T04:29:00"/>
    <b v="0"/>
    <n v="62"/>
    <n v="94"/>
    <n v="94"/>
    <n v="5"/>
    <n v="2"/>
    <n v="0"/>
    <n v="17"/>
    <n v="88"/>
    <n v="91"/>
    <s v="Alternative"/>
    <d v="2002-07-08T00:00:00"/>
    <s v="https://image-cdn-fa.spotifycdn.com/image/ab67616d00001e02de1af2785a83cc660155a0c4"/>
    <b v="0"/>
  </r>
  <r>
    <n v="659"/>
    <s v="spotify:track:3aD33slymVwdEcdbKUBnDu"/>
    <x v="504"/>
    <s v="cliché"/>
    <s v="EST 19XX, LLC, under exclusive license to Interscope Records"/>
    <n v="167"/>
    <n v="1"/>
    <s v="03:05:00"/>
    <b v="1"/>
    <n v="66"/>
    <n v="72"/>
    <n v="74"/>
    <n v="5"/>
    <n v="18"/>
    <n v="0"/>
    <n v="15"/>
    <n v="53"/>
    <n v="136"/>
    <s v="Pop Punk"/>
    <s v="27/6/2025"/>
    <s v="https://image-cdn-ak.spotifycdn.com/image/ab67616d00001e024fcac0fac2799a4dda037cc1"/>
    <b v="0"/>
  </r>
  <r>
    <n v="660"/>
    <s v="spotify:track:3aSWXU6owkZeVhh94XxEWO"/>
    <x v="121"/>
    <s v="30 For 30 (with Kendrick Lamar)"/>
    <s v="Top Dawg Entertainment/RCA Records"/>
    <n v="32"/>
    <n v="14"/>
    <d v="1899-12-30T03:18:00"/>
    <b v="1"/>
    <n v="71"/>
    <n v="42"/>
    <n v="83"/>
    <n v="6"/>
    <n v="76"/>
    <n v="0"/>
    <n v="13"/>
    <n v="51"/>
    <n v="140"/>
    <s v="R&amp;B"/>
    <d v="2024-12-20T00:00:00"/>
    <s v="https://image-cdn-ak.spotifycdn.com/image/ab67616d00001e0216fdde9f6b5606419ca9b7ca"/>
    <b v="0"/>
  </r>
  <r>
    <n v="660"/>
    <s v="spotify:track:3aSWXU6owkZeVhh94XxEWO"/>
    <x v="20"/>
    <s v="30 For 30 (with Kendrick Lamar)"/>
    <s v="Top Dawg Entertainment/RCA Records"/>
    <n v="32"/>
    <n v="14"/>
    <d v="1899-12-30T03:18:00"/>
    <b v="1"/>
    <n v="71"/>
    <n v="42"/>
    <n v="83"/>
    <n v="6"/>
    <n v="76"/>
    <n v="0"/>
    <n v="13"/>
    <n v="51"/>
    <n v="140"/>
    <s v="R&amp;B"/>
    <d v="2024-12-20T00:00:00"/>
    <s v="https://image-cdn-ak.spotifycdn.com/image/ab67616d00001e0216fdde9f6b5606419ca9b7ca"/>
    <b v="0"/>
  </r>
  <r>
    <n v="661"/>
    <s v="spotify:track:3avYqdwHKEq8beXbeWCKqJ"/>
    <x v="164"/>
    <s v="Last Friday Night (T.G.I.F.)"/>
    <s v="Capitol Records"/>
    <n v="116"/>
    <n v="35"/>
    <d v="1899-12-30T03:50:00"/>
    <b v="0"/>
    <n v="65"/>
    <n v="81"/>
    <n v="94"/>
    <n v="4"/>
    <n v="0"/>
    <n v="0"/>
    <n v="67"/>
    <n v="73"/>
    <n v="126"/>
    <s v="Pop"/>
    <d v="2010-06-06T00:00:00"/>
    <s v="https://image-cdn-ak.spotifycdn.com/image/ab67616d00001e02d20c38f295039520d688a888"/>
    <b v="0"/>
  </r>
  <r>
    <n v="662"/>
    <s v="spotify:track:3bAAv8knmzFpYQsLFoK6de"/>
    <x v="108"/>
    <s v="TUCHAT"/>
    <s v="Quevedo"/>
    <n v="179"/>
    <n v="1"/>
    <s v="03:05:00"/>
    <b v="1"/>
    <n v="81"/>
    <n v="73"/>
    <n v="74"/>
    <n v="7"/>
    <n v="20"/>
    <n v="0"/>
    <n v="11"/>
    <n v="76"/>
    <n v="128"/>
    <s v="Reggaeton"/>
    <s v="27/6/2025"/>
    <s v="https://image-cdn-fa.spotifycdn.com/image/ab67616d00001e028942736cad23eba13c26ff5e"/>
    <b v="0"/>
  </r>
  <r>
    <n v="663"/>
    <s v="spotify:track:3bB97PIqXf7WtkKeuYuXFS"/>
    <x v="331"/>
    <s v="Take My Mind"/>
    <s v="Bamboo Artists"/>
    <n v="180"/>
    <n v="1"/>
    <d v="1899-12-30T02:48:00"/>
    <b v="0"/>
    <n v="78"/>
    <n v="75"/>
    <n v="80"/>
    <n v="8"/>
    <n v="15"/>
    <n v="0"/>
    <n v="12"/>
    <n v="68"/>
    <n v="108"/>
    <s v="Afrobeat"/>
    <d v="2025-02-14T00:00:00"/>
    <s v="https://image-cdn-ak.spotifycdn.com/image/ab67616d00001e02e87528ee7cbaae53855552a0"/>
    <b v="0"/>
  </r>
  <r>
    <n v="663"/>
    <s v="spotify:track:3bB97PIqXf7WtkKeuYuXFS"/>
    <x v="332"/>
    <s v="Take My Mind"/>
    <s v="Bamboo Artists"/>
    <n v="180"/>
    <n v="1"/>
    <d v="1899-12-30T02:48:00"/>
    <b v="0"/>
    <n v="78"/>
    <n v="75"/>
    <n v="80"/>
    <n v="8"/>
    <n v="15"/>
    <n v="0"/>
    <n v="12"/>
    <n v="68"/>
    <n v="108"/>
    <s v="Afrobeat"/>
    <d v="2025-02-14T00:00:00"/>
    <s v="https://image-cdn-ak.spotifycdn.com/image/ab67616d00001e02e87528ee7cbaae53855552a0"/>
    <b v="0"/>
  </r>
  <r>
    <n v="664"/>
    <s v="spotify:track:3bMfUUpzUzqWp9II00yRhE"/>
    <x v="505"/>
    <s v="Christmas Time Is Here"/>
    <s v="Craft Recordings"/>
    <n v="62"/>
    <n v="6"/>
    <d v="1899-12-30T02:48:00"/>
    <b v="0"/>
    <n v="52"/>
    <n v="48"/>
    <n v="72"/>
    <n v="3"/>
    <n v="55"/>
    <n v="0"/>
    <n v="15"/>
    <n v="72"/>
    <n v="120"/>
    <s v="Jazz"/>
    <d v="1965-12-01T00:00:00"/>
    <s v="https://image-cdn-ak.spotifycdn.com/image/ab67616d00001e02a1c6bc83f5404947ffb87891"/>
    <b v="0"/>
  </r>
  <r>
    <n v="665"/>
    <s v="spotify:track:3bdSZEgKApb7vGxDxyrpdO"/>
    <x v="98"/>
    <s v="warm"/>
    <s v="Republic Records"/>
    <n v="55"/>
    <n v="2"/>
    <s v="02:48:00"/>
    <b v="0"/>
    <n v="70"/>
    <n v="55"/>
    <n v="75"/>
    <n v="6"/>
    <n v="31"/>
    <n v="0"/>
    <n v="14"/>
    <n v="62"/>
    <n v="135"/>
    <s v="Pop"/>
    <s v="7/8/2026"/>
    <s v="https://image-cdn-ak.spotifycdn.com/image/ab67616d00001e0296094d0c80f0f321da705f88"/>
    <b v="0"/>
  </r>
  <r>
    <n v="666"/>
    <s v="spotify:track:3be9ACTxtcL6Zm4vJRUiPG"/>
    <x v="506"/>
    <s v="blue"/>
    <s v="BMG Rights Management (US) LLC"/>
    <n v="25"/>
    <n v="39"/>
    <d v="1899-12-30T03:18:00"/>
    <b v="0"/>
    <n v="75"/>
    <n v="32"/>
    <n v="80"/>
    <n v="3"/>
    <n v="93"/>
    <n v="2"/>
    <n v="12"/>
    <n v="58"/>
    <n v="97"/>
    <s v="Indie Pop"/>
    <d v="2024-06-14T00:00:00"/>
    <s v="https://image-cdn-ak.spotifycdn.com/image/ab67616d00001e02e3c060bdd41fed06a866c494"/>
    <b v="0"/>
  </r>
  <r>
    <n v="667"/>
    <s v="spotify:track:3bmpXHVie1GTy37OkXJ7Vc"/>
    <x v="69"/>
    <s v="2.0"/>
    <s v="BIGHIT MUSIC"/>
    <n v="9"/>
    <n v="19"/>
    <s v="03:18:00"/>
    <b v="0"/>
    <n v="75"/>
    <n v="72"/>
    <n v="74"/>
    <n v="8"/>
    <n v="15"/>
    <n v="0"/>
    <n v="13"/>
    <n v="68"/>
    <n v="120"/>
    <s v="K-Pop"/>
    <s v="20/3/2026"/>
    <s v="https://image-cdn-ak.spotifycdn.com/image/ab67616d00001e02dfa17fad7f190c901603270e"/>
    <b v="0"/>
  </r>
  <r>
    <n v="668"/>
    <s v="spotify:track:3cHyrEgdyYRjgJKSOiOtcS"/>
    <x v="507"/>
    <s v="Timber"/>
    <s v="Mr.305/Polo Grounds Music/RCA Records"/>
    <n v="162"/>
    <n v="4"/>
    <d v="1899-12-30T03:24:00"/>
    <b v="0"/>
    <n v="58"/>
    <n v="96"/>
    <n v="93"/>
    <n v="10"/>
    <n v="3"/>
    <n v="0"/>
    <n v="14"/>
    <n v="79"/>
    <n v="130"/>
    <s v="Dance Pop"/>
    <d v="2013-10-07T00:00:00"/>
    <s v="https://image-cdn-ak.spotifycdn.com/image/ab67616d00001e022ffc2c580b6595a3e675a730"/>
    <b v="0"/>
  </r>
  <r>
    <n v="668"/>
    <s v="spotify:track:3cHyrEgdyYRjgJKSOiOtcS"/>
    <x v="471"/>
    <s v="Timber"/>
    <s v="Mr.305/Polo Grounds Music/RCA Records"/>
    <n v="162"/>
    <n v="4"/>
    <d v="1899-12-30T03:24:00"/>
    <b v="0"/>
    <n v="58"/>
    <n v="96"/>
    <n v="93"/>
    <n v="10"/>
    <n v="3"/>
    <n v="0"/>
    <n v="14"/>
    <n v="79"/>
    <n v="130"/>
    <s v="Dance Pop"/>
    <d v="2013-10-07T00:00:00"/>
    <s v="https://image-cdn-ak.spotifycdn.com/image/ab67616d00001e022ffc2c580b6595a3e675a730"/>
    <b v="0"/>
  </r>
  <r>
    <n v="669"/>
    <s v="spotify:track:3cLCA9LSb6UiOeNvTZoaav"/>
    <x v="53"/>
    <s v="Plot Twist"/>
    <s v="OVO/Republic"/>
    <n v="14"/>
    <n v="3"/>
    <s v="03:18:00"/>
    <b v="1"/>
    <n v="78"/>
    <n v="58"/>
    <n v="72"/>
    <n v="34"/>
    <n v="38"/>
    <n v="0"/>
    <n v="11"/>
    <n v="39"/>
    <n v="116"/>
    <s v="Hip-Hop/Rap"/>
    <s v="22/5/2026"/>
    <s v="https://image-cdn-ak.spotifycdn.com/image/ab67616d00001e02fe9d3ab9adb1d3b59835b81c"/>
    <b v="0"/>
  </r>
  <r>
    <n v="670"/>
    <s v="spotify:track:3cPoiK69oQ1SdbB2j2ulGm"/>
    <x v="77"/>
    <s v="The Hardest Part"/>
    <s v="PLG - Capitol"/>
    <n v="178"/>
    <n v="2"/>
    <s v="03:05:00"/>
    <b v="0"/>
    <n v="62"/>
    <n v="52"/>
    <n v="72"/>
    <n v="5"/>
    <n v="48"/>
    <n v="0"/>
    <n v="13"/>
    <n v="54"/>
    <n v="98"/>
    <s v="Pop"/>
    <s v="14/11/2025"/>
    <s v="https://image-cdn-ak.spotifycdn.com/image/ab67616d00001e02cac9b52107643faf13a7587b"/>
    <b v="0"/>
  </r>
  <r>
    <n v="671"/>
    <s v="spotify:track:3cZajhyr8LmtPfHZ9296tj"/>
    <x v="508"/>
    <s v="No Broke Boys"/>
    <s v="Nice Life/Atlantic"/>
    <n v="13"/>
    <n v="60"/>
    <d v="1899-12-30T02:48:00"/>
    <b v="0"/>
    <n v="82"/>
    <n v="78"/>
    <n v="81"/>
    <n v="8"/>
    <n v="8"/>
    <n v="0"/>
    <n v="13"/>
    <n v="68"/>
    <n v="128"/>
    <s v="House"/>
    <d v="2025-05-09T00:00:00"/>
    <s v="https://image-cdn-fa.spotifycdn.com/image/ab67616d00001e02699b0363dda94e1f1e32eef5"/>
    <b v="0"/>
  </r>
  <r>
    <n v="671"/>
    <s v="spotify:track:3cZajhyr8LmtPfHZ9296tj"/>
    <x v="509"/>
    <s v="No Broke Boys"/>
    <s v="Nice Life/Atlantic"/>
    <n v="13"/>
    <n v="60"/>
    <d v="1899-12-30T02:48:00"/>
    <b v="0"/>
    <n v="82"/>
    <n v="78"/>
    <n v="81"/>
    <n v="8"/>
    <n v="8"/>
    <n v="0"/>
    <n v="13"/>
    <n v="68"/>
    <n v="128"/>
    <s v="House"/>
    <d v="2025-05-09T00:00:00"/>
    <s v="https://image-cdn-fa.spotifycdn.com/image/ab67616d00001e02699b0363dda94e1f1e32eef5"/>
    <b v="0"/>
  </r>
  <r>
    <n v="673"/>
    <s v="spotify:track:3d1oTMjtfVySbAYQp3v4MU"/>
    <x v="98"/>
    <s v="like i do"/>
    <s v="Republic Records"/>
    <n v="19"/>
    <n v="2"/>
    <s v="03:05:00"/>
    <b v="0"/>
    <n v="74"/>
    <n v="58"/>
    <n v="73"/>
    <n v="7"/>
    <n v="25"/>
    <n v="0"/>
    <n v="12"/>
    <n v="50"/>
    <n v="130"/>
    <s v="Pop"/>
    <s v="7/8/2026"/>
    <s v="https://image-cdn-ak.spotifycdn.com/image/ab67616d00001e028baf677ee2d8dda6cc9fcbd7"/>
    <b v="0"/>
  </r>
  <r>
    <n v="675"/>
    <s v="spotify:track:3ddJ8Vbc5tYPxq5zKRVke6"/>
    <x v="22"/>
    <s v="Coleccionando Heridas"/>
    <s v="Bichota/Interscope Records"/>
    <n v="67"/>
    <n v="6"/>
    <s v="03:18:00"/>
    <b v="0"/>
    <n v="64"/>
    <n v="46"/>
    <n v="69"/>
    <n v="4"/>
    <n v="62"/>
    <n v="0"/>
    <n v="12"/>
    <n v="38"/>
    <n v="88"/>
    <s v="Reggaeton"/>
    <s v="6/6/2025"/>
    <s v="https://image-cdn-ak.spotifycdn.com/image/ab67616d00001e026c0294796e2ee5cf87a47b5f"/>
    <b v="0"/>
  </r>
  <r>
    <n v="675"/>
    <s v="spotify:track:3ddJ8Vbc5tYPxq5zKRVke6"/>
    <x v="510"/>
    <s v="Coleccionando Heridas"/>
    <s v="Bichota/Interscope Records"/>
    <n v="67"/>
    <n v="6"/>
    <s v="03:18:00"/>
    <b v="0"/>
    <n v="64"/>
    <n v="46"/>
    <n v="69"/>
    <n v="4"/>
    <n v="62"/>
    <n v="0"/>
    <n v="12"/>
    <n v="38"/>
    <n v="88"/>
    <s v="Reggaeton"/>
    <s v="6/6/2025"/>
    <s v="https://image-cdn-ak.spotifycdn.com/image/ab67616d00001e026c0294796e2ee5cf87a47b5f"/>
    <b v="0"/>
  </r>
  <r>
    <n v="676"/>
    <s v="spotify:track:3dj4wgM3cPeuLwMNHDuBon"/>
    <x v="202"/>
    <s v="The Door"/>
    <s v="Warner Records"/>
    <n v="115"/>
    <n v="38"/>
    <d v="1899-12-30T03:18:00"/>
    <b v="0"/>
    <n v="73"/>
    <n v="86"/>
    <n v="91"/>
    <n v="5"/>
    <n v="2"/>
    <n v="0"/>
    <n v="12"/>
    <n v="76"/>
    <n v="128"/>
    <s v="R&amp;B"/>
    <d v="2024-09-20T00:00:00"/>
    <s v="https://image-cdn-ak.spotifycdn.com/image/ab67616d00001e02ebea8d4457c4db5b2088f287"/>
    <b v="0"/>
  </r>
  <r>
    <n v="677"/>
    <s v="spotify:track:3e32UUqXzrI4g2y5kNZrwC"/>
    <x v="61"/>
    <s v="dopamina"/>
    <s v="Double P Records"/>
    <n v="13"/>
    <n v="19"/>
    <d v="1899-12-30T03:05:00"/>
    <b v="1"/>
    <n v="78"/>
    <n v="74"/>
    <n v="80"/>
    <n v="10"/>
    <n v="15"/>
    <n v="0"/>
    <n v="12"/>
    <n v="58"/>
    <n v="108"/>
    <s v="Regional Mexicano"/>
    <d v="2025-04-18T00:00:00"/>
    <s v="https://image-cdn-ak.spotifycdn.com/image/ab67616d00001e02a9e6a250ea86a8f387873ef9"/>
    <b v="0"/>
  </r>
  <r>
    <n v="677"/>
    <s v="spotify:track:3e32UUqXzrI4g2y5kNZrwC"/>
    <x v="31"/>
    <s v="dopamina"/>
    <s v="Double P Records"/>
    <n v="13"/>
    <n v="19"/>
    <d v="1899-12-30T03:05:00"/>
    <b v="1"/>
    <n v="78"/>
    <n v="74"/>
    <n v="80"/>
    <n v="10"/>
    <n v="15"/>
    <n v="0"/>
    <n v="12"/>
    <n v="58"/>
    <n v="108"/>
    <s v="Regional Mexicano"/>
    <d v="2025-04-18T00:00:00"/>
    <s v="https://image-cdn-ak.spotifycdn.com/image/ab67616d00001e02a9e6a250ea86a8f387873ef9"/>
    <b v="0"/>
  </r>
  <r>
    <n v="678"/>
    <s v="spotify:track:3eekarcy7kvN4yt5ZFzltW"/>
    <x v="186"/>
    <s v="HIGHEST IN THE ROOM"/>
    <s v="Cactus Jack/Epic"/>
    <n v="1"/>
    <n v="112"/>
    <d v="1899-12-30T02:55:00"/>
    <b v="1"/>
    <n v="60"/>
    <n v="43"/>
    <n v="85"/>
    <n v="3"/>
    <n v="5"/>
    <n v="0"/>
    <n v="21"/>
    <n v="6"/>
    <n v="76"/>
    <s v="Hip-Hop/Rap"/>
    <d v="2019-10-04T00:00:00"/>
    <s v="https://image-cdn-fa.spotifycdn.com/image/ab67616d00001e02cc7bfe087a97a09f54c92b28"/>
    <b v="0"/>
  </r>
  <r>
    <n v="679"/>
    <s v="spotify:track:3efpTAvesRrJYCTx4w2UVc"/>
    <x v="251"/>
    <s v="Killin' It Girl - Solo Version"/>
    <s v="BIGHIT MUSIC"/>
    <n v="150"/>
    <n v="1"/>
    <d v="1899-12-30T03:05:00"/>
    <b v="1"/>
    <n v="72"/>
    <n v="75"/>
    <n v="80"/>
    <n v="14"/>
    <n v="10"/>
    <n v="0"/>
    <n v="11"/>
    <n v="52"/>
    <n v="120"/>
    <s v="Hip-Hop/Rap"/>
    <d v="2025-03-07T00:00:00"/>
    <s v="https://image-cdn-ak.spotifycdn.com/image/ab67616d00001e02a4b6673a8dd10d67163dbfc1"/>
    <b v="0"/>
  </r>
  <r>
    <n v="680"/>
    <s v="spotify:track:3fRCAPMMZ8l8P9YKI6OCzD"/>
    <x v="133"/>
    <s v="drop dead"/>
    <s v="Olivia Rodrigo PS"/>
    <n v="2"/>
    <n v="24"/>
    <s v="02:48:00"/>
    <b v="0"/>
    <n v="71"/>
    <n v="67"/>
    <n v="74"/>
    <n v="6"/>
    <n v="28"/>
    <n v="0"/>
    <n v="14"/>
    <n v="55"/>
    <n v="130"/>
    <s v="Pop"/>
    <s v="12/6/2026"/>
    <s v="https://image-cdn-fa.spotifycdn.com/image/ab67616d00001e026949b83f85d782b21ce70583"/>
    <b v="0"/>
  </r>
  <r>
    <n v="681"/>
    <s v="spotify:track:3fWibgdtgIie6LKTZ2rUoI"/>
    <x v="511"/>
    <s v="So Far So Fake"/>
    <s v="Fearless Records"/>
    <n v="126"/>
    <n v="3"/>
    <s v="03:18:00"/>
    <b v="1"/>
    <n v="46"/>
    <n v="85"/>
    <n v="77"/>
    <n v="6"/>
    <n v="3"/>
    <n v="0"/>
    <n v="24"/>
    <n v="39"/>
    <n v="155"/>
    <s v="Post-Hardcore"/>
    <s v="27/6/2025"/>
    <s v="https://image-cdn-ak.spotifycdn.com/image/ab67616d00001e022846907b5152fb7dc38e450a"/>
    <b v="0"/>
  </r>
  <r>
    <n v="682"/>
    <s v="spotify:track:3fjmSxt0PskST13CSdBUFx"/>
    <x v="227"/>
    <s v="Somewhere I Belong"/>
    <s v="Warner Records"/>
    <n v="138"/>
    <n v="11"/>
    <d v="1899-12-30T03:34:00"/>
    <b v="0"/>
    <n v="45"/>
    <n v="95"/>
    <n v="94"/>
    <n v="6"/>
    <n v="0"/>
    <n v="0"/>
    <n v="26"/>
    <n v="44"/>
    <n v="162"/>
    <s v="Nu Metal"/>
    <d v="2003-03-25T00:00:00"/>
    <s v="https://image-cdn-fa.spotifycdn.com/image/ab67616d00001e028b5b6fa1326d996181e71dd7"/>
    <b v="0"/>
  </r>
  <r>
    <n v="683"/>
    <s v="spotify:track:3fxDcaiomBMomHdMeCSsZ2"/>
    <x v="98"/>
    <s v="dandelion"/>
    <s v="Republic Records"/>
    <n v="30"/>
    <n v="2"/>
    <s v="03:05:00"/>
    <b v="0"/>
    <n v="63"/>
    <n v="44"/>
    <n v="71"/>
    <n v="4"/>
    <n v="58"/>
    <n v="0"/>
    <n v="15"/>
    <n v="36"/>
    <n v="105"/>
    <s v="Pop"/>
    <s v="7/8/2026"/>
    <s v="https://image-cdn-ak.spotifycdn.com/image/ab67616d00001e0296094d0c80f0f321da705f88"/>
    <b v="0"/>
  </r>
  <r>
    <n v="684"/>
    <s v="spotify:track:3gJAFFELdZyIM8tiwLAikg"/>
    <x v="512"/>
    <s v="Handlebars (feat. Dua Lipa)"/>
    <s v="OA Entertainment/Columbia"/>
    <n v="26"/>
    <n v="4"/>
    <d v="1899-12-30T02:48:00"/>
    <b v="1"/>
    <n v="51"/>
    <n v="86"/>
    <n v="93"/>
    <n v="4"/>
    <n v="0"/>
    <n v="0"/>
    <n v="5"/>
    <n v="67"/>
    <n v="152"/>
    <s v="K-Pop"/>
    <d v="2025-03-07T00:00:00"/>
    <s v="https://image-cdn-fa.spotifycdn.com/image/ab67616d00001e02dcf27dec5e479b2e39c4c993"/>
    <b v="0"/>
  </r>
  <r>
    <n v="684"/>
    <s v="spotify:track:3gJAFFELdZyIM8tiwLAikg"/>
    <x v="141"/>
    <s v="Handlebars (feat. Dua Lipa)"/>
    <s v="OA Entertainment/Columbia"/>
    <n v="26"/>
    <n v="4"/>
    <d v="1899-12-30T02:48:00"/>
    <b v="1"/>
    <n v="51"/>
    <n v="86"/>
    <n v="93"/>
    <n v="4"/>
    <n v="0"/>
    <n v="0"/>
    <n v="5"/>
    <n v="67"/>
    <n v="152"/>
    <s v="K-Pop"/>
    <d v="2025-03-07T00:00:00"/>
    <s v="https://image-cdn-fa.spotifycdn.com/image/ab67616d00001e02dcf27dec5e479b2e39c4c993"/>
    <b v="0"/>
  </r>
  <r>
    <n v="685"/>
    <s v="spotify:track:3gjHnylel3PTRpjS44ocqr"/>
    <x v="272"/>
    <s v="Zombie - 2025 Remastered"/>
    <s v="Island Records"/>
    <n v="129"/>
    <n v="5"/>
    <d v="1899-12-30T05:06:00"/>
    <b v="0"/>
    <n v="55"/>
    <n v="72"/>
    <n v="78"/>
    <n v="4"/>
    <n v="25"/>
    <n v="0"/>
    <n v="13"/>
    <n v="42"/>
    <n v="140"/>
    <s v="Alternative"/>
    <d v="1994-09-19T00:00:00"/>
    <s v="https://image-cdn-ak.spotifycdn.com/image/ab67616d00001e0220a28883cdd0fc7d5f85a9a9"/>
    <b v="0"/>
  </r>
  <r>
    <n v="686"/>
    <s v="spotify:track:3gyJbNBTRVRdZDA1yO3clm"/>
    <x v="19"/>
    <s v="Pink Clouding"/>
    <s v="Taylor Swift"/>
    <n v="7"/>
    <n v="1"/>
    <s v="03:18:00"/>
    <b v="0"/>
    <n v="72"/>
    <n v="63"/>
    <n v="74"/>
    <n v="5"/>
    <n v="23"/>
    <n v="0"/>
    <n v="13"/>
    <n v="60"/>
    <n v="120"/>
    <s v="Pop"/>
    <s v="3/10/2025"/>
    <s v="https://image-cdn-fa.spotifycdn.com/image/ab67616d00001e02cf3de6b538d8b1ed73a4d5d1"/>
    <b v="0"/>
  </r>
  <r>
    <n v="687"/>
    <s v="spotify:track:3h5T5JypYU7huFiVYhv1dr"/>
    <x v="513"/>
    <s v="BbY WOW"/>
    <s v="Bichota/Interscope Records"/>
    <n v="1"/>
    <n v="7"/>
    <s v="03:05:00"/>
    <b v="0"/>
    <n v="76"/>
    <n v="61"/>
    <n v="72"/>
    <n v="6"/>
    <n v="33"/>
    <n v="0"/>
    <n v="13"/>
    <n v="64"/>
    <n v="112"/>
    <s v="Reggaeton"/>
    <s v="19/9/2025"/>
    <s v="https://image-cdn-ak.spotifycdn.com/image/ab67616d00001e0221deb742375f88edfb2e7368"/>
    <b v="0"/>
  </r>
  <r>
    <n v="687"/>
    <s v="spotify:track:3h5T5JypYU7huFiVYhv1dr"/>
    <x v="22"/>
    <s v="BbY WOW"/>
    <s v="Bichota/Interscope Records"/>
    <n v="1"/>
    <n v="7"/>
    <s v="03:05:00"/>
    <b v="0"/>
    <n v="76"/>
    <n v="61"/>
    <n v="72"/>
    <n v="6"/>
    <n v="33"/>
    <n v="0"/>
    <n v="13"/>
    <n v="64"/>
    <n v="112"/>
    <s v="Reggaeton"/>
    <s v="19/9/2025"/>
    <s v="https://image-cdn-ak.spotifycdn.com/image/ab67616d00001e0221deb742375f88edfb2e7368"/>
    <b v="0"/>
  </r>
  <r>
    <n v="687"/>
    <s v="spotify:track:3h5T5JypYU7huFiVYhv1dr"/>
    <x v="514"/>
    <s v="BbY WOW"/>
    <s v="Bichota/Interscope Records"/>
    <n v="1"/>
    <n v="7"/>
    <s v="03:05:00"/>
    <b v="0"/>
    <n v="76"/>
    <n v="61"/>
    <n v="72"/>
    <n v="6"/>
    <n v="33"/>
    <n v="0"/>
    <n v="13"/>
    <n v="64"/>
    <n v="112"/>
    <s v="Reggaeton"/>
    <s v="19/9/2025"/>
    <s v="https://image-cdn-ak.spotifycdn.com/image/ab67616d00001e0221deb742375f88edfb2e7368"/>
    <b v="0"/>
  </r>
  <r>
    <n v="688"/>
    <s v="spotify:track:3h64Lbm3TXMBSByfnRQyZE"/>
    <x v="147"/>
    <s v="De Madrugá"/>
    <s v="Columbia"/>
    <n v="112"/>
    <n v="1"/>
    <s v="03:18:00"/>
    <b v="0"/>
    <n v="74"/>
    <n v="60"/>
    <n v="72"/>
    <n v="12"/>
    <n v="31"/>
    <n v="0"/>
    <n v="10"/>
    <n v="54"/>
    <n v="96"/>
    <s v="Flamenco"/>
    <s v="7/11/2025"/>
    <s v="https://image-cdn-ak.spotifycdn.com/image/ab67616d00001e0293ee2e2f2dfb7de9befcc164"/>
    <b v="0"/>
  </r>
  <r>
    <n v="689"/>
    <s v="spotify:track:3hETtcSLmNncBjPMLHtVZs"/>
    <x v="515"/>
    <s v="Porcelana"/>
    <s v="Columbia"/>
    <n v="73"/>
    <n v="1"/>
    <s v="03:05:00"/>
    <b v="0"/>
    <n v="81"/>
    <n v="66"/>
    <n v="73"/>
    <n v="14"/>
    <n v="22"/>
    <n v="0"/>
    <n v="15"/>
    <n v="72"/>
    <n v="118"/>
    <s v="Flamenco"/>
    <s v="7/11/2025"/>
    <s v="https://image-cdn-ak.spotifycdn.com/image/ab67616d00001e0293ee2e2f2dfb7de9befcc164"/>
    <b v="0"/>
  </r>
  <r>
    <n v="689"/>
    <s v="spotify:track:3hETtcSLmNncBjPMLHtVZs"/>
    <x v="147"/>
    <s v="Porcelana"/>
    <s v="Columbia"/>
    <n v="73"/>
    <n v="1"/>
    <s v="03:05:00"/>
    <b v="0"/>
    <n v="81"/>
    <n v="66"/>
    <n v="73"/>
    <n v="14"/>
    <n v="22"/>
    <n v="0"/>
    <n v="15"/>
    <n v="72"/>
    <n v="118"/>
    <s v="Flamenco"/>
    <s v="7/11/2025"/>
    <s v="https://image-cdn-ak.spotifycdn.com/image/ab67616d00001e0293ee2e2f2dfb7de9befcc164"/>
    <b v="0"/>
  </r>
  <r>
    <n v="691"/>
    <s v="spotify:track:3hRV0jL3vUpRrcy398teAU"/>
    <x v="516"/>
    <s v="The Night We Met"/>
    <s v="Lord Huron"/>
    <n v="15"/>
    <n v="169"/>
    <d v="1899-12-30T03:28:00"/>
    <b v="0"/>
    <n v="45"/>
    <n v="37"/>
    <n v="84"/>
    <n v="5"/>
    <n v="97"/>
    <n v="27"/>
    <n v="64"/>
    <n v="10"/>
    <n v="174"/>
    <s v="Indie Folk"/>
    <d v="2015-04-06T00:00:00"/>
    <s v="https://image-cdn-ak.spotifycdn.com/image/ab67616d00001e0217875a0610c23d8946454583"/>
    <b v="0"/>
  </r>
  <r>
    <n v="692"/>
    <s v="spotify:track:3hUxzQpSfdDqwM3ZTFQY0K"/>
    <x v="19"/>
    <s v="august"/>
    <s v="Taylor Swift"/>
    <n v="11"/>
    <n v="82"/>
    <d v="1899-12-30T04:21:00"/>
    <b v="0"/>
    <n v="53"/>
    <n v="62"/>
    <n v="85"/>
    <n v="3"/>
    <n v="54"/>
    <n v="0"/>
    <n v="9"/>
    <n v="40"/>
    <n v="90"/>
    <s v="Pop"/>
    <d v="2020-07-24T00:00:00"/>
    <s v="https://image-cdn-ak.spotifycdn.com/image/ab67616d00001e0295f754318336a07e85ec59bc"/>
    <b v="0"/>
  </r>
  <r>
    <n v="693"/>
    <s v="spotify:track:3hcivoswCVR8LZkHR8MYA5"/>
    <x v="10"/>
    <s v="LoveDrug"/>
    <s v="Interscope Records"/>
    <n v="139"/>
    <n v="1"/>
    <d v="1899-12-30T03:05:00"/>
    <b v="0"/>
    <n v="68"/>
    <n v="80"/>
    <n v="93"/>
    <n v="3"/>
    <n v="5"/>
    <n v="0"/>
    <n v="17"/>
    <n v="60"/>
    <n v="120"/>
    <s v="Pop"/>
    <d v="2025-03-07T00:00:00"/>
    <s v="https://image-cdn-ak.spotifycdn.com/image/ab67616d00001e02b0860cf0a98e09663c82290c"/>
    <b v="0"/>
  </r>
  <r>
    <n v="694"/>
    <s v="spotify:track:3hpm0fTeSqlhJbnqAgaLZs"/>
    <x v="256"/>
    <s v="Marlboro Rojo"/>
    <s v="Rancho Humilde/Street Mob Records/Sony Music Latin"/>
    <n v="20"/>
    <n v="60"/>
    <d v="1899-12-30T03:05:00"/>
    <b v="1"/>
    <n v="80"/>
    <n v="75"/>
    <n v="80"/>
    <n v="10"/>
    <n v="12"/>
    <n v="0"/>
    <n v="12"/>
    <n v="62"/>
    <n v="108"/>
    <s v="Regional Mexicano"/>
    <d v="2025-02-14T00:00:00"/>
    <s v="https://image-cdn-ak.spotifycdn.com/image/ab67616d00001e02a2e90fbdec84b25e46573469"/>
    <b v="0"/>
  </r>
  <r>
    <n v="695"/>
    <s v="spotify:track:3hxIUxnT27p5WcmjGUXNwx"/>
    <x v="517"/>
    <s v="Shut up My Moms Calling"/>
    <s v="Hotel Ugly, under exclusive license to Amuseio AB"/>
    <n v="78"/>
    <n v="120"/>
    <d v="1899-12-30T02:48:00"/>
    <b v="0"/>
    <n v="48"/>
    <n v="41"/>
    <n v="82"/>
    <n v="10"/>
    <n v="32"/>
    <n v="0"/>
    <n v="10"/>
    <n v="38"/>
    <n v="138"/>
    <s v="Alternative"/>
    <d v="2022-05-06T00:00:00"/>
    <s v="https://image-cdn-ak.spotifycdn.com/image/ab67616d00001e02350ab7a839c04bfd5225a9f5"/>
    <b v="0"/>
  </r>
  <r>
    <n v="697"/>
    <s v="spotify:track:3iU2qsthCTo5EeTE03l3Si"/>
    <x v="37"/>
    <s v="Doors"/>
    <s v="Mercury Records"/>
    <n v="20"/>
    <n v="4"/>
    <s v="03:48:00"/>
    <b v="0"/>
    <n v="61"/>
    <n v="50"/>
    <n v="71"/>
    <n v="5"/>
    <n v="49"/>
    <n v="0"/>
    <n v="12"/>
    <n v="45"/>
    <n v="108"/>
    <s v="Indie Folk"/>
    <s v="3/4/2026"/>
    <s v="https://image-cdn-ak.spotifycdn.com/image/ab67616d00001e02d879855b819250d3d00a1a38"/>
    <b v="0"/>
  </r>
  <r>
    <n v="699"/>
    <s v="spotify:track:3j3SfV4hAcR4XjCvW393Gr"/>
    <x v="1"/>
    <s v="POP OUT"/>
    <s v="AWGE/Interscope Records"/>
    <n v="41"/>
    <n v="1"/>
    <d v="1899-12-30T02:48:00"/>
    <b v="1"/>
    <n v="50"/>
    <n v="93"/>
    <n v="97"/>
    <n v="3"/>
    <n v="0"/>
    <n v="0"/>
    <n v="17"/>
    <n v="16"/>
    <n v="144"/>
    <s v="Hip-Hop/Rap"/>
    <d v="2025-03-14T00:00:00"/>
    <s v="https://image-cdn-fa.spotifycdn.com/image/ab67616d00001e026b219c8d8462bfe254a20469"/>
    <b v="0"/>
  </r>
  <r>
    <n v="700"/>
    <s v="spotify:track:3j6CeoBBlm40Msn1JE1SPD"/>
    <x v="115"/>
    <s v="HOT TO GO!"/>
    <s v="Chappell Roan PS/ Island"/>
    <n v="22"/>
    <n v="40"/>
    <d v="1899-12-30T03:07:00"/>
    <b v="0"/>
    <n v="74"/>
    <n v="76"/>
    <n v="92"/>
    <n v="4"/>
    <n v="2"/>
    <n v="0"/>
    <n v="30"/>
    <n v="96"/>
    <n v="140"/>
    <s v="Pop"/>
    <d v="2023-08-11T00:00:00"/>
    <s v="https://image-cdn-ak.spotifycdn.com/image/ab67616d00001e02a21d22ecf823e1c90aa22d1f"/>
    <b v="0"/>
  </r>
  <r>
    <n v="701"/>
    <s v="spotify:track:3jAshemiRYWukWLtT3Ivrb"/>
    <x v="167"/>
    <s v="SOLEAO"/>
    <s v="WEA Latina"/>
    <n v="128"/>
    <n v="4"/>
    <s v="03:05:00"/>
    <b v="1"/>
    <n v="83"/>
    <n v="76"/>
    <n v="75"/>
    <n v="6"/>
    <n v="15"/>
    <n v="0"/>
    <n v="12"/>
    <n v="81"/>
    <n v="120"/>
    <s v="Reggaeton"/>
    <s v="27/6/2025"/>
    <s v="https://image-cdn-ak.spotifycdn.com/image/ab67616d00001e028048ac6179d25c2ccd6a98a3"/>
    <b v="0"/>
  </r>
  <r>
    <n v="701"/>
    <s v="spotify:track:3jAshemiRYWukWLtT3Ivrb"/>
    <x v="108"/>
    <s v="SOLEAO"/>
    <s v="WEA Latina"/>
    <n v="128"/>
    <n v="4"/>
    <s v="03:05:00"/>
    <b v="1"/>
    <n v="83"/>
    <n v="76"/>
    <n v="75"/>
    <n v="6"/>
    <n v="15"/>
    <n v="0"/>
    <n v="12"/>
    <n v="81"/>
    <n v="120"/>
    <s v="Reggaeton"/>
    <s v="27/6/2025"/>
    <s v="https://image-cdn-ak.spotifycdn.com/image/ab67616d00001e028048ac6179d25c2ccd6a98a3"/>
    <b v="0"/>
  </r>
  <r>
    <n v="702"/>
    <s v="spotify:track:3jS9G4KmuOwuawj3k4Smpc"/>
    <x v="518"/>
    <s v="Vita Fer"/>
    <s v="Double P Records"/>
    <n v="53"/>
    <n v="14"/>
    <s v="03:05:00"/>
    <b v="1"/>
    <n v="75"/>
    <n v="72"/>
    <n v="74"/>
    <n v="5"/>
    <n v="22"/>
    <n v="0"/>
    <n v="14"/>
    <n v="86"/>
    <n v="145"/>
    <s v="Regional Mexicano"/>
    <s v="30/5/2025"/>
    <s v="https://image-cdn-ak.spotifycdn.com/image/ab67616d00001e02d64caf3104c5a901905d9b7e"/>
    <b v="0"/>
  </r>
  <r>
    <n v="702"/>
    <s v="spotify:track:3jS9G4KmuOwuawj3k4Smpc"/>
    <x v="31"/>
    <s v="Vita Fer"/>
    <s v="Double P Records"/>
    <n v="53"/>
    <n v="14"/>
    <s v="03:05:00"/>
    <b v="1"/>
    <n v="75"/>
    <n v="72"/>
    <n v="74"/>
    <n v="5"/>
    <n v="22"/>
    <n v="0"/>
    <n v="14"/>
    <n v="86"/>
    <n v="145"/>
    <s v="Regional Mexicano"/>
    <s v="30/5/2025"/>
    <s v="https://image-cdn-ak.spotifycdn.com/image/ab67616d00001e02d64caf3104c5a901905d9b7e"/>
    <b v="0"/>
  </r>
  <r>
    <n v="703"/>
    <s v="spotify:track:3jhyw60F61gc7nC4dblqtC"/>
    <x v="519"/>
    <s v="JETSKI"/>
    <s v="Sony Music Entertainment"/>
    <n v="60"/>
    <n v="9"/>
    <d v="1899-12-30T02:28:00"/>
    <b v="1"/>
    <n v="85"/>
    <n v="82"/>
    <n v="82"/>
    <n v="14"/>
    <n v="5"/>
    <n v="0"/>
    <n v="15"/>
    <n v="72"/>
    <n v="130"/>
    <s v="Funk Brasileiro"/>
    <d v="2025-05-16T00:00:00"/>
    <s v="https://image-cdn-fa.spotifycdn.com/image/ab67616d00001e02ff932c2dcd38600e7d097e09"/>
    <b v="0"/>
  </r>
  <r>
    <n v="703"/>
    <s v="spotify:track:3jhyw60F61gc7nC4dblqtC"/>
    <x v="520"/>
    <s v="JETSKI"/>
    <s v="Sony Music Entertainment"/>
    <n v="60"/>
    <n v="9"/>
    <d v="1899-12-30T02:28:00"/>
    <b v="1"/>
    <n v="85"/>
    <n v="82"/>
    <n v="82"/>
    <n v="14"/>
    <n v="5"/>
    <n v="0"/>
    <n v="15"/>
    <n v="72"/>
    <n v="130"/>
    <s v="Funk Brasileiro"/>
    <d v="2025-05-16T00:00:00"/>
    <s v="https://image-cdn-fa.spotifycdn.com/image/ab67616d00001e02ff932c2dcd38600e7d097e09"/>
    <b v="0"/>
  </r>
  <r>
    <n v="703"/>
    <s v="spotify:track:3jhyw60F61gc7nC4dblqtC"/>
    <x v="244"/>
    <s v="JETSKI"/>
    <s v="Sony Music Entertainment"/>
    <n v="60"/>
    <n v="9"/>
    <d v="1899-12-30T02:28:00"/>
    <b v="1"/>
    <n v="85"/>
    <n v="82"/>
    <n v="82"/>
    <n v="14"/>
    <n v="5"/>
    <n v="0"/>
    <n v="15"/>
    <n v="72"/>
    <n v="130"/>
    <s v="Funk Brasileiro"/>
    <d v="2025-05-16T00:00:00"/>
    <s v="https://image-cdn-fa.spotifycdn.com/image/ab67616d00001e02ff932c2dcd38600e7d097e09"/>
    <b v="0"/>
  </r>
  <r>
    <n v="704"/>
    <s v="spotify:track:3jjujdWJ72nww5eGnfs2E7"/>
    <x v="5"/>
    <s v="Adore You"/>
    <s v="Columbia"/>
    <n v="6"/>
    <n v="109"/>
    <d v="1899-12-30T03:27:00"/>
    <b v="0"/>
    <n v="68"/>
    <n v="77"/>
    <n v="94"/>
    <n v="5"/>
    <n v="2"/>
    <n v="0"/>
    <n v="10"/>
    <n v="57"/>
    <n v="99"/>
    <s v="Pop"/>
    <d v="2019-12-06T00:00:00"/>
    <s v="https://image-cdn-ak.spotifycdn.com/image/ab67616d00001e0225180571abce9472f61bd722"/>
    <b v="0"/>
  </r>
  <r>
    <n v="705"/>
    <s v="spotify:track:3jnYCrF7UpSYAwwy1URW8d"/>
    <x v="206"/>
    <s v="I Smoked Away My Brain (I'm God x Demons Mashup) (feat. Imogen Heap &amp; Clams Casino)"/>
    <s v="A$AP Worldwide/RCA Records"/>
    <n v="183"/>
    <n v="3"/>
    <s v="03:28:00"/>
    <b v="1"/>
    <n v="56"/>
    <n v="54"/>
    <n v="70"/>
    <n v="9"/>
    <n v="49"/>
    <n v="2"/>
    <n v="16"/>
    <n v="31"/>
    <n v="82"/>
    <s v="Hip-Hop/Rap"/>
    <s v="27/6/2025"/>
    <s v="https://image-cdn-ak.spotifycdn.com/image/ab67616d00001e0227b7133c976e8ae6c3add683"/>
    <b v="0"/>
  </r>
  <r>
    <n v="705"/>
    <s v="spotify:track:3jnYCrF7UpSYAwwy1URW8d"/>
    <x v="521"/>
    <s v="I Smoked Away My Brain (I'm God x Demons Mashup) (feat. Imogen Heap &amp; Clams Casino)"/>
    <s v="A$AP Worldwide/RCA Records"/>
    <n v="183"/>
    <n v="3"/>
    <s v="03:28:00"/>
    <b v="1"/>
    <n v="56"/>
    <n v="54"/>
    <n v="70"/>
    <n v="9"/>
    <n v="49"/>
    <n v="2"/>
    <n v="16"/>
    <n v="31"/>
    <n v="82"/>
    <s v="Hip-Hop/Rap"/>
    <s v="27/6/2025"/>
    <s v="https://image-cdn-ak.spotifycdn.com/image/ab67616d00001e0227b7133c976e8ae6c3add683"/>
    <b v="0"/>
  </r>
  <r>
    <n v="705"/>
    <s v="spotify:track:3jnYCrF7UpSYAwwy1URW8d"/>
    <x v="522"/>
    <s v="I Smoked Away My Brain (I'm God x Demons Mashup) (feat. Imogen Heap &amp; Clams Casino)"/>
    <s v="A$AP Worldwide/RCA Records"/>
    <n v="183"/>
    <n v="3"/>
    <s v="03:28:00"/>
    <b v="1"/>
    <n v="56"/>
    <n v="54"/>
    <n v="70"/>
    <n v="9"/>
    <n v="49"/>
    <n v="2"/>
    <n v="16"/>
    <n v="31"/>
    <n v="82"/>
    <s v="Hip-Hop/Rap"/>
    <s v="27/6/2025"/>
    <s v="https://image-cdn-ak.spotifycdn.com/image/ab67616d00001e0227b7133c976e8ae6c3add683"/>
    <b v="0"/>
  </r>
  <r>
    <n v="706"/>
    <s v="spotify:track:3jucj0h0tajme6rUEadmWN"/>
    <x v="217"/>
    <s v="SHE DID IT AGAIN (feat. Zara Larsson)"/>
    <s v="FAX Records/Epic"/>
    <n v="145"/>
    <n v="1"/>
    <s v="02:48:00"/>
    <b v="0"/>
    <n v="80"/>
    <n v="73"/>
    <n v="75"/>
    <n v="7"/>
    <n v="11"/>
    <n v="0"/>
    <n v="13"/>
    <n v="68"/>
    <n v="116"/>
    <s v="Afrobeat"/>
    <s v="24/4/2026"/>
    <s v="https://image-cdn-ak.spotifycdn.com/image/ab67616d00001e021b3b814c3566db921e34acd4"/>
    <b v="0"/>
  </r>
  <r>
    <n v="706"/>
    <s v="spotify:track:3jucj0h0tajme6rUEadmWN"/>
    <x v="225"/>
    <s v="SHE DID IT AGAIN (feat. Zara Larsson)"/>
    <s v="FAX Records/Epic"/>
    <n v="145"/>
    <n v="1"/>
    <s v="02:48:00"/>
    <b v="0"/>
    <n v="80"/>
    <n v="73"/>
    <n v="75"/>
    <n v="7"/>
    <n v="11"/>
    <n v="0"/>
    <n v="13"/>
    <n v="68"/>
    <n v="116"/>
    <s v="Afrobeat"/>
    <s v="24/4/2026"/>
    <s v="https://image-cdn-ak.spotifycdn.com/image/ab67616d00001e021b3b814c3566db921e34acd4"/>
    <b v="0"/>
  </r>
  <r>
    <n v="707"/>
    <s v="spotify:track:3k3NWokhRRkEPhCzPmV8TW"/>
    <x v="103"/>
    <s v="Ojitos Lindos"/>
    <s v="Rimas Entertainment LLC."/>
    <n v="3"/>
    <n v="72"/>
    <d v="1899-12-30T03:42:00"/>
    <b v="0"/>
    <n v="65"/>
    <n v="69"/>
    <n v="90"/>
    <n v="4"/>
    <n v="8"/>
    <n v="0"/>
    <n v="53"/>
    <n v="27"/>
    <n v="80"/>
    <s v="Reggaeton"/>
    <d v="2022-05-06T00:00:00"/>
    <s v="https://image-cdn-ak.spotifycdn.com/image/ab67616d00001e0249d694203245f241a1bcaa72"/>
    <b v="0"/>
  </r>
  <r>
    <n v="707"/>
    <s v="spotify:track:3k3NWokhRRkEPhCzPmV8TW"/>
    <x v="523"/>
    <s v="Ojitos Lindos"/>
    <s v="Rimas Entertainment LLC."/>
    <n v="3"/>
    <n v="72"/>
    <d v="1899-12-30T03:42:00"/>
    <b v="0"/>
    <n v="65"/>
    <n v="69"/>
    <n v="90"/>
    <n v="4"/>
    <n v="8"/>
    <n v="0"/>
    <n v="53"/>
    <n v="27"/>
    <n v="80"/>
    <s v="Reggaeton"/>
    <d v="2022-05-06T00:00:00"/>
    <s v="https://image-cdn-ak.spotifycdn.com/image/ab67616d00001e0249d694203245f241a1bcaa72"/>
    <b v="0"/>
  </r>
  <r>
    <n v="708"/>
    <s v="spotify:track:3kXoKlD84c6OmIcOLfrfEs"/>
    <x v="524"/>
    <s v="September"/>
    <s v="Columbia/Legacy"/>
    <n v="77"/>
    <n v="33"/>
    <d v="1899-12-30T03:35:00"/>
    <b v="0"/>
    <n v="67"/>
    <n v="83"/>
    <n v="87"/>
    <n v="3"/>
    <n v="15"/>
    <n v="0"/>
    <n v="14"/>
    <n v="98"/>
    <n v="126"/>
    <s v="Funk"/>
    <d v="1978-11-18T00:00:00"/>
    <s v="https://image-cdn-ak.spotifycdn.com/image/ab67616d00001e020faf2fc17446651865ce2282"/>
    <b v="0"/>
  </r>
  <r>
    <n v="709"/>
    <s v="spotify:track:3lAEHk0eZzMKtCUFLXz8Ln"/>
    <x v="1"/>
    <s v="RADAR"/>
    <s v="AWGE/Interscope Records"/>
    <n v="46"/>
    <n v="1"/>
    <d v="1899-12-30T02:48:00"/>
    <b v="1"/>
    <n v="54"/>
    <n v="73"/>
    <n v="92"/>
    <n v="5"/>
    <n v="0"/>
    <n v="0"/>
    <n v="61"/>
    <n v="31"/>
    <n v="147"/>
    <s v="Hip-Hop/Rap"/>
    <d v="2025-03-14T00:00:00"/>
    <s v="https://image-cdn-fa.spotifycdn.com/image/ab67616d00001e026b219c8d8462bfe254a20469"/>
    <b v="0"/>
  </r>
  <r>
    <n v="710"/>
    <s v="spotify:track:3lkYS3iMpWMVpaJ0yJAFrJ"/>
    <x v="525"/>
    <s v="I Saw Mommy Kissing Santa Claus"/>
    <s v="UNI/MOTOWN"/>
    <n v="99"/>
    <n v="9"/>
    <d v="1899-12-30T03:01:00"/>
    <b v="0"/>
    <n v="58"/>
    <n v="55"/>
    <n v="74"/>
    <n v="4"/>
    <n v="55"/>
    <n v="0"/>
    <n v="15"/>
    <n v="75"/>
    <n v="120"/>
    <s v="Christmas"/>
    <d v="1970-10-01T00:00:00"/>
    <s v="https://image-cdn-fa.spotifycdn.com/image/ab67616d00001e021dd221971daf25e034de40f8"/>
    <b v="1"/>
  </r>
  <r>
    <n v="711"/>
    <s v="spotify:track:3nAp4IvdMPPWEH9uuXFFV5"/>
    <x v="380"/>
    <s v="Underneath the Tree"/>
    <s v="RCA Records Label"/>
    <n v="7"/>
    <n v="46"/>
    <d v="1899-12-30T03:49:00"/>
    <b v="0"/>
    <n v="62"/>
    <n v="65"/>
    <n v="77"/>
    <n v="5"/>
    <n v="30"/>
    <n v="0"/>
    <n v="14"/>
    <n v="82"/>
    <n v="130"/>
    <s v="Christmas"/>
    <d v="2013-10-29T00:00:00"/>
    <s v="https://image-cdn-ak.spotifycdn.com/image/ab67616d00001e02c87992b7588879f66d192905"/>
    <b v="1"/>
  </r>
  <r>
    <n v="713"/>
    <s v="spotify:track:3nfxV3jfRcRWISwek49LTg"/>
    <x v="58"/>
    <s v="Jingle Bells (feat. The Puppini Sisters)"/>
    <s v="Reprise"/>
    <n v="136"/>
    <n v="7"/>
    <d v="1899-12-30T02:41:00"/>
    <b v="0"/>
    <n v="58"/>
    <n v="55"/>
    <n v="74"/>
    <n v="4"/>
    <n v="55"/>
    <n v="0"/>
    <n v="15"/>
    <n v="75"/>
    <n v="130"/>
    <s v="Christmas"/>
    <d v="2011-10-24T00:00:00"/>
    <s v="https://image-cdn-ak.spotifycdn.com/image/ab67616d00001e02b601df2f604eabf6f1302337"/>
    <b v="1"/>
  </r>
  <r>
    <n v="713"/>
    <s v="spotify:track:3nfxV3jfRcRWISwek49LTg"/>
    <x v="526"/>
    <s v="Jingle Bells (feat. The Puppini Sisters)"/>
    <s v="Reprise"/>
    <n v="136"/>
    <n v="7"/>
    <d v="1899-12-30T02:41:00"/>
    <b v="0"/>
    <n v="58"/>
    <n v="55"/>
    <n v="74"/>
    <n v="4"/>
    <n v="55"/>
    <n v="0"/>
    <n v="15"/>
    <n v="75"/>
    <n v="130"/>
    <s v="Christmas"/>
    <d v="2011-10-24T00:00:00"/>
    <s v="https://image-cdn-ak.spotifycdn.com/image/ab67616d00001e02b601df2f604eabf6f1302337"/>
    <b v="1"/>
  </r>
  <r>
    <n v="714"/>
    <s v="spotify:track:3niLgyM9yJTaZMpeXjjSSk"/>
    <x v="55"/>
    <s v="Given Up On Me"/>
    <s v="XO / Republic Records"/>
    <n v="119"/>
    <n v="1"/>
    <d v="1899-12-30T04:18:00"/>
    <b v="0"/>
    <n v="42"/>
    <n v="39"/>
    <n v="79"/>
    <n v="5"/>
    <n v="8"/>
    <n v="0"/>
    <n v="12"/>
    <n v="6"/>
    <n v="117"/>
    <s v="R&amp;B"/>
    <d v="2025-01-31T00:00:00"/>
    <s v="https://image-cdn-ak.spotifycdn.com/image/ab67616d00001e02460b137f921b16041901104a"/>
    <b v="0"/>
  </r>
  <r>
    <n v="715"/>
    <s v="spotify:track:3nqqDo8CcCLke3ZoTgiOKf"/>
    <x v="527"/>
    <s v="The Man Who Can't Be Moved"/>
    <s v="Epic/Phonogenic"/>
    <n v="95"/>
    <n v="46"/>
    <d v="1899-12-30T04:00:00"/>
    <b v="0"/>
    <n v="60"/>
    <n v="63"/>
    <n v="92"/>
    <n v="3"/>
    <n v="44"/>
    <n v="0"/>
    <n v="10"/>
    <n v="31"/>
    <n v="100"/>
    <s v="Pop"/>
    <d v="2008-07-25T00:00:00"/>
    <s v="https://image-cdn-ak.spotifycdn.com/image/ab67616d00001e02f33a9f529c12f79b116eb218"/>
    <b v="0"/>
  </r>
  <r>
    <n v="716"/>
    <s v="spotify:track:3nwcQXP0mBmXmlrirQxCkz"/>
    <x v="53"/>
    <s v="Slap The City (feat. Qendresa)"/>
    <s v="OVO/Republic"/>
    <n v="172"/>
    <n v="1"/>
    <s v="03:18:00"/>
    <b v="1"/>
    <n v="80"/>
    <n v="61"/>
    <n v="73"/>
    <n v="18"/>
    <n v="29"/>
    <n v="0"/>
    <n v="14"/>
    <n v="52"/>
    <n v="122"/>
    <s v="Hip-Hop/Rap"/>
    <s v="22/5/2026"/>
    <s v="https://image-cdn-ak.spotifycdn.com/image/ab67616d00001e02b92879e45761d711016476df"/>
    <b v="0"/>
  </r>
  <r>
    <n v="716"/>
    <s v="spotify:track:3nwcQXP0mBmXmlrirQxCkz"/>
    <x v="528"/>
    <s v="Slap The City (feat. Qendresa)"/>
    <s v="OVO/Republic"/>
    <n v="172"/>
    <n v="1"/>
    <s v="03:18:00"/>
    <b v="1"/>
    <n v="80"/>
    <n v="61"/>
    <n v="73"/>
    <n v="18"/>
    <n v="29"/>
    <n v="0"/>
    <n v="14"/>
    <n v="52"/>
    <n v="122"/>
    <s v="Hip-Hop/Rap"/>
    <s v="22/5/2026"/>
    <s v="https://image-cdn-ak.spotifycdn.com/image/ab67616d00001e02b92879e45761d711016476df"/>
    <b v="0"/>
  </r>
  <r>
    <n v="717"/>
    <s v="spotify:track:3oTuTpF1F3A7rEC6RKsMRz"/>
    <x v="529"/>
    <s v="Raindance (feat. Tems)"/>
    <s v="Neighbourhood"/>
    <n v="6"/>
    <n v="44"/>
    <s v="03:35:00"/>
    <b v="0"/>
    <n v="78"/>
    <n v="62"/>
    <n v="72"/>
    <n v="12"/>
    <n v="22"/>
    <n v="0"/>
    <n v="11"/>
    <n v="65"/>
    <n v="110"/>
    <s v="British Rap"/>
    <s v="5/9/2025"/>
    <s v="https://image-cdn-fa.spotifycdn.com/image/ab67616d00001e02fecaa7826bb0cbe139a8cb83"/>
    <b v="0"/>
  </r>
  <r>
    <n v="717"/>
    <s v="spotify:track:3oTuTpF1F3A7rEC6RKsMRz"/>
    <x v="530"/>
    <s v="Raindance (feat. Tems)"/>
    <s v="Neighbourhood"/>
    <n v="6"/>
    <n v="44"/>
    <s v="03:35:00"/>
    <b v="0"/>
    <n v="78"/>
    <n v="62"/>
    <n v="72"/>
    <n v="12"/>
    <n v="22"/>
    <n v="0"/>
    <n v="11"/>
    <n v="65"/>
    <n v="110"/>
    <s v="British Rap"/>
    <s v="5/9/2025"/>
    <s v="https://image-cdn-fa.spotifycdn.com/image/ab67616d00001e02fecaa7826bb0cbe139a8cb83"/>
    <b v="0"/>
  </r>
  <r>
    <n v="718"/>
    <s v="spotify:track:3ouNEk0tv5TTi8VWMe1xbX"/>
    <x v="298"/>
    <s v="Animal"/>
    <s v="HYBE/Geffen"/>
    <n v="8"/>
    <n v="10"/>
    <s v="02:48:00"/>
    <b v="0"/>
    <n v="80"/>
    <n v="73"/>
    <n v="74"/>
    <n v="6"/>
    <n v="15"/>
    <n v="0"/>
    <n v="14"/>
    <n v="71"/>
    <n v="120"/>
    <s v="K-Pop"/>
    <s v="29/8/2025"/>
    <s v="https://image-cdn-fa.spotifycdn.com/image/ab67616d00001e029e8d48f27391ce383862b8e8"/>
    <b v="0"/>
  </r>
  <r>
    <n v="719"/>
    <s v="spotify:track:3p4hRhMcb6ch8OLtATMaLw"/>
    <x v="184"/>
    <s v="Cry"/>
    <s v="Partisan Records"/>
    <n v="69"/>
    <n v="51"/>
    <d v="1899-12-30T04:11:00"/>
    <b v="0"/>
    <n v="41"/>
    <n v="40"/>
    <n v="83"/>
    <n v="3"/>
    <n v="76"/>
    <n v="67"/>
    <n v="11"/>
    <n v="16"/>
    <n v="143"/>
    <s v="Dream Pop"/>
    <d v="2019-10-25T00:00:00"/>
    <s v="https://image-cdn-ak.spotifycdn.com/image/ab67616d00001e02fd275af89cec73d6287f9cbf"/>
    <b v="0"/>
  </r>
  <r>
    <n v="720"/>
    <s v="spotify:track:3pbtBomO4Zt5gGiqsYeiBH"/>
    <x v="531"/>
    <s v="Upside Down"/>
    <s v="UNI/MOTOWN"/>
    <n v="157"/>
    <n v="1"/>
    <d v="1899-12-30T04:05:00"/>
    <b v="0"/>
    <n v="87"/>
    <n v="86"/>
    <n v="86"/>
    <n v="6"/>
    <n v="18"/>
    <n v="3"/>
    <n v="4"/>
    <n v="88"/>
    <n v="108"/>
    <s v="Disco"/>
    <d v="1980-06-25T00:00:00"/>
    <s v="https://image-cdn-fa.spotifycdn.com/image/ab67616d00001e02abc5193decc1a2984a93f31e"/>
    <b v="0"/>
  </r>
  <r>
    <n v="721"/>
    <s v="spotify:track:3plyGpDgzfrnZbpElpfioV"/>
    <x v="69"/>
    <s v="No. 29"/>
    <s v="BIGHIT MUSIC"/>
    <n v="22"/>
    <n v="6"/>
    <s v="03:18:00"/>
    <b v="0"/>
    <n v="60"/>
    <n v="48"/>
    <n v="70"/>
    <n v="4"/>
    <n v="55"/>
    <n v="0"/>
    <n v="11"/>
    <n v="38"/>
    <n v="88"/>
    <s v="K-Pop"/>
    <s v="20/3/2026"/>
    <s v="https://image-cdn-ak.spotifycdn.com/image/ab67616d00001e02dfa17fad7f190c901603270e"/>
    <b v="0"/>
  </r>
  <r>
    <n v="722"/>
    <s v="spotify:track:3qCeq0rWK67SoBDgFd2sId"/>
    <x v="532"/>
    <s v="Feliz Navidad"/>
    <s v="RCA Records Label"/>
    <n v="8"/>
    <n v="44"/>
    <d v="1899-12-30T03:02:00"/>
    <b v="0"/>
    <n v="68"/>
    <n v="68"/>
    <n v="78"/>
    <n v="5"/>
    <n v="25"/>
    <n v="0"/>
    <n v="14"/>
    <n v="85"/>
    <n v="130"/>
    <s v="Christmas"/>
    <d v="1970-11-01T00:00:00"/>
    <s v="https://image-cdn-ak.spotifycdn.com/image/ab67616d00001e0257db4e3ca6a227ed612ad0b8"/>
    <b v="1"/>
  </r>
  <r>
    <n v="723"/>
    <s v="spotify:track:3qdeRGn9erK9sjs1kUtBys"/>
    <x v="256"/>
    <s v="CHAVALITAS"/>
    <s v="Rancho Humilde/Street Mob Records/Sony Music Latin"/>
    <n v="97"/>
    <n v="4"/>
    <d v="1899-12-30T03:05:00"/>
    <b v="1"/>
    <n v="80"/>
    <n v="75"/>
    <n v="80"/>
    <n v="10"/>
    <n v="12"/>
    <n v="0"/>
    <n v="12"/>
    <n v="62"/>
    <n v="108"/>
    <s v="Regional Mexicano"/>
    <d v="2025-04-25T00:00:00"/>
    <s v="https://image-cdn-ak.spotifycdn.com/image/ab67616d00001e02a2e90fbdec84b25e46573469"/>
    <b v="0"/>
  </r>
  <r>
    <n v="724"/>
    <s v="spotify:track:3qhlB30KknSejmIvZZLjOD"/>
    <x v="533"/>
    <s v="End of Beginning"/>
    <s v="Djo"/>
    <n v="1"/>
    <n v="137"/>
    <d v="1899-12-30T02:39:00"/>
    <b v="0"/>
    <n v="69"/>
    <n v="45"/>
    <n v="87"/>
    <n v="6"/>
    <n v="4"/>
    <n v="0"/>
    <n v="7"/>
    <n v="91"/>
    <n v="160"/>
    <s v="Indie Pop"/>
    <d v="2022-09-16T00:00:00"/>
    <s v="https://image-cdn-fa.spotifycdn.com/image/ab67616d00001e02fddfffec51b4580acae727c1"/>
    <b v="0"/>
  </r>
  <r>
    <n v="725"/>
    <s v="spotify:track:3r2ZoCWlf9RewWlxxozfQ8"/>
    <x v="534"/>
    <s v="De Lejitos"/>
    <s v="Linked Music / Dynamic Records / EMPIRE"/>
    <n v="110"/>
    <n v="2"/>
    <s v="03:05:00"/>
    <b v="1"/>
    <n v="78"/>
    <n v="61"/>
    <n v="72"/>
    <n v="6"/>
    <n v="26"/>
    <n v="0"/>
    <n v="11"/>
    <n v="68"/>
    <n v="94"/>
    <s v="Reggaeton"/>
    <s v="27/6/2025"/>
    <s v="https://image-cdn-ak.spotifycdn.com/image/ab67616d00001e02b62ac83032bd03907fa32e52"/>
    <b v="0"/>
  </r>
  <r>
    <n v="726"/>
    <s v="spotify:track:3rUGC1vUpkDG9CZFHMur1t"/>
    <x v="23"/>
    <s v="greedy"/>
    <s v="RCA Records Label"/>
    <n v="1"/>
    <n v="113"/>
    <d v="1899-12-30T02:11:00"/>
    <b v="1"/>
    <n v="75"/>
    <n v="73"/>
    <n v="95"/>
    <n v="3"/>
    <n v="26"/>
    <n v="0"/>
    <n v="11"/>
    <n v="82"/>
    <n v="111"/>
    <s v="Pop"/>
    <d v="2023-09-15T00:00:00"/>
    <s v="https://image-cdn-ak.spotifycdn.com/image/ab67616d00001e025f677b5d3b81f08badd0775b"/>
    <b v="0"/>
  </r>
  <r>
    <n v="727"/>
    <s v="spotify:track:3rssNOLucK9fzsRcKonhYu"/>
    <x v="53"/>
    <s v="Firm Friends"/>
    <s v="OVO/Republic"/>
    <n v="79"/>
    <n v="1"/>
    <s v="03:18:00"/>
    <b v="1"/>
    <n v="72"/>
    <n v="54"/>
    <n v="71"/>
    <n v="28"/>
    <n v="42"/>
    <n v="0"/>
    <n v="10"/>
    <n v="34"/>
    <n v="98"/>
    <s v="Hip-Hop/Rap"/>
    <s v="22/5/2026"/>
    <s v="https://image-cdn-fa.spotifycdn.com/image/ab67616d00001e02fe9d3ab9adb1d3b59835b81c"/>
    <b v="0"/>
  </r>
  <r>
    <n v="728"/>
    <s v="spotify:track:3sK8wGT43QFpWrvNQsrQya"/>
    <x v="103"/>
    <s v="DtMF"/>
    <s v="Rimas Entertainment LLC."/>
    <n v="1"/>
    <n v="91"/>
    <d v="1899-12-30T03:52:00"/>
    <b v="1"/>
    <n v="62"/>
    <n v="13"/>
    <n v="54"/>
    <n v="7"/>
    <n v="18"/>
    <n v="22"/>
    <n v="8"/>
    <n v="3"/>
    <n v="136"/>
    <s v="Reggaeton"/>
    <d v="2025-01-05T00:00:00"/>
    <s v="https://image-cdn-ak.spotifycdn.com/image/ab67616d00001e02bbd45c8d36e0e045ef640411"/>
    <b v="0"/>
  </r>
  <r>
    <n v="729"/>
    <s v="spotify:track:3siwsiaEoU4Kuuc9WKMUy5"/>
    <x v="64"/>
    <s v="No One Noticed"/>
    <s v="Nice Life/Atlantic"/>
    <n v="37"/>
    <n v="89"/>
    <d v="1899-12-30T03:56:00"/>
    <b v="0"/>
    <n v="70"/>
    <n v="34"/>
    <n v="82"/>
    <n v="3"/>
    <n v="55"/>
    <n v="8"/>
    <n v="12"/>
    <n v="46"/>
    <n v="98"/>
    <s v="Indie Pop"/>
    <d v="2024-06-21T00:00:00"/>
    <s v="https://image-cdn-ak.spotifycdn.com/image/ab67616d00001e028aa339341a0b0c813909c831"/>
    <b v="0"/>
  </r>
  <r>
    <n v="730"/>
    <s v="spotify:track:3surY3LebvLLdJezmiKUBO"/>
    <x v="535"/>
    <s v="TWIN TRIM (with Lil Uzi Vert)"/>
    <s v="AWGE/Interscope Records"/>
    <n v="101"/>
    <n v="1"/>
    <d v="1899-12-30T02:48:00"/>
    <b v="1"/>
    <n v="74"/>
    <n v="82"/>
    <n v="89"/>
    <n v="4"/>
    <n v="5"/>
    <n v="0"/>
    <n v="17"/>
    <n v="34"/>
    <n v="143"/>
    <s v="Hip-Hop/Rap"/>
    <d v="2025-03-14T00:00:00"/>
    <s v="https://image-cdn-fa.spotifycdn.com/image/ab67616d00001e026b219c8d8462bfe254a20469"/>
    <b v="0"/>
  </r>
  <r>
    <n v="730"/>
    <s v="spotify:track:3surY3LebvLLdJezmiKUBO"/>
    <x v="1"/>
    <s v="TWIN TRIM (with Lil Uzi Vert)"/>
    <s v="AWGE/Interscope Records"/>
    <n v="101"/>
    <n v="1"/>
    <d v="1899-12-30T02:48:00"/>
    <b v="1"/>
    <n v="74"/>
    <n v="82"/>
    <n v="89"/>
    <n v="4"/>
    <n v="5"/>
    <n v="0"/>
    <n v="17"/>
    <n v="34"/>
    <n v="143"/>
    <s v="Hip-Hop/Rap"/>
    <d v="2025-03-14T00:00:00"/>
    <s v="https://image-cdn-fa.spotifycdn.com/image/ab67616d00001e026b219c8d8462bfe254a20469"/>
    <b v="0"/>
  </r>
  <r>
    <n v="731"/>
    <s v="spotify:track:3t72JCbFJ3syOhFC7x9Pa4"/>
    <x v="30"/>
    <s v="M&amp;M"/>
    <s v="Josa Records"/>
    <n v="60"/>
    <n v="17"/>
    <d v="1899-12-30T03:05:00"/>
    <b v="0"/>
    <n v="60"/>
    <n v="84"/>
    <n v="90"/>
    <n v="4"/>
    <n v="33"/>
    <n v="1"/>
    <n v="10"/>
    <n v="54"/>
    <n v="179"/>
    <s v="Regional Mexicano"/>
    <d v="2025-03-14T00:00:00"/>
    <s v="https://image-cdn-ak.spotifycdn.com/image/ab67616d00001e025c0540f97b3f95e387a9b58e"/>
    <b v="0"/>
  </r>
  <r>
    <n v="732"/>
    <s v="spotify:track:3tFed7YsjGnIfxeLEQwx3R"/>
    <x v="369"/>
    <s v="Sticky (feat. GloRilla, Sexyy Red &amp; Lil Wayne)"/>
    <s v="Columbia"/>
    <n v="20"/>
    <n v="20"/>
    <d v="1899-12-30T04:13:00"/>
    <b v="1"/>
    <n v="50"/>
    <n v="81"/>
    <n v="93"/>
    <n v="46"/>
    <n v="28"/>
    <n v="0"/>
    <n v="44"/>
    <n v="66"/>
    <n v="80"/>
    <s v="Hip-Hop/Rap"/>
    <d v="2024-10-28T00:00:00"/>
    <s v="https://image-cdn-ak.spotifycdn.com/image/ab67616d00001e02084a94988541c2402615d014"/>
    <b v="0"/>
  </r>
  <r>
    <n v="732"/>
    <s v="spotify:track:3tFed7YsjGnIfxeLEQwx3R"/>
    <x v="536"/>
    <s v="Sticky (feat. GloRilla, Sexyy Red &amp; Lil Wayne)"/>
    <s v="Columbia"/>
    <n v="20"/>
    <n v="20"/>
    <d v="1899-12-30T04:13:00"/>
    <b v="1"/>
    <n v="50"/>
    <n v="81"/>
    <n v="93"/>
    <n v="46"/>
    <n v="28"/>
    <n v="0"/>
    <n v="44"/>
    <n v="66"/>
    <n v="80"/>
    <s v="Hip-Hop/Rap"/>
    <d v="2024-10-28T00:00:00"/>
    <s v="https://image-cdn-ak.spotifycdn.com/image/ab67616d00001e02084a94988541c2402615d014"/>
    <b v="0"/>
  </r>
  <r>
    <n v="732"/>
    <s v="spotify:track:3tFed7YsjGnIfxeLEQwx3R"/>
    <x v="537"/>
    <s v="Sticky (feat. GloRilla, Sexyy Red &amp; Lil Wayne)"/>
    <s v="Columbia"/>
    <n v="20"/>
    <n v="20"/>
    <d v="1899-12-30T04:13:00"/>
    <b v="1"/>
    <n v="50"/>
    <n v="81"/>
    <n v="93"/>
    <n v="46"/>
    <n v="28"/>
    <n v="0"/>
    <n v="44"/>
    <n v="66"/>
    <n v="80"/>
    <s v="Hip-Hop/Rap"/>
    <d v="2024-10-28T00:00:00"/>
    <s v="https://image-cdn-ak.spotifycdn.com/image/ab67616d00001e02084a94988541c2402615d014"/>
    <b v="0"/>
  </r>
  <r>
    <n v="732"/>
    <s v="spotify:track:3tFed7YsjGnIfxeLEQwx3R"/>
    <x v="238"/>
    <s v="Sticky (feat. GloRilla, Sexyy Red &amp; Lil Wayne)"/>
    <s v="Columbia"/>
    <n v="20"/>
    <n v="20"/>
    <d v="1899-12-30T04:13:00"/>
    <b v="1"/>
    <n v="50"/>
    <n v="81"/>
    <n v="93"/>
    <n v="46"/>
    <n v="28"/>
    <n v="0"/>
    <n v="44"/>
    <n v="66"/>
    <n v="80"/>
    <s v="Hip-Hop/Rap"/>
    <d v="2024-10-28T00:00:00"/>
    <s v="https://image-cdn-ak.spotifycdn.com/image/ab67616d00001e02084a94988541c2402615d014"/>
    <b v="0"/>
  </r>
  <r>
    <n v="733"/>
    <s v="spotify:track:3vCzLB6kS2lGcIpm1OOUsy"/>
    <x v="538"/>
    <s v="Ishq Hai"/>
    <s v="Netflix Music"/>
    <n v="190"/>
    <n v="1"/>
    <d v="1899-12-30T03:05:00"/>
    <b v="0"/>
    <n v="31"/>
    <n v="59"/>
    <n v="88"/>
    <n v="5"/>
    <n v="56"/>
    <n v="0"/>
    <n v="14"/>
    <n v="64"/>
    <n v="79"/>
    <s v="Bollywood"/>
    <d v="2024-12-13T00:00:00"/>
    <s v="https://image-cdn-ak.spotifycdn.com/image/ab67616d00001e0279f4a87c23143f0abb14c279"/>
    <b v="0"/>
  </r>
  <r>
    <n v="733"/>
    <s v="spotify:track:3vCzLB6kS2lGcIpm1OOUsy"/>
    <x v="539"/>
    <s v="Ishq Hai"/>
    <s v="Netflix Music"/>
    <n v="190"/>
    <n v="1"/>
    <d v="1899-12-30T03:05:00"/>
    <b v="0"/>
    <n v="31"/>
    <n v="59"/>
    <n v="88"/>
    <n v="5"/>
    <n v="56"/>
    <n v="0"/>
    <n v="14"/>
    <n v="64"/>
    <n v="79"/>
    <s v="Bollywood"/>
    <d v="2024-12-13T00:00:00"/>
    <s v="https://image-cdn-ak.spotifycdn.com/image/ab67616d00001e0279f4a87c23143f0abb14c279"/>
    <b v="0"/>
  </r>
  <r>
    <n v="733"/>
    <s v="spotify:track:3vCzLB6kS2lGcIpm1OOUsy"/>
    <x v="540"/>
    <s v="Ishq Hai"/>
    <s v="Netflix Music"/>
    <n v="190"/>
    <n v="1"/>
    <d v="1899-12-30T03:05:00"/>
    <b v="0"/>
    <n v="31"/>
    <n v="59"/>
    <n v="88"/>
    <n v="5"/>
    <n v="56"/>
    <n v="0"/>
    <n v="14"/>
    <n v="64"/>
    <n v="79"/>
    <s v="Bollywood"/>
    <d v="2024-12-13T00:00:00"/>
    <s v="https://image-cdn-ak.spotifycdn.com/image/ab67616d00001e0279f4a87c23143f0abb14c279"/>
    <b v="0"/>
  </r>
  <r>
    <n v="733"/>
    <s v="spotify:track:3vCzLB6kS2lGcIpm1OOUsy"/>
    <x v="541"/>
    <s v="Ishq Hai"/>
    <s v="Netflix Music"/>
    <n v="190"/>
    <n v="1"/>
    <d v="1899-12-30T03:05:00"/>
    <b v="0"/>
    <n v="31"/>
    <n v="59"/>
    <n v="88"/>
    <n v="5"/>
    <n v="56"/>
    <n v="0"/>
    <n v="14"/>
    <n v="64"/>
    <n v="79"/>
    <s v="Bollywood"/>
    <d v="2024-12-13T00:00:00"/>
    <s v="https://image-cdn-ak.spotifycdn.com/image/ab67616d00001e0279f4a87c23143f0abb14c279"/>
    <b v="0"/>
  </r>
  <r>
    <n v="733"/>
    <s v="spotify:track:3vCzLB6kS2lGcIpm1OOUsy"/>
    <x v="542"/>
    <s v="Ishq Hai"/>
    <s v="Netflix Music"/>
    <n v="190"/>
    <n v="1"/>
    <d v="1899-12-30T03:05:00"/>
    <b v="0"/>
    <n v="31"/>
    <n v="59"/>
    <n v="88"/>
    <n v="5"/>
    <n v="56"/>
    <n v="0"/>
    <n v="14"/>
    <n v="64"/>
    <n v="79"/>
    <s v="Bollywood"/>
    <d v="2024-12-13T00:00:00"/>
    <s v="https://image-cdn-ak.spotifycdn.com/image/ab67616d00001e0279f4a87c23143f0abb14c279"/>
    <b v="0"/>
  </r>
  <r>
    <n v="733"/>
    <s v="spotify:track:3vCzLB6kS2lGcIpm1OOUsy"/>
    <x v="543"/>
    <s v="Ishq Hai"/>
    <s v="Netflix Music"/>
    <n v="190"/>
    <n v="1"/>
    <d v="1899-12-30T03:05:00"/>
    <b v="0"/>
    <n v="31"/>
    <n v="59"/>
    <n v="88"/>
    <n v="5"/>
    <n v="56"/>
    <n v="0"/>
    <n v="14"/>
    <n v="64"/>
    <n v="79"/>
    <s v="Bollywood"/>
    <d v="2024-12-13T00:00:00"/>
    <s v="https://image-cdn-ak.spotifycdn.com/image/ab67616d00001e0279f4a87c23143f0abb14c279"/>
    <b v="0"/>
  </r>
  <r>
    <n v="733"/>
    <s v="spotify:track:3vCzLB6kS2lGcIpm1OOUsy"/>
    <x v="544"/>
    <s v="Ishq Hai"/>
    <s v="Netflix Music"/>
    <n v="190"/>
    <n v="1"/>
    <d v="1899-12-30T03:05:00"/>
    <b v="0"/>
    <n v="31"/>
    <n v="59"/>
    <n v="88"/>
    <n v="5"/>
    <n v="56"/>
    <n v="0"/>
    <n v="14"/>
    <n v="64"/>
    <n v="79"/>
    <s v="Bollywood"/>
    <d v="2024-12-13T00:00:00"/>
    <s v="https://image-cdn-ak.spotifycdn.com/image/ab67616d00001e0279f4a87c23143f0abb14c279"/>
    <b v="0"/>
  </r>
  <r>
    <n v="734"/>
    <s v="spotify:track:3vJIaiTIHxHhYafTSPNiH4"/>
    <x v="545"/>
    <s v="Zoo"/>
    <s v="Walt Disney Records"/>
    <n v="113"/>
    <n v="13"/>
    <d v="1899-12-30T03:05:00"/>
    <b v="0"/>
    <n v="72"/>
    <n v="72"/>
    <n v="79"/>
    <n v="8"/>
    <n v="20"/>
    <n v="0"/>
    <n v="11"/>
    <n v="68"/>
    <n v="105"/>
    <s v="Pop"/>
    <d v="2016-03-04T00:00:00"/>
    <s v="https://image-cdn-ak.spotifycdn.com/image/ab67616d00001e02a6c1dcda006bbf12825b7f43"/>
    <b v="0"/>
  </r>
  <r>
    <n v="734"/>
    <s v="spotify:track:3vJIaiTIHxHhYafTSPNiH4"/>
    <x v="153"/>
    <s v="Zoo"/>
    <s v="Walt Disney Records"/>
    <n v="113"/>
    <n v="13"/>
    <d v="1899-12-30T03:05:00"/>
    <b v="0"/>
    <n v="72"/>
    <n v="72"/>
    <n v="79"/>
    <n v="8"/>
    <n v="20"/>
    <n v="0"/>
    <n v="11"/>
    <n v="68"/>
    <n v="105"/>
    <s v="Pop"/>
    <d v="2016-03-04T00:00:00"/>
    <s v="https://image-cdn-ak.spotifycdn.com/image/ab67616d00001e02a6c1dcda006bbf12825b7f43"/>
    <b v="0"/>
  </r>
  <r>
    <n v="735"/>
    <s v="spotify:track:3vkCueOmm7xQDoJ17W1Pm3"/>
    <x v="546"/>
    <s v="My Love Mine All Mine"/>
    <s v="Dead Oceans"/>
    <n v="3"/>
    <n v="76"/>
    <d v="1899-12-30T02:17:00"/>
    <b v="0"/>
    <n v="50"/>
    <n v="31"/>
    <n v="75"/>
    <n v="3"/>
    <n v="87"/>
    <n v="14"/>
    <n v="16"/>
    <n v="12"/>
    <n v="114"/>
    <s v="Indie Pop"/>
    <d v="2023-09-15T00:00:00"/>
    <s v="https://image-cdn-ak.spotifycdn.com/image/ab67616d00001e0234f21d3047d85440dfa37f10"/>
    <b v="0"/>
  </r>
  <r>
    <n v="736"/>
    <s v="spotify:track:3wPPWcVuinAU7dXcJXtCID"/>
    <x v="547"/>
    <s v="La La La"/>
    <s v="Virgin Records Ltd"/>
    <n v="59"/>
    <n v="8"/>
    <d v="1899-12-30T03:39:00"/>
    <b v="0"/>
    <n v="77"/>
    <n v="65"/>
    <n v="91"/>
    <n v="3"/>
    <n v="11"/>
    <n v="0"/>
    <n v="9"/>
    <n v="26"/>
    <n v="125"/>
    <s v="Pop"/>
    <d v="2013-05-17T00:00:00"/>
    <s v="https://image-cdn-ak.spotifycdn.com/image/ab67616d00001e02fafb4022c8ca1c4498e10b19"/>
    <b v="0"/>
  </r>
  <r>
    <n v="736"/>
    <s v="spotify:track:3wPPWcVuinAU7dXcJXtCID"/>
    <x v="548"/>
    <s v="La La La"/>
    <s v="Virgin Records Ltd"/>
    <n v="59"/>
    <n v="8"/>
    <d v="1899-12-30T03:39:00"/>
    <b v="0"/>
    <n v="77"/>
    <n v="65"/>
    <n v="91"/>
    <n v="3"/>
    <n v="11"/>
    <n v="0"/>
    <n v="9"/>
    <n v="26"/>
    <n v="125"/>
    <s v="Pop"/>
    <d v="2013-05-17T00:00:00"/>
    <s v="https://image-cdn-ak.spotifycdn.com/image/ab67616d00001e02fafb4022c8ca1c4498e10b19"/>
    <b v="0"/>
  </r>
  <r>
    <n v="737"/>
    <s v="spotify:track:3wuCCNCnBhJlwkIJTBZFiv"/>
    <x v="38"/>
    <s v="They Don't Care About Us"/>
    <s v="Epic"/>
    <n v="52"/>
    <n v="9"/>
    <d v="1899-12-30T04:44:00"/>
    <b v="0"/>
    <n v="86"/>
    <n v="90"/>
    <n v="91"/>
    <n v="13"/>
    <n v="20"/>
    <n v="1"/>
    <n v="32"/>
    <n v="73"/>
    <n v="90"/>
    <s v="Pop"/>
    <d v="1995-06-16T00:00:00"/>
    <s v="https://image-cdn-ak.spotifycdn.com/image/ab67616d00001e02b4a878f008a0eda552446701"/>
    <b v="0"/>
  </r>
  <r>
    <n v="739"/>
    <s v="spotify:track:3xClevycpBON8bkyxFbAna"/>
    <x v="5"/>
    <s v="Taste Back"/>
    <s v="Columbia"/>
    <n v="16"/>
    <n v="3"/>
    <s v="03:05:00"/>
    <b v="0"/>
    <n v="70"/>
    <n v="61"/>
    <n v="73"/>
    <n v="5"/>
    <n v="28"/>
    <n v="0"/>
    <n v="11"/>
    <n v="60"/>
    <n v="112"/>
    <s v="Pop"/>
    <s v="6/3/2026"/>
    <s v="https://image-cdn-ak.spotifycdn.com/image/ab67616d00001e0274959140f550b11049c18a38"/>
    <b v="0"/>
  </r>
  <r>
    <n v="740"/>
    <s v="spotify:track:3xKsf9qdS1CyvXSMEid6g8"/>
    <x v="549"/>
    <s v="Pink + White"/>
    <s v="Boys Don't Cry"/>
    <n v="67"/>
    <n v="105"/>
    <d v="1899-12-30T03:04:00"/>
    <b v="0"/>
    <n v="55"/>
    <n v="55"/>
    <n v="88"/>
    <n v="11"/>
    <n v="67"/>
    <n v="0"/>
    <n v="42"/>
    <n v="55"/>
    <n v="160"/>
    <s v="R&amp;B"/>
    <d v="2016-08-20T00:00:00"/>
    <s v="https://image-cdn-fa.spotifycdn.com/image/ab67616d00001e02c5649add07ed3720be9d5526"/>
    <b v="0"/>
  </r>
  <r>
    <n v="741"/>
    <s v="spotify:track:3xkHsmpQCBMytMJNiDf3Ii"/>
    <x v="200"/>
    <s v="Beautiful Things"/>
    <s v="Night Street Records, Inc./Warner Records Inc."/>
    <n v="1"/>
    <n v="141"/>
    <d v="1899-12-30T03:00:00"/>
    <b v="0"/>
    <n v="47"/>
    <n v="47"/>
    <n v="91"/>
    <n v="6"/>
    <n v="15"/>
    <n v="0"/>
    <n v="14"/>
    <n v="22"/>
    <n v="105"/>
    <s v="Pop"/>
    <d v="2024-01-18T00:00:00"/>
    <s v="https://image-cdn-ak.spotifycdn.com/image/ab67616d00001e02831949037a1db10b87b005fa"/>
    <b v="0"/>
  </r>
  <r>
    <n v="742"/>
    <s v="spotify:track:3xwMjQriBVW0OGEvNKo9c0"/>
    <x v="11"/>
    <s v="Been By Now"/>
    <s v="Big Loud Records / Mercury Records"/>
    <n v="73"/>
    <n v="3"/>
    <s v="03:18:00"/>
    <b v="0"/>
    <n v="59"/>
    <n v="62"/>
    <n v="71"/>
    <n v="4"/>
    <n v="35"/>
    <n v="0"/>
    <n v="12"/>
    <n v="45"/>
    <n v="134"/>
    <s v="Country"/>
    <s v="3/4/2026"/>
    <s v="https://image-cdn-ak.spotifycdn.com/image/ab67616d00001e02349f6c0133abbfca063891c1"/>
    <b v="0"/>
  </r>
  <r>
    <n v="743"/>
    <s v="spotify:track:3yWuTOYDztXjZxdE2cIRUa"/>
    <x v="19"/>
    <s v="Opalite"/>
    <s v="Taylor Swift"/>
    <n v="2"/>
    <n v="42"/>
    <s v="03:28:00"/>
    <b v="0"/>
    <n v="63"/>
    <n v="49"/>
    <n v="71"/>
    <n v="4"/>
    <n v="51"/>
    <n v="0"/>
    <n v="10"/>
    <n v="44"/>
    <n v="132"/>
    <s v="Pop"/>
    <s v="3/10/2025"/>
    <s v="https://image-cdn-ak.spotifycdn.com/image/ab67616d00001e02d7812467811a7da6e6a44902"/>
    <b v="0"/>
  </r>
  <r>
    <n v="745"/>
    <s v="spotify:track:3zOYmiNOuyDL0ClxJcEJ0T"/>
    <x v="550"/>
    <s v="Stop The Wedding!"/>
    <s v="Atlantic Records"/>
    <n v="51"/>
    <n v="3"/>
    <s v="03:05:00"/>
    <b v="0"/>
    <n v="59"/>
    <n v="48"/>
    <n v="70"/>
    <n v="4"/>
    <n v="56"/>
    <n v="0"/>
    <n v="15"/>
    <n v="40"/>
    <n v="126"/>
    <s v="Pop"/>
    <s v="19/9/2025"/>
    <s v="https://image-cdn-ak.spotifycdn.com/image/ab67616d00001e020893a0c33fd4b8497b0ef2f6"/>
    <b v="0"/>
  </r>
  <r>
    <n v="748"/>
    <s v="spotify:track:410fyfFghBsxNu45LiNJ24"/>
    <x v="551"/>
    <s v="Pag-Ibig ay Kanibalismo II"/>
    <s v="fitterkarma"/>
    <n v="200"/>
    <n v="1"/>
    <s v="03:05:00"/>
    <b v="0"/>
    <n v="62"/>
    <n v="52"/>
    <n v="70"/>
    <n v="5"/>
    <n v="48"/>
    <n v="0"/>
    <n v="13"/>
    <n v="44"/>
    <n v="118"/>
    <s v="Indie Pop"/>
    <s v="20/2/2026"/>
    <s v="https://image-cdn-ak.spotifycdn.com/image/ab67616d00001e02796442914fd83d47da3242a9"/>
    <b v="0"/>
  </r>
  <r>
    <n v="749"/>
    <s v="spotify:track:412poAqbwD8OC0dYD1nBkV"/>
    <x v="552"/>
    <s v="Sheesha - Aakhya Mai Aakh Ghali Jo Bairan"/>
    <s v="Sony Music India / Nine"/>
    <n v="139"/>
    <n v="5"/>
    <s v="03:18:00"/>
    <b v="0"/>
    <n v="78"/>
    <n v="76"/>
    <n v="74"/>
    <n v="6"/>
    <n v="21"/>
    <n v="0"/>
    <n v="17"/>
    <n v="82"/>
    <n v="142"/>
    <s v="Bollywood"/>
    <s v="13/3/2026"/>
    <s v="https://image-cdn-fa.spotifycdn.com/image/ab67616d00001e02190b5b394a6fc5574ceea4da"/>
    <b v="0"/>
  </r>
  <r>
    <n v="749"/>
    <s v="spotify:track:412poAqbwD8OC0dYD1nBkV"/>
    <x v="553"/>
    <s v="Sheesha - Aakhya Mai Aakh Ghali Jo Bairan"/>
    <s v="Sony Music India / Nine"/>
    <n v="139"/>
    <n v="5"/>
    <s v="03:18:00"/>
    <b v="0"/>
    <n v="78"/>
    <n v="76"/>
    <n v="74"/>
    <n v="6"/>
    <n v="21"/>
    <n v="0"/>
    <n v="17"/>
    <n v="82"/>
    <n v="142"/>
    <s v="Bollywood"/>
    <s v="13/3/2026"/>
    <s v="https://image-cdn-fa.spotifycdn.com/image/ab67616d00001e02190b5b394a6fc5574ceea4da"/>
    <b v="0"/>
  </r>
  <r>
    <n v="750"/>
    <s v="spotify:track:41e8XO5tcG6Uesk2FhdsWm"/>
    <x v="387"/>
    <s v="THIS A MUST"/>
    <s v="YZY/gamma."/>
    <n v="170"/>
    <n v="1"/>
    <s v="03:18:00"/>
    <b v="1"/>
    <n v="74"/>
    <n v="68"/>
    <n v="73"/>
    <n v="14"/>
    <n v="18"/>
    <n v="0"/>
    <n v="16"/>
    <n v="55"/>
    <n v="122"/>
    <s v="Hip-Hop/Rap"/>
    <s v="3/4/2026"/>
    <s v="https://image-cdn-fa.spotifycdn.com/image/ab67616d00001e0295184f6a953569b683ca9a0d"/>
    <b v="0"/>
  </r>
  <r>
    <n v="750"/>
    <s v="spotify:track:41e8XO5tcG6Uesk2FhdsWm"/>
    <x v="388"/>
    <s v="THIS A MUST"/>
    <s v="YZY/gamma."/>
    <n v="170"/>
    <n v="1"/>
    <s v="03:18:00"/>
    <b v="1"/>
    <n v="74"/>
    <n v="68"/>
    <n v="73"/>
    <n v="14"/>
    <n v="18"/>
    <n v="0"/>
    <n v="16"/>
    <n v="55"/>
    <n v="122"/>
    <s v="Hip-Hop/Rap"/>
    <s v="3/4/2026"/>
    <s v="https://image-cdn-fa.spotifycdn.com/image/ab67616d00001e0295184f6a953569b683ca9a0d"/>
    <b v="0"/>
  </r>
  <r>
    <n v="752"/>
    <s v="spotify:track:42VUCXerQ5qTr4Qp6PhKo4"/>
    <x v="124"/>
    <s v="Tears"/>
    <s v="Island Records"/>
    <n v="2"/>
    <n v="20"/>
    <s v="03:05:00"/>
    <b v="0"/>
    <n v="58"/>
    <n v="44"/>
    <n v="69"/>
    <n v="4"/>
    <n v="68"/>
    <n v="0"/>
    <n v="11"/>
    <n v="35"/>
    <n v="92"/>
    <s v="Pop"/>
    <s v="29/8/2025"/>
    <s v="https://image-cdn-ak.spotifycdn.com/image/ab67616d00001e02b1863bf95557ea7f357c4947"/>
    <b v="0"/>
  </r>
  <r>
    <n v="753"/>
    <s v="spotify:track:42VsgItocQwOQC3XWZ8JNA"/>
    <x v="1"/>
    <s v="FE!N (feat. Playboi Carti)"/>
    <s v="Cactus Jack/Epic"/>
    <n v="5"/>
    <n v="84"/>
    <d v="1899-12-30T03:12:00"/>
    <b v="1"/>
    <n v="57"/>
    <n v="88"/>
    <n v="95"/>
    <n v="6"/>
    <n v="3"/>
    <n v="0"/>
    <n v="14"/>
    <n v="20"/>
    <n v="148"/>
    <s v="Hip-Hop/Rap"/>
    <d v="2023-07-28T00:00:00"/>
    <s v="https://image-cdn-fa.spotifycdn.com/image/ab67616d00001e0204481c826dd292e5e4983b3f"/>
    <b v="0"/>
  </r>
  <r>
    <n v="753"/>
    <s v="spotify:track:42VsgItocQwOQC3XWZ8JNA"/>
    <x v="186"/>
    <s v="FE!N (feat. Playboi Carti)"/>
    <s v="Cactus Jack/Epic"/>
    <n v="5"/>
    <n v="84"/>
    <d v="1899-12-30T03:12:00"/>
    <b v="1"/>
    <n v="57"/>
    <n v="88"/>
    <n v="95"/>
    <n v="6"/>
    <n v="3"/>
    <n v="0"/>
    <n v="14"/>
    <n v="20"/>
    <n v="148"/>
    <s v="Hip-Hop/Rap"/>
    <d v="2023-07-28T00:00:00"/>
    <s v="https://image-cdn-fa.spotifycdn.com/image/ab67616d00001e0204481c826dd292e5e4983b3f"/>
    <b v="0"/>
  </r>
  <r>
    <n v="754"/>
    <s v="spotify:track:42qNWdLKCI41S4uzfamhFM"/>
    <x v="554"/>
    <s v="Duvet"/>
    <s v="Nettwerk Music Group"/>
    <n v="136"/>
    <n v="2"/>
    <d v="1899-12-30T03:35:00"/>
    <b v="0"/>
    <n v="58"/>
    <n v="89"/>
    <n v="84"/>
    <n v="3"/>
    <n v="19"/>
    <n v="0"/>
    <n v="9"/>
    <n v="71"/>
    <n v="93"/>
    <s v="Alternative"/>
    <d v="1998-02-24T00:00:00"/>
    <s v="https://image-cdn-ak.spotifycdn.com/image/ab67616d00001e026173e498401502583046f42c"/>
    <b v="0"/>
  </r>
  <r>
    <n v="755"/>
    <s v="spotify:track:42wdz3j7gstgUuhoFLCXqd"/>
    <x v="411"/>
    <s v="PELIGROSA"/>
    <s v="FloyyMenor under exclusive license to UnitedMasters LLC"/>
    <n v="26"/>
    <n v="33"/>
    <d v="1899-12-30T02:48:00"/>
    <b v="1"/>
    <n v="76"/>
    <n v="52"/>
    <n v="88"/>
    <n v="6"/>
    <n v="22"/>
    <n v="0"/>
    <n v="8"/>
    <n v="80"/>
    <n v="100"/>
    <s v="Reggaeton"/>
    <d v="2024-02-14T00:00:00"/>
    <s v="https://image-cdn-fa.spotifycdn.com/image/ab67616d00001e02200e2b6526846c59789c92e6"/>
    <b v="0"/>
  </r>
  <r>
    <n v="756"/>
    <s v="spotify:track:43558Td2trz7O0chZYohEE"/>
    <x v="80"/>
    <s v="Amapola"/>
    <s v="WEA Latina"/>
    <n v="103"/>
    <n v="11"/>
    <d v="1899-12-30T03:05:00"/>
    <b v="0"/>
    <n v="76"/>
    <n v="60"/>
    <n v="87"/>
    <n v="3"/>
    <n v="6"/>
    <n v="0"/>
    <n v="24"/>
    <n v="75"/>
    <n v="133"/>
    <s v="Regional Mexicano"/>
    <d v="2025-04-18T00:00:00"/>
    <s v="https://image-cdn-ak.spotifycdn.com/image/ab67616d00001e02e252ac1e6e76327b5ff94543"/>
    <b v="0"/>
  </r>
  <r>
    <n v="756"/>
    <s v="spotify:track:43558Td2trz7O0chZYohEE"/>
    <x v="555"/>
    <s v="Amapola"/>
    <s v="WEA Latina"/>
    <n v="103"/>
    <n v="11"/>
    <d v="1899-12-30T03:05:00"/>
    <b v="0"/>
    <n v="76"/>
    <n v="60"/>
    <n v="87"/>
    <n v="3"/>
    <n v="6"/>
    <n v="0"/>
    <n v="24"/>
    <n v="75"/>
    <n v="133"/>
    <s v="Regional Mexicano"/>
    <d v="2025-04-18T00:00:00"/>
    <s v="https://image-cdn-ak.spotifycdn.com/image/ab67616d00001e02e252ac1e6e76327b5ff94543"/>
    <b v="0"/>
  </r>
  <r>
    <n v="757"/>
    <s v="spotify:track:43BJVWcBzHRIDaQCg7abnX"/>
    <x v="476"/>
    <s v="Champion"/>
    <s v="YG Entertainment"/>
    <n v="93"/>
    <n v="1"/>
    <s v="02:48:00"/>
    <b v="0"/>
    <n v="79"/>
    <n v="81"/>
    <n v="77"/>
    <n v="9"/>
    <n v="12"/>
    <n v="0"/>
    <n v="17"/>
    <n v="65"/>
    <n v="130"/>
    <s v="K-Pop"/>
    <s v="20/3/2026"/>
    <s v="https://image-cdn-ak.spotifycdn.com/image/ab67616d00001e02d885644b72d5254dd621dc45"/>
    <b v="0"/>
  </r>
  <r>
    <n v="758"/>
    <s v="spotify:track:43iIQbw5hx986dUEZbr3eN"/>
    <x v="375"/>
    <s v="From The Start"/>
    <s v="Laufey"/>
    <n v="97"/>
    <n v="38"/>
    <d v="1899-12-30T02:48:00"/>
    <b v="0"/>
    <n v="55"/>
    <n v="34"/>
    <n v="83"/>
    <n v="8"/>
    <n v="89"/>
    <n v="0"/>
    <n v="11"/>
    <n v="83"/>
    <n v="81"/>
    <s v="Jazz Pop"/>
    <d v="2023-06-30T00:00:00"/>
    <s v="https://image-cdn-fa.spotifycdn.com/image/ab67616d00001e0274c732f8aa0e0ccbb3d17d96"/>
    <b v="0"/>
  </r>
  <r>
    <n v="761"/>
    <s v="spotify:track:45f6FcdWcuBGB4GvFuwr9f"/>
    <x v="556"/>
    <s v="Ayúdame"/>
    <s v="Afinarte Music"/>
    <n v="103"/>
    <n v="13"/>
    <d v="1899-12-30T03:05:00"/>
    <b v="1"/>
    <n v="80"/>
    <n v="75"/>
    <n v="80"/>
    <n v="10"/>
    <n v="12"/>
    <n v="0"/>
    <n v="12"/>
    <n v="60"/>
    <n v="108"/>
    <s v="Regional Mexicano"/>
    <d v="2025-05-16T00:00:00"/>
    <s v="https://image-cdn-ak.spotifycdn.com/image/ab67616d00001e02aac44d7825750cbdbb8ee972"/>
    <b v="0"/>
  </r>
  <r>
    <n v="762"/>
    <s v="spotify:track:45mVT3DCE7AATXgESSdfee"/>
    <x v="557"/>
    <s v="Don't You Worry Baby (feat. Madison McFerrin)"/>
    <s v="Columbia"/>
    <n v="127"/>
    <n v="1"/>
    <s v="03:18:00"/>
    <b v="1"/>
    <n v="70"/>
    <n v="52"/>
    <n v="71"/>
    <n v="14"/>
    <n v="45"/>
    <n v="0"/>
    <n v="11"/>
    <n v="51"/>
    <n v="100"/>
    <s v="Hip-Hop/Rap"/>
    <s v="18/7/2025"/>
    <s v="https://image-cdn-fa.spotifycdn.com/image/ab67616d00001e024b7fbb849ed845ddedcce346"/>
    <b v="0"/>
  </r>
  <r>
    <n v="762"/>
    <s v="spotify:track:45mVT3DCE7AATXgESSdfee"/>
    <x v="238"/>
    <s v="Don't You Worry Baby (feat. Madison McFerrin)"/>
    <s v="Columbia"/>
    <n v="127"/>
    <n v="1"/>
    <s v="03:18:00"/>
    <b v="1"/>
    <n v="70"/>
    <n v="52"/>
    <n v="71"/>
    <n v="14"/>
    <n v="45"/>
    <n v="0"/>
    <n v="11"/>
    <n v="51"/>
    <n v="100"/>
    <s v="Hip-Hop/Rap"/>
    <s v="18/7/2025"/>
    <s v="https://image-cdn-fa.spotifycdn.com/image/ab67616d00001e024b7fbb849ed845ddedcce346"/>
    <b v="0"/>
  </r>
  <r>
    <n v="763"/>
    <s v="spotify:track:46IZ0fSY2mpAiktS3KOqds"/>
    <x v="558"/>
    <s v="Easy On Me"/>
    <s v="Columbia"/>
    <n v="1"/>
    <n v="114"/>
    <d v="1899-12-30T03:44:00"/>
    <b v="0"/>
    <n v="60"/>
    <n v="37"/>
    <n v="87"/>
    <n v="3"/>
    <n v="58"/>
    <n v="0"/>
    <n v="13"/>
    <n v="13"/>
    <n v="142"/>
    <s v="Pop"/>
    <d v="2021-10-15T00:00:00"/>
    <s v="https://image-cdn-ak.spotifycdn.com/image/ab67616d00001e02c6b577e4c4a6d326354a89f7"/>
    <b v="0"/>
  </r>
  <r>
    <n v="764"/>
    <s v="spotify:track:46YjJXVXWHlQ21odKktg5e"/>
    <x v="103"/>
    <s v="MOJABI GHOST"/>
    <s v="Insolito LLC"/>
    <n v="12"/>
    <n v="19"/>
    <d v="1899-12-30T03:18:00"/>
    <b v="1"/>
    <n v="78"/>
    <n v="79"/>
    <n v="96"/>
    <n v="3"/>
    <n v="1"/>
    <n v="0"/>
    <n v="11"/>
    <n v="53"/>
    <n v="122"/>
    <s v="Reggaeton"/>
    <d v="2023-06-23T00:00:00"/>
    <s v="https://image-cdn-ak.spotifycdn.com/image/ab67616d00001e02f885fb64a381318a1c9c14e4"/>
    <b v="0"/>
  </r>
  <r>
    <n v="764"/>
    <s v="spotify:track:46YjJXVXWHlQ21odKktg5e"/>
    <x v="559"/>
    <s v="MOJABI GHOST"/>
    <s v="Insolito LLC"/>
    <n v="12"/>
    <n v="19"/>
    <d v="1899-12-30T03:18:00"/>
    <b v="1"/>
    <n v="78"/>
    <n v="79"/>
    <n v="96"/>
    <n v="3"/>
    <n v="1"/>
    <n v="0"/>
    <n v="11"/>
    <n v="53"/>
    <n v="122"/>
    <s v="Reggaeton"/>
    <d v="2023-06-23T00:00:00"/>
    <s v="https://image-cdn-ak.spotifycdn.com/image/ab67616d00001e02f885fb64a381318a1c9c14e4"/>
    <b v="0"/>
  </r>
  <r>
    <n v="765"/>
    <s v="spotify:track:46eu3SBuFCXWsPT39Yg3tJ"/>
    <x v="38"/>
    <s v="Don't Stop 'Til You Get Enough"/>
    <s v="Epic"/>
    <n v="8"/>
    <n v="18"/>
    <d v="1899-12-30T06:04:00"/>
    <b v="0"/>
    <n v="88"/>
    <n v="82"/>
    <n v="84"/>
    <n v="9"/>
    <n v="13"/>
    <n v="5"/>
    <n v="18"/>
    <n v="95"/>
    <n v="119"/>
    <s v="Pop"/>
    <d v="1979-07-28T00:00:00"/>
    <s v="https://image-cdn-ak.spotifycdn.com/image/ab67616d00001e022b74bf21c7e4f56758610949"/>
    <b v="0"/>
  </r>
  <r>
    <n v="766"/>
    <s v="spotify:track:47Sa7pC00F7D5Z0i7HC5la"/>
    <x v="53"/>
    <s v="DOG HOUSE (feat. Julia Wolf &amp; Yeat)"/>
    <s v="OVO/Republic"/>
    <n v="177"/>
    <n v="1"/>
    <s v="03:18:00"/>
    <b v="1"/>
    <n v="82"/>
    <n v="64"/>
    <n v="73"/>
    <n v="15"/>
    <n v="22"/>
    <n v="0"/>
    <n v="13"/>
    <n v="48"/>
    <n v="138"/>
    <s v="Hip-Hop/Rap"/>
    <s v="22/5/2026"/>
    <s v="https://image-cdn-ak.spotifycdn.com/image/ab67616d00001e029c2ab979bbe25f3d9e21f698"/>
    <b v="0"/>
  </r>
  <r>
    <n v="766"/>
    <s v="spotify:track:47Sa7pC00F7D5Z0i7HC5la"/>
    <x v="560"/>
    <s v="DOG HOUSE (feat. Julia Wolf &amp; Yeat)"/>
    <s v="OVO/Republic"/>
    <n v="177"/>
    <n v="1"/>
    <s v="03:18:00"/>
    <b v="1"/>
    <n v="82"/>
    <n v="64"/>
    <n v="73"/>
    <n v="15"/>
    <n v="22"/>
    <n v="0"/>
    <n v="13"/>
    <n v="48"/>
    <n v="138"/>
    <s v="Hip-Hop/Rap"/>
    <s v="22/5/2026"/>
    <s v="https://image-cdn-ak.spotifycdn.com/image/ab67616d00001e029c2ab979bbe25f3d9e21f698"/>
    <b v="0"/>
  </r>
  <r>
    <n v="766"/>
    <s v="spotify:track:47Sa7pC00F7D5Z0i7HC5la"/>
    <x v="357"/>
    <s v="DOG HOUSE (feat. Julia Wolf &amp; Yeat)"/>
    <s v="OVO/Republic"/>
    <n v="177"/>
    <n v="1"/>
    <s v="03:18:00"/>
    <b v="1"/>
    <n v="82"/>
    <n v="64"/>
    <n v="73"/>
    <n v="15"/>
    <n v="22"/>
    <n v="0"/>
    <n v="13"/>
    <n v="48"/>
    <n v="138"/>
    <s v="Hip-Hop/Rap"/>
    <s v="22/5/2026"/>
    <s v="https://image-cdn-ak.spotifycdn.com/image/ab67616d00001e029c2ab979bbe25f3d9e21f698"/>
    <b v="0"/>
  </r>
  <r>
    <n v="767"/>
    <s v="spotify:track:47aX1tXPTBpAG8Y2iAYmiy"/>
    <x v="561"/>
    <s v="TODO KE VER"/>
    <s v="2025 JERE KLEIN"/>
    <n v="160"/>
    <n v="2"/>
    <s v="03:05:00"/>
    <b v="1"/>
    <n v="84"/>
    <n v="72"/>
    <n v="74"/>
    <n v="8"/>
    <n v="19"/>
    <n v="0"/>
    <n v="10"/>
    <n v="81"/>
    <n v="100"/>
    <s v="Reggaeton"/>
    <s v="13/6/2025"/>
    <s v="https://image-cdn-ak.spotifycdn.com/image/ab67616d00001e02914c8b04e03468a1532b4617"/>
    <b v="0"/>
  </r>
  <r>
    <n v="767"/>
    <s v="spotify:track:47aX1tXPTBpAG8Y2iAYmiy"/>
    <x v="562"/>
    <s v="TODO KE VER"/>
    <s v="2025 JERE KLEIN"/>
    <n v="160"/>
    <n v="2"/>
    <s v="03:05:00"/>
    <b v="1"/>
    <n v="84"/>
    <n v="72"/>
    <n v="74"/>
    <n v="8"/>
    <n v="19"/>
    <n v="0"/>
    <n v="10"/>
    <n v="81"/>
    <n v="100"/>
    <s v="Reggaeton"/>
    <s v="13/6/2025"/>
    <s v="https://image-cdn-ak.spotifycdn.com/image/ab67616d00001e02914c8b04e03468a1532b4617"/>
    <b v="0"/>
  </r>
  <r>
    <n v="767"/>
    <s v="spotify:track:47aX1tXPTBpAG8Y2iAYmiy"/>
    <x v="563"/>
    <s v="TODO KE VER"/>
    <s v="2025 JERE KLEIN"/>
    <n v="160"/>
    <n v="2"/>
    <s v="03:05:00"/>
    <b v="1"/>
    <n v="84"/>
    <n v="72"/>
    <n v="74"/>
    <n v="8"/>
    <n v="19"/>
    <n v="0"/>
    <n v="10"/>
    <n v="81"/>
    <n v="100"/>
    <s v="Reggaeton"/>
    <s v="13/6/2025"/>
    <s v="https://image-cdn-ak.spotifycdn.com/image/ab67616d00001e02914c8b04e03468a1532b4617"/>
    <b v="0"/>
  </r>
  <r>
    <n v="768"/>
    <s v="spotify:track:47ohYW8e7dxCYn9qbUMBCI"/>
    <x v="564"/>
    <s v="Christmas (Baby Please Come Home)"/>
    <s v="Legacy Recordings"/>
    <n v="18"/>
    <n v="28"/>
    <d v="1899-12-30T02:48:00"/>
    <b v="0"/>
    <n v="55"/>
    <n v="50"/>
    <n v="73"/>
    <n v="4"/>
    <n v="55"/>
    <n v="0"/>
    <n v="15"/>
    <n v="75"/>
    <n v="120"/>
    <s v="Christmas"/>
    <d v="1963-11-01T00:00:00"/>
    <s v="https://image-cdn-fa.spotifycdn.com/image/ab67616d00001e024bd42504ca3569f71af64fc8"/>
    <b v="1"/>
  </r>
  <r>
    <n v="769"/>
    <s v="spotify:track:47otoIkhx3fkdivEXL5OB6"/>
    <x v="491"/>
    <s v="Rudolph The Red-Nosed Reindeer"/>
    <s v="Geffen"/>
    <n v="82"/>
    <n v="5"/>
    <d v="1899-12-30T02:14:00"/>
    <b v="0"/>
    <n v="55"/>
    <n v="50"/>
    <n v="72"/>
    <n v="4"/>
    <n v="55"/>
    <n v="0"/>
    <n v="15"/>
    <n v="78"/>
    <n v="120"/>
    <s v="Christmas"/>
    <d v="1949-11-01T00:00:00"/>
    <s v="https://image-cdn-ak.spotifycdn.com/image/ab67616d00001e02efe2a536761d4f8e8401ae62"/>
    <b v="1"/>
  </r>
  <r>
    <n v="770"/>
    <s v="spotify:track:48QmG1dfvMuYLxMPt7KSRA"/>
    <x v="512"/>
    <s v="No Lie"/>
    <s v="Universal-Island Records Ltd."/>
    <n v="80"/>
    <n v="47"/>
    <d v="1899-12-30T03:41:00"/>
    <b v="0"/>
    <n v="74"/>
    <n v="88"/>
    <n v="95"/>
    <n v="12"/>
    <n v="5"/>
    <n v="0"/>
    <n v="21"/>
    <n v="46"/>
    <n v="102"/>
    <s v="Dancehall"/>
    <d v="2016-11-18T00:00:00"/>
    <s v="https://image-cdn-ak.spotifycdn.com/image/ab67616d00001e022d564195ed3dd7b70d64862c"/>
    <b v="0"/>
  </r>
  <r>
    <n v="770"/>
    <s v="spotify:track:48QmG1dfvMuYLxMPt7KSRA"/>
    <x v="565"/>
    <s v="No Lie"/>
    <s v="Universal-Island Records Ltd."/>
    <n v="80"/>
    <n v="47"/>
    <d v="1899-12-30T03:41:00"/>
    <b v="0"/>
    <n v="74"/>
    <n v="88"/>
    <n v="95"/>
    <n v="12"/>
    <n v="5"/>
    <n v="0"/>
    <n v="21"/>
    <n v="46"/>
    <n v="102"/>
    <s v="Dancehall"/>
    <d v="2016-11-18T00:00:00"/>
    <s v="https://image-cdn-ak.spotifycdn.com/image/ab67616d00001e022d564195ed3dd7b70d64862c"/>
    <b v="0"/>
  </r>
  <r>
    <n v="771"/>
    <s v="spotify:track:48Z9ixFIkuzJMATvfFJHIz"/>
    <x v="61"/>
    <s v="intro"/>
    <s v="Double P Records"/>
    <n v="138"/>
    <n v="1"/>
    <d v="1899-12-30T02:48:00"/>
    <b v="1"/>
    <n v="78"/>
    <n v="74"/>
    <n v="80"/>
    <n v="10"/>
    <n v="15"/>
    <n v="0"/>
    <n v="12"/>
    <n v="58"/>
    <n v="108"/>
    <s v="Regional Mexicano"/>
    <d v="2025-04-18T00:00:00"/>
    <s v="https://image-cdn-ak.spotifycdn.com/image/ab67616d00001e028258239ab4f1523dff973711"/>
    <b v="0"/>
  </r>
  <r>
    <n v="771"/>
    <s v="spotify:track:48Z9ixFIkuzJMATvfFJHIz"/>
    <x v="31"/>
    <s v="intro"/>
    <s v="Double P Records"/>
    <n v="138"/>
    <n v="1"/>
    <d v="1899-12-30T02:48:00"/>
    <b v="1"/>
    <n v="78"/>
    <n v="74"/>
    <n v="80"/>
    <n v="10"/>
    <n v="15"/>
    <n v="0"/>
    <n v="12"/>
    <n v="58"/>
    <n v="108"/>
    <s v="Regional Mexicano"/>
    <d v="2025-04-18T00:00:00"/>
    <s v="https://image-cdn-ak.spotifycdn.com/image/ab67616d00001e028258239ab4f1523dff973711"/>
    <b v="0"/>
  </r>
  <r>
    <n v="772"/>
    <s v="spotify:track:49j6SvuvWfbEKZKzsHCdLJ"/>
    <x v="133"/>
    <s v="stupid song"/>
    <s v="Olivia Rodrigo PS"/>
    <n v="1"/>
    <n v="16"/>
    <s v="02:48:00"/>
    <b v="0"/>
    <n v="74"/>
    <n v="63"/>
    <n v="73"/>
    <n v="7"/>
    <n v="25"/>
    <n v="0"/>
    <n v="11"/>
    <n v="61"/>
    <n v="128"/>
    <s v="Pop"/>
    <s v="12/6/2026"/>
    <s v="https://image-cdn-fa.spotifycdn.com/image/ab67616d00001e026949b83f85d782b21ce70583"/>
    <b v="0"/>
  </r>
  <r>
    <n v="773"/>
    <s v="spotify:track:49t3uvN9hUNefdvtaD6HBj"/>
    <x v="566"/>
    <s v="LUNA BALA - Slowed"/>
    <s v="void"/>
    <n v="98"/>
    <n v="8"/>
    <s v="02:35:00"/>
    <b v="1"/>
    <n v="70"/>
    <n v="48"/>
    <n v="69"/>
    <n v="10"/>
    <n v="38"/>
    <n v="0"/>
    <n v="16"/>
    <n v="55"/>
    <n v="95"/>
    <s v="Phonk"/>
    <s v="16/1/2026"/>
    <s v="https://image-cdn-ak.spotifycdn.com/image/ab67616d00001e02a4b1be988bb6503434c43d56"/>
    <b v="0"/>
  </r>
  <r>
    <n v="773"/>
    <s v="spotify:track:49t3uvN9hUNefdvtaD6HBj"/>
    <x v="567"/>
    <s v="LUNA BALA - Slowed"/>
    <s v="void"/>
    <n v="98"/>
    <n v="8"/>
    <s v="02:35:00"/>
    <b v="1"/>
    <n v="70"/>
    <n v="48"/>
    <n v="69"/>
    <n v="10"/>
    <n v="38"/>
    <n v="0"/>
    <n v="16"/>
    <n v="55"/>
    <n v="95"/>
    <s v="Phonk"/>
    <s v="16/1/2026"/>
    <s v="https://image-cdn-ak.spotifycdn.com/image/ab67616d00001e02a4b1be988bb6503434c43d56"/>
    <b v="0"/>
  </r>
  <r>
    <n v="773"/>
    <s v="spotify:track:49t3uvN9hUNefdvtaD6HBj"/>
    <x v="568"/>
    <s v="LUNA BALA - Slowed"/>
    <s v="void"/>
    <n v="98"/>
    <n v="8"/>
    <s v="02:35:00"/>
    <b v="1"/>
    <n v="70"/>
    <n v="48"/>
    <n v="69"/>
    <n v="10"/>
    <n v="38"/>
    <n v="0"/>
    <n v="16"/>
    <n v="55"/>
    <n v="95"/>
    <s v="Phonk"/>
    <s v="16/1/2026"/>
    <s v="https://image-cdn-ak.spotifycdn.com/image/ab67616d00001e02a4b1be988bb6503434c43d56"/>
    <b v="0"/>
  </r>
  <r>
    <n v="775"/>
    <s v="spotify:track:4B0JvthVoAAuygILe3n4Bs"/>
    <x v="2"/>
    <s v="What Do You Mean?"/>
    <s v="RBMG/Def Jam"/>
    <n v="42"/>
    <n v="11"/>
    <d v="1899-12-30T03:25:00"/>
    <b v="0"/>
    <n v="84"/>
    <n v="57"/>
    <n v="86"/>
    <n v="10"/>
    <n v="59"/>
    <n v="0"/>
    <n v="8"/>
    <n v="79"/>
    <n v="125"/>
    <s v="Pop"/>
    <d v="2015-08-28T00:00:00"/>
    <s v="https://image-cdn-ak.spotifycdn.com/image/ab67616d00001e02f46b9d202509a8f7384b90de"/>
    <b v="0"/>
  </r>
  <r>
    <n v="776"/>
    <s v="spotify:track:4B4Q7zfd0aHcuhQBfCRnH5"/>
    <x v="69"/>
    <s v="NORMAL"/>
    <s v="BIGHIT MUSIC"/>
    <n v="6"/>
    <n v="25"/>
    <s v="03:18:00"/>
    <b v="0"/>
    <n v="71"/>
    <n v="60"/>
    <n v="73"/>
    <n v="6"/>
    <n v="32"/>
    <n v="0"/>
    <n v="12"/>
    <n v="54"/>
    <n v="98"/>
    <s v="K-Pop"/>
    <s v="20/3/2026"/>
    <s v="https://image-cdn-ak.spotifycdn.com/image/ab67616d00001e02dfa17fad7f190c901603270e"/>
    <b v="0"/>
  </r>
  <r>
    <n v="777"/>
    <s v="spotify:track:4BP3uh0hFLFRb5cjsgLqDh"/>
    <x v="378"/>
    <s v="Fortunate Son"/>
    <s v="Craft Recordings"/>
    <n v="158"/>
    <n v="8"/>
    <d v="1899-12-30T02:21:00"/>
    <b v="0"/>
    <n v="64"/>
    <n v="66"/>
    <n v="87"/>
    <n v="4"/>
    <n v="20"/>
    <n v="1"/>
    <n v="15"/>
    <n v="66"/>
    <n v="133"/>
    <s v="Rock"/>
    <d v="1969-10-01T00:00:00"/>
    <s v="https://image-cdn-ak.spotifycdn.com/image/ab67616d00001e029f39192f9f8ca1c90847b3e5"/>
    <b v="0"/>
  </r>
  <r>
    <n v="778"/>
    <s v="spotify:track:4BXbjwe562hQ8AzEV5lmPc"/>
    <x v="61"/>
    <s v="putielegante"/>
    <s v="Double P Records"/>
    <n v="150"/>
    <n v="1"/>
    <d v="1899-12-30T03:05:00"/>
    <b v="1"/>
    <n v="78"/>
    <n v="74"/>
    <n v="80"/>
    <n v="10"/>
    <n v="15"/>
    <n v="0"/>
    <n v="12"/>
    <n v="58"/>
    <n v="108"/>
    <s v="Regional Mexicano"/>
    <d v="2025-04-18T00:00:00"/>
    <s v="https://image-cdn-fa.spotifycdn.com/image/ab67616d00001e02a9e6a250ea86a8f387873ef9"/>
    <b v="0"/>
  </r>
  <r>
    <n v="778"/>
    <s v="spotify:track:4BXbjwe562hQ8AzEV5lmPc"/>
    <x v="31"/>
    <s v="putielegante"/>
    <s v="Double P Records"/>
    <n v="150"/>
    <n v="1"/>
    <d v="1899-12-30T03:05:00"/>
    <b v="1"/>
    <n v="78"/>
    <n v="74"/>
    <n v="80"/>
    <n v="10"/>
    <n v="15"/>
    <n v="0"/>
    <n v="12"/>
    <n v="58"/>
    <n v="108"/>
    <s v="Regional Mexicano"/>
    <d v="2025-04-18T00:00:00"/>
    <s v="https://image-cdn-fa.spotifycdn.com/image/ab67616d00001e02a9e6a250ea86a8f387873ef9"/>
    <b v="0"/>
  </r>
  <r>
    <n v="779"/>
    <s v="spotify:track:4CPuDVC8jhhK6lA2DIt8Cf"/>
    <x v="6"/>
    <s v="Born Again (feat. Doja Cat &amp; RAYE)"/>
    <s v="Lloud Co./RCA Records"/>
    <n v="13"/>
    <n v="3"/>
    <d v="1899-12-30T03:05:00"/>
    <b v="1"/>
    <n v="69"/>
    <n v="78"/>
    <n v="92"/>
    <n v="4"/>
    <n v="7"/>
    <n v="0"/>
    <n v="8"/>
    <n v="37"/>
    <n v="115"/>
    <s v="K-Pop"/>
    <d v="2025-02-07T00:00:00"/>
    <s v="https://image-cdn-ak.spotifycdn.com/image/ab67616d00001e02ebb2cc866c0cf12abd8ea5a6"/>
    <b v="0"/>
  </r>
  <r>
    <n v="779"/>
    <s v="spotify:track:4CPuDVC8jhhK6lA2DIt8Cf"/>
    <x v="271"/>
    <s v="Born Again (feat. Doja Cat &amp; RAYE)"/>
    <s v="Lloud Co./RCA Records"/>
    <n v="13"/>
    <n v="3"/>
    <d v="1899-12-30T03:05:00"/>
    <b v="1"/>
    <n v="69"/>
    <n v="78"/>
    <n v="92"/>
    <n v="4"/>
    <n v="7"/>
    <n v="0"/>
    <n v="8"/>
    <n v="37"/>
    <n v="115"/>
    <s v="K-Pop"/>
    <d v="2025-02-07T00:00:00"/>
    <s v="https://image-cdn-ak.spotifycdn.com/image/ab67616d00001e02ebb2cc866c0cf12abd8ea5a6"/>
    <b v="0"/>
  </r>
  <r>
    <n v="779"/>
    <s v="spotify:track:4CPuDVC8jhhK6lA2DIt8Cf"/>
    <x v="118"/>
    <s v="Born Again (feat. Doja Cat &amp; RAYE)"/>
    <s v="Lloud Co./RCA Records"/>
    <n v="13"/>
    <n v="3"/>
    <d v="1899-12-30T03:05:00"/>
    <b v="1"/>
    <n v="69"/>
    <n v="78"/>
    <n v="92"/>
    <n v="4"/>
    <n v="7"/>
    <n v="0"/>
    <n v="8"/>
    <n v="37"/>
    <n v="115"/>
    <s v="K-Pop"/>
    <d v="2025-02-07T00:00:00"/>
    <s v="https://image-cdn-ak.spotifycdn.com/image/ab67616d00001e02ebb2cc866c0cf12abd8ea5a6"/>
    <b v="0"/>
  </r>
  <r>
    <n v="780"/>
    <s v="spotify:track:4DnrAI8WyUY6gkOwl8GlPN"/>
    <x v="569"/>
    <s v="capaz (merengueton)"/>
    <s v="La Ciudad"/>
    <n v="36"/>
    <n v="43"/>
    <d v="1899-12-30T02:48:00"/>
    <b v="0"/>
    <n v="87"/>
    <n v="61"/>
    <n v="91"/>
    <n v="18"/>
    <n v="8"/>
    <n v="0"/>
    <n v="14"/>
    <n v="78"/>
    <n v="127"/>
    <s v="Merengue"/>
    <d v="2025-03-14T00:00:00"/>
    <s v="https://image-cdn-fa.spotifycdn.com/image/ab67616d00001e026abd0fcf50a20ac09a028c92"/>
    <b v="0"/>
  </r>
  <r>
    <n v="780"/>
    <s v="spotify:track:4DnrAI8WyUY6gkOwl8GlPN"/>
    <x v="570"/>
    <s v="capaz (merengueton)"/>
    <s v="La Ciudad"/>
    <n v="36"/>
    <n v="43"/>
    <d v="1899-12-30T02:48:00"/>
    <b v="0"/>
    <n v="87"/>
    <n v="61"/>
    <n v="91"/>
    <n v="18"/>
    <n v="8"/>
    <n v="0"/>
    <n v="14"/>
    <n v="78"/>
    <n v="127"/>
    <s v="Merengue"/>
    <d v="2025-03-14T00:00:00"/>
    <s v="https://image-cdn-fa.spotifycdn.com/image/ab67616d00001e026abd0fcf50a20ac09a028c92"/>
    <b v="0"/>
  </r>
  <r>
    <n v="781"/>
    <s v="spotify:track:4Dvkj6JhhA12EX05fT7y2e"/>
    <x v="5"/>
    <s v="As It Was"/>
    <s v="Columbia"/>
    <n v="1"/>
    <n v="228"/>
    <d v="1899-12-30T02:47:00"/>
    <b v="0"/>
    <n v="52"/>
    <n v="73"/>
    <n v="91"/>
    <n v="6"/>
    <n v="34"/>
    <n v="0"/>
    <n v="31"/>
    <n v="66"/>
    <n v="174"/>
    <s v="Pop"/>
    <d v="2022-04-01T00:00:00"/>
    <s v="https://image-cdn-ak.spotifycdn.com/image/ab67616d00001e0282ce362511fb3d9dda6578ee"/>
    <b v="0"/>
  </r>
  <r>
    <n v="782"/>
    <s v="spotify:track:4EIFwndJvGpgFjsEbNuYif"/>
    <x v="288"/>
    <s v="ExtraL (feat. Doechii)"/>
    <s v="OA Entertainment/Columbia"/>
    <n v="26"/>
    <n v="11"/>
    <d v="1899-12-30T02:48:00"/>
    <b v="1"/>
    <n v="76"/>
    <n v="73"/>
    <n v="89"/>
    <n v="10"/>
    <n v="2"/>
    <n v="0"/>
    <n v="19"/>
    <n v="70"/>
    <n v="140"/>
    <s v="K-Pop"/>
    <d v="2025-03-07T00:00:00"/>
    <s v="https://image-cdn-ak.spotifycdn.com/image/ab67616d00001e02dcf27dec5e479b2e39c4c993"/>
    <b v="0"/>
  </r>
  <r>
    <n v="782"/>
    <s v="spotify:track:4EIFwndJvGpgFjsEbNuYif"/>
    <x v="141"/>
    <s v="ExtraL (feat. Doechii)"/>
    <s v="OA Entertainment/Columbia"/>
    <n v="26"/>
    <n v="11"/>
    <d v="1899-12-30T02:48:00"/>
    <b v="1"/>
    <n v="76"/>
    <n v="73"/>
    <n v="89"/>
    <n v="10"/>
    <n v="2"/>
    <n v="0"/>
    <n v="19"/>
    <n v="70"/>
    <n v="140"/>
    <s v="K-Pop"/>
    <d v="2025-03-07T00:00:00"/>
    <s v="https://image-cdn-ak.spotifycdn.com/image/ab67616d00001e02dcf27dec5e479b2e39c4c993"/>
    <b v="0"/>
  </r>
  <r>
    <n v="783"/>
    <s v="spotify:track:4EWCNWgDS8707fNSZ1oaA5"/>
    <x v="387"/>
    <s v="Heartless"/>
    <s v="Roc-A-Fella"/>
    <n v="76"/>
    <n v="45"/>
    <d v="1899-12-30T03:31:00"/>
    <b v="0"/>
    <n v="79"/>
    <n v="65"/>
    <n v="90"/>
    <n v="14"/>
    <n v="5"/>
    <n v="0"/>
    <n v="25"/>
    <n v="65"/>
    <n v="88"/>
    <s v="Hip-Hop/Rap"/>
    <d v="2008-10-28T00:00:00"/>
    <s v="https://image-cdn-ak.spotifycdn.com/image/ab67616d00001e02346d77e155d854735410ed18"/>
    <b v="0"/>
  </r>
  <r>
    <n v="784"/>
    <s v="spotify:track:4EZUcj7c8n9pWIwHqN0DoH"/>
    <x v="24"/>
    <s v="Do You Hear What I Hear? - Remastered 2006"/>
    <s v="Capitol Records"/>
    <n v="91"/>
    <n v="5"/>
    <d v="1899-12-30T03:18:00"/>
    <b v="0"/>
    <n v="52"/>
    <n v="48"/>
    <n v="72"/>
    <n v="3"/>
    <n v="55"/>
    <n v="0"/>
    <n v="15"/>
    <n v="72"/>
    <n v="120"/>
    <s v="Christmas"/>
    <d v="1962-11-01T00:00:00"/>
    <s v="https://image-cdn-ak.spotifycdn.com/image/ab67616d00001e02b18589cf2f75356d654b3053"/>
    <b v="1"/>
  </r>
  <r>
    <n v="785"/>
    <s v="spotify:track:4EoJ151oQ5jY48z4RhSE96"/>
    <x v="133"/>
    <s v="the cure"/>
    <s v="Olivia Rodrigo PS"/>
    <n v="3"/>
    <n v="3"/>
    <s v="03:05:00"/>
    <b v="0"/>
    <n v="66"/>
    <n v="55"/>
    <n v="72"/>
    <n v="5"/>
    <n v="42"/>
    <n v="0"/>
    <n v="13"/>
    <n v="44"/>
    <n v="144"/>
    <s v="Pop"/>
    <s v="12/6/2026"/>
    <s v="https://image-cdn-ak.spotifycdn.com/image/ab67616d00001e0279e480cbab8c7b86d277841a"/>
    <b v="0"/>
  </r>
  <r>
    <n v="786"/>
    <s v="spotify:track:4FUQtedaG22FWZ6lGyRApm"/>
    <x v="7"/>
    <s v="Rosary (feat. Travis Scott)"/>
    <s v="CactusJack/Donnway/ATL"/>
    <n v="124"/>
    <n v="1"/>
    <d v="1899-12-30T03:05:00"/>
    <b v="1"/>
    <n v="72"/>
    <n v="78"/>
    <n v="81"/>
    <n v="16"/>
    <n v="5"/>
    <n v="0"/>
    <n v="12"/>
    <n v="48"/>
    <n v="130"/>
    <s v="Hip-Hop/Rap"/>
    <d v="2025-05-16T00:00:00"/>
    <s v="https://image-cdn-ak.spotifycdn.com/image/ab67616d00001e0225c28f3c9fbdbab1a88dd619"/>
    <b v="0"/>
  </r>
  <r>
    <n v="786"/>
    <s v="spotify:track:4FUQtedaG22FWZ6lGyRApm"/>
    <x v="186"/>
    <s v="Rosary (feat. Travis Scott)"/>
    <s v="CactusJack/Donnway/ATL"/>
    <n v="124"/>
    <n v="1"/>
    <d v="1899-12-30T03:05:00"/>
    <b v="1"/>
    <n v="72"/>
    <n v="78"/>
    <n v="81"/>
    <n v="16"/>
    <n v="5"/>
    <n v="0"/>
    <n v="12"/>
    <n v="48"/>
    <n v="130"/>
    <s v="Hip-Hop/Rap"/>
    <d v="2025-05-16T00:00:00"/>
    <s v="https://image-cdn-ak.spotifycdn.com/image/ab67616d00001e0225c28f3c9fbdbab1a88dd619"/>
    <b v="0"/>
  </r>
  <r>
    <n v="787"/>
    <s v="spotify:track:4G7bbgD2DHORU4frrWoCXp"/>
    <x v="571"/>
    <s v="Posso Até Não Te Dar Flores"/>
    <s v="BOLOLO REC"/>
    <n v="11"/>
    <n v="20"/>
    <d v="1899-12-30T02:28:00"/>
    <b v="1"/>
    <n v="85"/>
    <n v="82"/>
    <n v="82"/>
    <n v="14"/>
    <n v="5"/>
    <n v="0"/>
    <n v="15"/>
    <n v="72"/>
    <n v="130"/>
    <s v="Funk Brasileiro"/>
    <d v="2025-04-25T00:00:00"/>
    <s v="https://image-cdn-ak.spotifycdn.com/image/ab67616d00001e0210f008e8b5fda6a55bcb8cd7"/>
    <b v="0"/>
  </r>
  <r>
    <n v="787"/>
    <s v="spotify:track:4G7bbgD2DHORU4frrWoCXp"/>
    <x v="572"/>
    <s v="Posso Até Não Te Dar Flores"/>
    <s v="BOLOLO REC"/>
    <n v="11"/>
    <n v="20"/>
    <d v="1899-12-30T02:28:00"/>
    <b v="1"/>
    <n v="85"/>
    <n v="82"/>
    <n v="82"/>
    <n v="14"/>
    <n v="5"/>
    <n v="0"/>
    <n v="15"/>
    <n v="72"/>
    <n v="130"/>
    <s v="Funk Brasileiro"/>
    <d v="2025-04-25T00:00:00"/>
    <s v="https://image-cdn-ak.spotifycdn.com/image/ab67616d00001e0210f008e8b5fda6a55bcb8cd7"/>
    <b v="0"/>
  </r>
  <r>
    <n v="787"/>
    <s v="spotify:track:4G7bbgD2DHORU4frrWoCXp"/>
    <x v="573"/>
    <s v="Posso Até Não Te Dar Flores"/>
    <s v="BOLOLO REC"/>
    <n v="11"/>
    <n v="20"/>
    <d v="1899-12-30T02:28:00"/>
    <b v="1"/>
    <n v="85"/>
    <n v="82"/>
    <n v="82"/>
    <n v="14"/>
    <n v="5"/>
    <n v="0"/>
    <n v="15"/>
    <n v="72"/>
    <n v="130"/>
    <s v="Funk Brasileiro"/>
    <d v="2025-04-25T00:00:00"/>
    <s v="https://image-cdn-ak.spotifycdn.com/image/ab67616d00001e0210f008e8b5fda6a55bcb8cd7"/>
    <b v="0"/>
  </r>
  <r>
    <n v="787"/>
    <s v="spotify:track:4G7bbgD2DHORU4frrWoCXp"/>
    <x v="519"/>
    <s v="Posso Até Não Te Dar Flores"/>
    <s v="BOLOLO REC"/>
    <n v="11"/>
    <n v="20"/>
    <d v="1899-12-30T02:28:00"/>
    <b v="1"/>
    <n v="85"/>
    <n v="82"/>
    <n v="82"/>
    <n v="14"/>
    <n v="5"/>
    <n v="0"/>
    <n v="15"/>
    <n v="72"/>
    <n v="130"/>
    <s v="Funk Brasileiro"/>
    <d v="2025-04-25T00:00:00"/>
    <s v="https://image-cdn-ak.spotifycdn.com/image/ab67616d00001e0210f008e8b5fda6a55bcb8cd7"/>
    <b v="0"/>
  </r>
  <r>
    <n v="787"/>
    <s v="spotify:track:4G7bbgD2DHORU4frrWoCXp"/>
    <x v="574"/>
    <s v="Posso Até Não Te Dar Flores"/>
    <s v="BOLOLO REC"/>
    <n v="11"/>
    <n v="20"/>
    <d v="1899-12-30T02:28:00"/>
    <b v="1"/>
    <n v="85"/>
    <n v="82"/>
    <n v="82"/>
    <n v="14"/>
    <n v="5"/>
    <n v="0"/>
    <n v="15"/>
    <n v="72"/>
    <n v="130"/>
    <s v="Funk Brasileiro"/>
    <d v="2025-04-25T00:00:00"/>
    <s v="https://image-cdn-ak.spotifycdn.com/image/ab67616d00001e0210f008e8b5fda6a55bcb8cd7"/>
    <b v="0"/>
  </r>
  <r>
    <n v="788"/>
    <s v="spotify:track:4GZOxR1IuvoRiUz0gpmASl"/>
    <x v="215"/>
    <s v="sobelove"/>
    <s v="5020 Records"/>
    <n v="171"/>
    <n v="2"/>
    <d v="1899-12-30T02:48:00"/>
    <b v="0"/>
    <n v="76"/>
    <n v="72"/>
    <n v="93"/>
    <n v="19"/>
    <n v="36"/>
    <n v="0"/>
    <n v="8"/>
    <n v="72"/>
    <n v="112"/>
    <s v="Reggaeton"/>
    <d v="2025-02-14T00:00:00"/>
    <s v="https://image-cdn-ak.spotifycdn.com/image/ab67616d00001e026e087966068b1a77c8c366a1"/>
    <b v="0"/>
  </r>
  <r>
    <n v="789"/>
    <s v="spotify:track:4GqhG9rDuRUoNyDSMJ0Brq"/>
    <x v="53"/>
    <s v="SPIDER-MAN SUPERMAN"/>
    <s v="OVO Sound"/>
    <n v="157"/>
    <n v="1"/>
    <s v="03:18:00"/>
    <b v="1"/>
    <n v="75"/>
    <n v="58"/>
    <n v="72"/>
    <n v="11"/>
    <n v="29"/>
    <n v="0"/>
    <n v="13"/>
    <n v="49"/>
    <n v="122"/>
    <s v="R&amp;B"/>
    <s v="27/6/2025"/>
    <s v="https://image-cdn-ak.spotifycdn.com/image/ab67616d00001e02b5a28a256eae6dc0424fef59"/>
    <b v="0"/>
  </r>
  <r>
    <n v="789"/>
    <s v="spotify:track:4GqhG9rDuRUoNyDSMJ0Brq"/>
    <x v="54"/>
    <s v="SPIDER-MAN SUPERMAN"/>
    <s v="OVO Sound"/>
    <n v="157"/>
    <n v="1"/>
    <s v="03:18:00"/>
    <b v="1"/>
    <n v="75"/>
    <n v="58"/>
    <n v="72"/>
    <n v="11"/>
    <n v="29"/>
    <n v="0"/>
    <n v="13"/>
    <n v="49"/>
    <n v="122"/>
    <s v="R&amp;B"/>
    <s v="27/6/2025"/>
    <s v="https://image-cdn-ak.spotifycdn.com/image/ab67616d00001e02b5a28a256eae6dc0424fef59"/>
    <b v="0"/>
  </r>
  <r>
    <n v="790"/>
    <s v="spotify:track:4HEOgBHRCExyYVeTyrXsnL"/>
    <x v="360"/>
    <s v="Jingle Bells - Remastered 1999"/>
    <s v="Capitol Records"/>
    <n v="38"/>
    <n v="21"/>
    <d v="1899-12-30T02:00:00"/>
    <b v="0"/>
    <n v="52"/>
    <n v="50"/>
    <n v="72"/>
    <n v="3"/>
    <n v="55"/>
    <n v="0"/>
    <n v="15"/>
    <n v="75"/>
    <n v="120"/>
    <s v="Christmas"/>
    <d v="1957-11-01T00:00:00"/>
    <s v="https://image-cdn-ak.spotifycdn.com/image/ab67616d00001e0294fd2e614d0862bdd2592594"/>
    <b v="1"/>
  </r>
  <r>
    <n v="791"/>
    <s v="spotify:track:4Hk1gmBr2KVEXr3hHwSgUi"/>
    <x v="575"/>
    <s v="Mãe Solteira"/>
    <s v="FORTAL MUSIC"/>
    <n v="67"/>
    <n v="5"/>
    <d v="1899-12-30T02:48:00"/>
    <b v="0"/>
    <n v="74"/>
    <n v="88"/>
    <n v="95"/>
    <n v="3"/>
    <n v="19"/>
    <n v="0"/>
    <n v="6"/>
    <n v="97"/>
    <n v="140"/>
    <s v="Funk Brasileiro"/>
    <d v="2025-05-09T00:00:00"/>
    <s v="https://image-cdn-ak.spotifycdn.com/image/ab67616d00001e02dcf2455f6dfa93804cebf93e"/>
    <b v="0"/>
  </r>
  <r>
    <n v="791"/>
    <s v="spotify:track:4Hk1gmBr2KVEXr3hHwSgUi"/>
    <x v="82"/>
    <s v="Mãe Solteira"/>
    <s v="FORTAL MUSIC"/>
    <n v="67"/>
    <n v="5"/>
    <d v="1899-12-30T02:48:00"/>
    <b v="0"/>
    <n v="74"/>
    <n v="88"/>
    <n v="95"/>
    <n v="3"/>
    <n v="19"/>
    <n v="0"/>
    <n v="6"/>
    <n v="97"/>
    <n v="140"/>
    <s v="Funk Brasileiro"/>
    <d v="2025-05-09T00:00:00"/>
    <s v="https://image-cdn-ak.spotifycdn.com/image/ab67616d00001e02dcf2455f6dfa93804cebf93e"/>
    <b v="0"/>
  </r>
  <r>
    <n v="791"/>
    <s v="spotify:track:4Hk1gmBr2KVEXr3hHwSgUi"/>
    <x v="576"/>
    <s v="Mãe Solteira"/>
    <s v="FORTAL MUSIC"/>
    <n v="67"/>
    <n v="5"/>
    <d v="1899-12-30T02:48:00"/>
    <b v="0"/>
    <n v="74"/>
    <n v="88"/>
    <n v="95"/>
    <n v="3"/>
    <n v="19"/>
    <n v="0"/>
    <n v="6"/>
    <n v="97"/>
    <n v="140"/>
    <s v="Funk Brasileiro"/>
    <d v="2025-05-09T00:00:00"/>
    <s v="https://image-cdn-ak.spotifycdn.com/image/ab67616d00001e02dcf2455f6dfa93804cebf93e"/>
    <b v="0"/>
  </r>
  <r>
    <n v="791"/>
    <s v="spotify:track:4Hk1gmBr2KVEXr3hHwSgUi"/>
    <x v="577"/>
    <s v="Mãe Solteira"/>
    <s v="FORTAL MUSIC"/>
    <n v="67"/>
    <n v="5"/>
    <d v="1899-12-30T02:48:00"/>
    <b v="0"/>
    <n v="74"/>
    <n v="88"/>
    <n v="95"/>
    <n v="3"/>
    <n v="19"/>
    <n v="0"/>
    <n v="6"/>
    <n v="97"/>
    <n v="140"/>
    <s v="Funk Brasileiro"/>
    <d v="2025-05-09T00:00:00"/>
    <s v="https://image-cdn-ak.spotifycdn.com/image/ab67616d00001e02dcf2455f6dfa93804cebf93e"/>
    <b v="0"/>
  </r>
  <r>
    <n v="792"/>
    <s v="spotify:track:4IixOTCzviJgIigKleiVbo"/>
    <x v="185"/>
    <s v="Even In Arcadia"/>
    <s v="Sleep Token/RCA Records"/>
    <n v="150"/>
    <n v="1"/>
    <s v="04:12:00"/>
    <b v="0"/>
    <n v="52"/>
    <n v="50"/>
    <n v="70"/>
    <n v="4"/>
    <n v="61"/>
    <n v="3"/>
    <n v="10"/>
    <n v="30"/>
    <n v="115"/>
    <s v="Alternative Metal"/>
    <s v="30/5/2025"/>
    <s v="https://image-cdn-fa.spotifycdn.com/image/ab67616d00001e02882265cd9bdded9ea9a153b9"/>
    <b v="0"/>
  </r>
  <r>
    <n v="793"/>
    <s v="spotify:track:4Ilw2lD6z4WBqh65vUUZUf"/>
    <x v="133"/>
    <s v="my way"/>
    <s v="Olivia Rodrigo PS"/>
    <n v="11"/>
    <n v="5"/>
    <s v="02:48:00"/>
    <b v="0"/>
    <n v="68"/>
    <n v="61"/>
    <n v="73"/>
    <n v="5"/>
    <n v="33"/>
    <n v="0"/>
    <n v="12"/>
    <n v="52"/>
    <n v="144"/>
    <s v="Indie Pop"/>
    <s v="12/6/2026"/>
    <s v="https://image-cdn-fa.spotifycdn.com/image/ab67616d00001e025cf234eeb7a2edf44bf64a46"/>
    <b v="0"/>
  </r>
  <r>
    <n v="794"/>
    <s v="spotify:track:4JeD0FGslDsMeeahEGZa2L"/>
    <x v="54"/>
    <s v="DEEPER"/>
    <s v="OVO Sound"/>
    <n v="124"/>
    <n v="1"/>
    <s v="03:18:00"/>
    <b v="1"/>
    <n v="68"/>
    <n v="49"/>
    <n v="71"/>
    <n v="8"/>
    <n v="45"/>
    <n v="0"/>
    <n v="10"/>
    <n v="36"/>
    <n v="88"/>
    <s v="R&amp;B"/>
    <s v="27/6/2025"/>
    <s v="https://image-cdn-ak.spotifycdn.com/image/ab67616d00001e02b5a28a256eae6dc0424fef59"/>
    <b v="0"/>
  </r>
  <r>
    <n v="796"/>
    <s v="spotify:track:4KmkJjHTNlr1jFY56Lyz4E"/>
    <x v="298"/>
    <s v="PINKY UP"/>
    <s v="HYBE/Geffen"/>
    <n v="18"/>
    <n v="12"/>
    <s v="02:48:00"/>
    <b v="0"/>
    <n v="82"/>
    <n v="76"/>
    <n v="75"/>
    <n v="7"/>
    <n v="14"/>
    <n v="0"/>
    <n v="12"/>
    <n v="74"/>
    <n v="120"/>
    <s v="K-Pop"/>
    <s v="16/1/2026"/>
    <s v="https://image-cdn-ak.spotifycdn.com/image/ab67616d00001e02f995fcdb4d6f1c273a3bc56b"/>
    <b v="0"/>
  </r>
  <r>
    <n v="797"/>
    <s v="spotify:track:4LMlVCXHJtCE9abhmn0mYo"/>
    <x v="578"/>
    <s v="Pal Pal"/>
    <s v="Afusic"/>
    <n v="151"/>
    <n v="3"/>
    <s v="03:18:00"/>
    <b v="0"/>
    <n v="62"/>
    <n v="46"/>
    <n v="70"/>
    <n v="4"/>
    <n v="64"/>
    <n v="0"/>
    <n v="12"/>
    <n v="44"/>
    <n v="92"/>
    <s v="Pakistani Pop"/>
    <s v="13/6/2025"/>
    <s v="https://image-cdn-ak.spotifycdn.com/image/ab67616d00001e0285c5968be0d0d9c545241124"/>
    <b v="0"/>
  </r>
  <r>
    <n v="797"/>
    <s v="spotify:track:4LMlVCXHJtCE9abhmn0mYo"/>
    <x v="579"/>
    <s v="Pal Pal"/>
    <s v="Afusic"/>
    <n v="151"/>
    <n v="3"/>
    <s v="03:18:00"/>
    <b v="0"/>
    <n v="62"/>
    <n v="46"/>
    <n v="70"/>
    <n v="4"/>
    <n v="64"/>
    <n v="0"/>
    <n v="12"/>
    <n v="44"/>
    <n v="92"/>
    <s v="Pakistani Pop"/>
    <s v="13/6/2025"/>
    <s v="https://image-cdn-ak.spotifycdn.com/image/ab67616d00001e0285c5968be0d0d9c545241124"/>
    <b v="0"/>
  </r>
  <r>
    <n v="798"/>
    <s v="spotify:track:4LP6bmyAxdMNrqUrMpaVQ8"/>
    <x v="387"/>
    <s v="KING"/>
    <s v="YZY/gamma."/>
    <n v="94"/>
    <n v="1"/>
    <s v="03:18:00"/>
    <b v="1"/>
    <n v="65"/>
    <n v="71"/>
    <n v="74"/>
    <n v="10"/>
    <n v="12"/>
    <n v="0"/>
    <n v="19"/>
    <n v="48"/>
    <n v="140"/>
    <s v="Hip-Hop/Rap"/>
    <s v="3/4/2026"/>
    <s v="https://image-cdn-ak.spotifycdn.com/image/ab67616d00001e0295184f6a953569b683ca9a0d"/>
    <b v="0"/>
  </r>
  <r>
    <n v="798"/>
    <s v="spotify:track:4LP6bmyAxdMNrqUrMpaVQ8"/>
    <x v="388"/>
    <s v="KING"/>
    <s v="YZY/gamma."/>
    <n v="94"/>
    <n v="1"/>
    <s v="03:18:00"/>
    <b v="1"/>
    <n v="65"/>
    <n v="71"/>
    <n v="74"/>
    <n v="10"/>
    <n v="12"/>
    <n v="0"/>
    <n v="19"/>
    <n v="48"/>
    <n v="140"/>
    <s v="Hip-Hop/Rap"/>
    <s v="3/4/2026"/>
    <s v="https://image-cdn-ak.spotifycdn.com/image/ab67616d00001e0295184f6a953569b683ca9a0d"/>
    <b v="0"/>
  </r>
  <r>
    <n v="799"/>
    <s v="spotify:track:4Lojbtk7XNMdSKRHSFbdkm"/>
    <x v="185"/>
    <s v="Look To Windward"/>
    <s v="Sleep Token/RCA Records"/>
    <n v="169"/>
    <n v="1"/>
    <s v="04:05:00"/>
    <b v="0"/>
    <n v="58"/>
    <n v="54"/>
    <n v="71"/>
    <n v="4"/>
    <n v="54"/>
    <n v="2"/>
    <n v="13"/>
    <n v="38"/>
    <n v="94"/>
    <s v="Alternative Metal"/>
    <s v="30/5/2025"/>
    <s v="https://image-cdn-fa.spotifycdn.com/image/ab67616d00001e02882265cd9bdded9ea9a153b9"/>
    <b v="0"/>
  </r>
  <r>
    <n v="801"/>
    <s v="spotify:track:4MUrUT38U98olfnyzMBCzm"/>
    <x v="103"/>
    <s v="KLOuFRENS"/>
    <s v="Rimas Entertainment LLC."/>
    <n v="19"/>
    <n v="29"/>
    <d v="1899-12-30T02:48:00"/>
    <b v="1"/>
    <n v="33"/>
    <n v="12"/>
    <n v="46"/>
    <n v="15"/>
    <n v="70"/>
    <n v="71"/>
    <n v="18"/>
    <n v="31"/>
    <n v="107"/>
    <s v="Reggaeton"/>
    <d v="2025-01-05T00:00:00"/>
    <s v="https://image-cdn-ak.spotifycdn.com/image/ab67616d00001e02bbd45c8d36e0e045ef640411"/>
    <b v="0"/>
  </r>
  <r>
    <n v="802"/>
    <s v="spotify:track:4MWodKBTAsRNWm5axHLxLR"/>
    <x v="298"/>
    <s v="Hootie Frutti"/>
    <s v="HYBE/Geffen"/>
    <n v="18"/>
    <n v="7"/>
    <s v="02:48:00"/>
    <b v="0"/>
    <n v="82"/>
    <n v="74"/>
    <n v="75"/>
    <n v="8"/>
    <n v="12"/>
    <n v="0"/>
    <n v="15"/>
    <n v="78"/>
    <n v="122"/>
    <s v="K-Pop"/>
    <s v="29/8/2025"/>
    <s v="https://image-cdn-ak.spotifycdn.com/image/ab67616d00001e02e343d0844383b6fb91db9598"/>
    <b v="0"/>
  </r>
  <r>
    <n v="803"/>
    <s v="spotify:track:4MagTPnkPiDuIa4P8GtW1b"/>
    <x v="580"/>
    <s v="I Like Me Better"/>
    <s v="Lauv"/>
    <n v="29"/>
    <n v="163"/>
    <d v="1899-12-30T03:17:00"/>
    <b v="0"/>
    <n v="75"/>
    <n v="50"/>
    <n v="87"/>
    <n v="26"/>
    <n v="53"/>
    <n v="0"/>
    <n v="10"/>
    <n v="42"/>
    <n v="92"/>
    <s v="Pop"/>
    <d v="2017-05-19T00:00:00"/>
    <s v="https://image-cdn-ak.spotifycdn.com/image/ab67616d00001e029ed5fcf212f05d55b1e61eae"/>
    <b v="0"/>
  </r>
  <r>
    <n v="804"/>
    <s v="spotify:track:4MjDJD8cW7iVeWInc2Bdyj"/>
    <x v="103"/>
    <s v="MONACO"/>
    <s v="Rimas Entertainment LLC."/>
    <n v="1"/>
    <n v="25"/>
    <d v="1899-12-30T04:17:00"/>
    <b v="1"/>
    <n v="79"/>
    <n v="62"/>
    <n v="92"/>
    <n v="7"/>
    <n v="15"/>
    <n v="0"/>
    <n v="58"/>
    <n v="13"/>
    <n v="139"/>
    <s v="Reggaeton"/>
    <d v="2023-10-13T00:00:00"/>
    <s v="https://image-cdn-ak.spotifycdn.com/image/ab67616d00001e022ea1f035463d11e1fc3b193d"/>
    <b v="0"/>
  </r>
  <r>
    <n v="805"/>
    <s v="spotify:track:4MrfQL4TYQXJBlZYpAHTuE"/>
    <x v="376"/>
    <s v="Baby, It's Cold Outside"/>
    <s v="Capitol Records"/>
    <n v="98"/>
    <n v="9"/>
    <d v="1899-12-30T02:22:00"/>
    <b v="0"/>
    <n v="52"/>
    <n v="48"/>
    <n v="72"/>
    <n v="3"/>
    <n v="55"/>
    <n v="0"/>
    <n v="15"/>
    <n v="68"/>
    <n v="115"/>
    <s v="Christmas"/>
    <d v="1959-11-01T00:00:00"/>
    <s v="https://image-cdn-ak.spotifycdn.com/image/ab67616d00001e026d88028a85c771f37374c8ea"/>
    <b v="1"/>
  </r>
  <r>
    <n v="806"/>
    <s v="spotify:track:4MzXwWMhyBbmu6hOcLVD49"/>
    <x v="103"/>
    <s v="DÁKITI"/>
    <s v="Rimas Entertainment LLC."/>
    <n v="1"/>
    <n v="109"/>
    <d v="1899-12-30T03:25:00"/>
    <b v="1"/>
    <n v="73"/>
    <n v="57"/>
    <n v="83"/>
    <n v="5"/>
    <n v="40"/>
    <n v="0"/>
    <n v="11"/>
    <n v="14"/>
    <n v="110"/>
    <s v="Reggaeton"/>
    <d v="2020-11-26T00:00:00"/>
    <s v="https://image-cdn-ak.spotifycdn.com/image/ab67616d00001e02005ee342f4eef2cc6e8436ab"/>
    <b v="0"/>
  </r>
  <r>
    <n v="806"/>
    <s v="spotify:track:4MzXwWMhyBbmu6hOcLVD49"/>
    <x v="581"/>
    <s v="DÁKITI"/>
    <s v="Rimas Entertainment LLC."/>
    <n v="1"/>
    <n v="109"/>
    <d v="1899-12-30T03:25:00"/>
    <b v="1"/>
    <n v="73"/>
    <n v="57"/>
    <n v="83"/>
    <n v="5"/>
    <n v="40"/>
    <n v="0"/>
    <n v="11"/>
    <n v="14"/>
    <n v="110"/>
    <s v="Reggaeton"/>
    <d v="2020-11-26T00:00:00"/>
    <s v="https://image-cdn-ak.spotifycdn.com/image/ab67616d00001e02005ee342f4eef2cc6e8436ab"/>
    <b v="0"/>
  </r>
  <r>
    <n v="807"/>
    <s v="spotify:track:4N1dogCaVWnGyFdPjdqNWF"/>
    <x v="70"/>
    <s v="COMO CAPO"/>
    <s v="WEA Latina"/>
    <n v="59"/>
    <n v="13"/>
    <d v="1899-12-30T03:05:00"/>
    <b v="1"/>
    <n v="77"/>
    <n v="77"/>
    <n v="92"/>
    <n v="5"/>
    <n v="15"/>
    <n v="0"/>
    <n v="7"/>
    <n v="80"/>
    <n v="133"/>
    <s v="Regional Mexicano"/>
    <d v="2025-05-16T00:00:00"/>
    <s v="https://image-cdn-ak.spotifycdn.com/image/ab67616d00001e02c24261c63305b3209fde0fa9"/>
    <b v="0"/>
  </r>
  <r>
    <n v="807"/>
    <s v="spotify:track:4N1dogCaVWnGyFdPjdqNWF"/>
    <x v="256"/>
    <s v="COMO CAPO"/>
    <s v="WEA Latina"/>
    <n v="59"/>
    <n v="13"/>
    <d v="1899-12-30T03:05:00"/>
    <b v="1"/>
    <n v="77"/>
    <n v="77"/>
    <n v="92"/>
    <n v="5"/>
    <n v="15"/>
    <n v="0"/>
    <n v="7"/>
    <n v="80"/>
    <n v="133"/>
    <s v="Regional Mexicano"/>
    <d v="2025-05-16T00:00:00"/>
    <s v="https://image-cdn-ak.spotifycdn.com/image/ab67616d00001e02c24261c63305b3209fde0fa9"/>
    <b v="0"/>
  </r>
  <r>
    <n v="808"/>
    <s v="spotify:track:4Ndjd6DhKIC5IPoBIrMQuX"/>
    <x v="582"/>
    <s v="Ese Vato No Te Queda"/>
    <s v="Socios Music, LLC"/>
    <n v="127"/>
    <n v="2"/>
    <d v="1899-12-30T03:05:00"/>
    <b v="1"/>
    <n v="75"/>
    <n v="74"/>
    <n v="94"/>
    <n v="4"/>
    <n v="3"/>
    <n v="0"/>
    <n v="9"/>
    <n v="62"/>
    <n v="118"/>
    <s v="Regional Mexicano"/>
    <d v="2025-04-25T00:00:00"/>
    <s v="https://image-cdn-ak.spotifycdn.com/image/ab67616d00001e02a6dae629d3f23aa5a725f601"/>
    <b v="0"/>
  </r>
  <r>
    <n v="808"/>
    <s v="spotify:track:4Ndjd6DhKIC5IPoBIrMQuX"/>
    <x v="79"/>
    <s v="Ese Vato No Te Queda"/>
    <s v="Socios Music, LLC"/>
    <n v="127"/>
    <n v="2"/>
    <d v="1899-12-30T03:05:00"/>
    <b v="1"/>
    <n v="75"/>
    <n v="74"/>
    <n v="94"/>
    <n v="4"/>
    <n v="3"/>
    <n v="0"/>
    <n v="9"/>
    <n v="62"/>
    <n v="118"/>
    <s v="Regional Mexicano"/>
    <d v="2025-04-25T00:00:00"/>
    <s v="https://image-cdn-ak.spotifycdn.com/image/ab67616d00001e02a6dae629d3f23aa5a725f601"/>
    <b v="0"/>
  </r>
  <r>
    <n v="809"/>
    <s v="spotify:track:4NyUIohBa3CEMGcXURYSOh"/>
    <x v="583"/>
    <s v="Ya Borracho"/>
    <s v="Rancho Humilde"/>
    <n v="66"/>
    <n v="21"/>
    <d v="1899-12-30T03:05:00"/>
    <b v="1"/>
    <n v="80"/>
    <n v="75"/>
    <n v="80"/>
    <n v="10"/>
    <n v="12"/>
    <n v="0"/>
    <n v="12"/>
    <n v="60"/>
    <n v="108"/>
    <s v="Regional Mexicano"/>
    <d v="2025-03-14T00:00:00"/>
    <s v="https://image-cdn-ak.spotifycdn.com/image/ab67616d00001e02595c866ba8d19bd9dd531bdc"/>
    <b v="0"/>
  </r>
  <r>
    <n v="810"/>
    <s v="spotify:track:4OLT65TRsOx3Iv1TlCcQVb"/>
    <x v="79"/>
    <s v="PRESIDENTE"/>
    <s v="Los CT Records"/>
    <n v="44"/>
    <n v="21"/>
    <d v="1899-12-30T03:05:00"/>
    <b v="1"/>
    <n v="73"/>
    <n v="83"/>
    <n v="93"/>
    <n v="6"/>
    <n v="12"/>
    <n v="0"/>
    <n v="12"/>
    <n v="58"/>
    <n v="105"/>
    <s v="Regional Mexicano"/>
    <d v="2025-05-02T00:00:00"/>
    <s v="https://image-cdn-ak.spotifycdn.com/image/ab67616d00001e02f66501800b3a51af3bc69f8d"/>
    <b v="0"/>
  </r>
  <r>
    <n v="810"/>
    <s v="spotify:track:4OLT65TRsOx3Iv1TlCcQVb"/>
    <x v="216"/>
    <s v="PRESIDENTE"/>
    <s v="Los CT Records"/>
    <n v="44"/>
    <n v="21"/>
    <d v="1899-12-30T03:05:00"/>
    <b v="1"/>
    <n v="73"/>
    <n v="83"/>
    <n v="93"/>
    <n v="6"/>
    <n v="12"/>
    <n v="0"/>
    <n v="12"/>
    <n v="58"/>
    <n v="105"/>
    <s v="Regional Mexicano"/>
    <d v="2025-05-02T00:00:00"/>
    <s v="https://image-cdn-ak.spotifycdn.com/image/ab67616d00001e02f66501800b3a51af3bc69f8d"/>
    <b v="0"/>
  </r>
  <r>
    <n v="810"/>
    <s v="spotify:track:4OLT65TRsOx3Iv1TlCcQVb"/>
    <x v="80"/>
    <s v="PRESIDENTE"/>
    <s v="Los CT Records"/>
    <n v="44"/>
    <n v="21"/>
    <d v="1899-12-30T03:05:00"/>
    <b v="1"/>
    <n v="73"/>
    <n v="83"/>
    <n v="93"/>
    <n v="6"/>
    <n v="12"/>
    <n v="0"/>
    <n v="12"/>
    <n v="58"/>
    <n v="105"/>
    <s v="Regional Mexicano"/>
    <d v="2025-05-02T00:00:00"/>
    <s v="https://image-cdn-ak.spotifycdn.com/image/ab67616d00001e02f66501800b3a51af3bc69f8d"/>
    <b v="0"/>
  </r>
  <r>
    <n v="810"/>
    <s v="spotify:track:4OLT65TRsOx3Iv1TlCcQVb"/>
    <x v="30"/>
    <s v="PRESIDENTE"/>
    <s v="Los CT Records"/>
    <n v="44"/>
    <n v="21"/>
    <d v="1899-12-30T03:05:00"/>
    <b v="1"/>
    <n v="73"/>
    <n v="83"/>
    <n v="93"/>
    <n v="6"/>
    <n v="12"/>
    <n v="0"/>
    <n v="12"/>
    <n v="58"/>
    <n v="105"/>
    <s v="Regional Mexicano"/>
    <d v="2025-05-02T00:00:00"/>
    <s v="https://image-cdn-ak.spotifycdn.com/image/ab67616d00001e02f66501800b3a51af3bc69f8d"/>
    <b v="0"/>
  </r>
  <r>
    <n v="811"/>
    <s v="spotify:track:4ORvXsPK9AJmDzm36BYcdy"/>
    <x v="147"/>
    <s v="Reliquia"/>
    <s v="Columbia"/>
    <n v="21"/>
    <n v="2"/>
    <s v="03:05:00"/>
    <b v="0"/>
    <n v="59"/>
    <n v="45"/>
    <n v="69"/>
    <n v="6"/>
    <n v="68"/>
    <n v="0"/>
    <n v="13"/>
    <n v="31"/>
    <n v="88"/>
    <s v="Flamenco"/>
    <s v="7/11/2025"/>
    <s v="https://image-cdn-ak.spotifycdn.com/image/ab67616d00001e0293ee2e2f2dfb7de9befcc164"/>
    <b v="0"/>
  </r>
  <r>
    <n v="813"/>
    <s v="spotify:track:4PMqSO5qyjpvzhlLI5GnID"/>
    <x v="20"/>
    <s v="Good Days"/>
    <s v="Top Dawg Entertainment/RCA Records"/>
    <n v="5"/>
    <n v="39"/>
    <d v="1899-12-30T04:39:00"/>
    <b v="1"/>
    <n v="46"/>
    <n v="65"/>
    <n v="85"/>
    <n v="6"/>
    <n v="42"/>
    <n v="0"/>
    <n v="78"/>
    <n v="38"/>
    <n v="121"/>
    <s v="R&amp;B"/>
    <d v="2020-12-25T00:00:00"/>
    <s v="https://image-cdn-ak.spotifycdn.com/image/ab67616d00001e02bc18bdade69ec5ef0bb25b17"/>
    <b v="0"/>
  </r>
  <r>
    <n v="814"/>
    <s v="spotify:track:4Q0qVhFQa7j6jRKzo3HDmP"/>
    <x v="56"/>
    <s v="Sapphire"/>
    <s v="Gingerbread Man Records / Atlantic Records UK"/>
    <n v="19"/>
    <n v="14"/>
    <s v="03:05:00"/>
    <b v="0"/>
    <n v="65"/>
    <n v="52"/>
    <n v="71"/>
    <n v="4"/>
    <n v="48"/>
    <n v="0"/>
    <n v="12"/>
    <n v="51"/>
    <n v="100"/>
    <s v="Pop"/>
    <s v="27/6/2025"/>
    <s v="https://image-cdn-ak.spotifycdn.com/image/ab67616d00001e021cae05aed449b051fceb7a2d"/>
    <b v="0"/>
  </r>
  <r>
    <n v="815"/>
    <s v="spotify:track:4Q9ExJGFgL9Jd9kmYH3nXs"/>
    <x v="23"/>
    <s v="Miss possessive"/>
    <s v="RCA Records Label"/>
    <n v="73"/>
    <n v="2"/>
    <d v="1899-12-30T03:05:00"/>
    <b v="1"/>
    <n v="78"/>
    <n v="75"/>
    <n v="92"/>
    <n v="4"/>
    <n v="26"/>
    <n v="0"/>
    <n v="10"/>
    <n v="32"/>
    <n v="102"/>
    <s v="Pop"/>
    <d v="2025-02-21T00:00:00"/>
    <s v="https://image-cdn-ak.spotifycdn.com/image/ab67616d00001e0230420759f1a2cd4923c5c65b"/>
    <b v="0"/>
  </r>
  <r>
    <n v="816"/>
    <s v="spotify:track:4QMEcIbG9GtSrkbvk7Pswd"/>
    <x v="58"/>
    <s v="Have Yourself a Merry Little Christmas"/>
    <s v="Reprise"/>
    <n v="193"/>
    <n v="1"/>
    <d v="1899-12-30T02:48:00"/>
    <b v="0"/>
    <n v="52"/>
    <n v="50"/>
    <n v="73"/>
    <n v="3"/>
    <n v="55"/>
    <n v="0"/>
    <n v="15"/>
    <n v="72"/>
    <n v="120"/>
    <s v="Christmas"/>
    <d v="2011-10-24T00:00:00"/>
    <s v="https://image-cdn-ak.spotifycdn.com/image/ab67616d00001e02b601df2f604eabf6f1302337"/>
    <b v="1"/>
  </r>
  <r>
    <n v="817"/>
    <s v="spotify:track:4QNpBfC0zvjKqPJcyqBy9W"/>
    <x v="584"/>
    <s v="Give Me Everything (feat. Nayer)"/>
    <s v="Mr.305/Polo Grounds Music/J Records"/>
    <n v="72"/>
    <n v="99"/>
    <d v="1899-12-30T04:12:00"/>
    <b v="0"/>
    <n v="67"/>
    <n v="94"/>
    <n v="95"/>
    <n v="16"/>
    <n v="19"/>
    <n v="0"/>
    <n v="30"/>
    <n v="53"/>
    <n v="129"/>
    <s v="Dance Pop"/>
    <d v="2011-03-18T00:00:00"/>
    <s v="https://image-cdn-ak.spotifycdn.com/image/ab67616d00001e021dc7483a9fcfce54822a2f19"/>
    <b v="0"/>
  </r>
  <r>
    <n v="817"/>
    <s v="spotify:track:4QNpBfC0zvjKqPJcyqBy9W"/>
    <x v="585"/>
    <s v="Give Me Everything (feat. Nayer)"/>
    <s v="Mr.305/Polo Grounds Music/J Records"/>
    <n v="72"/>
    <n v="99"/>
    <d v="1899-12-30T04:12:00"/>
    <b v="0"/>
    <n v="67"/>
    <n v="94"/>
    <n v="95"/>
    <n v="16"/>
    <n v="19"/>
    <n v="0"/>
    <n v="30"/>
    <n v="53"/>
    <n v="129"/>
    <s v="Dance Pop"/>
    <d v="2011-03-18T00:00:00"/>
    <s v="https://image-cdn-ak.spotifycdn.com/image/ab67616d00001e021dc7483a9fcfce54822a2f19"/>
    <b v="0"/>
  </r>
  <r>
    <n v="817"/>
    <s v="spotify:track:4QNpBfC0zvjKqPJcyqBy9W"/>
    <x v="586"/>
    <s v="Give Me Everything (feat. Nayer)"/>
    <s v="Mr.305/Polo Grounds Music/J Records"/>
    <n v="72"/>
    <n v="99"/>
    <d v="1899-12-30T04:12:00"/>
    <b v="0"/>
    <n v="67"/>
    <n v="94"/>
    <n v="95"/>
    <n v="16"/>
    <n v="19"/>
    <n v="0"/>
    <n v="30"/>
    <n v="53"/>
    <n v="129"/>
    <s v="Dance Pop"/>
    <d v="2011-03-18T00:00:00"/>
    <s v="https://image-cdn-ak.spotifycdn.com/image/ab67616d00001e021dc7483a9fcfce54822a2f19"/>
    <b v="0"/>
  </r>
  <r>
    <n v="817"/>
    <s v="spotify:track:4QNpBfC0zvjKqPJcyqBy9W"/>
    <x v="471"/>
    <s v="Give Me Everything (feat. Nayer)"/>
    <s v="Mr.305/Polo Grounds Music/J Records"/>
    <n v="72"/>
    <n v="99"/>
    <d v="1899-12-30T04:12:00"/>
    <b v="0"/>
    <n v="67"/>
    <n v="94"/>
    <n v="95"/>
    <n v="16"/>
    <n v="19"/>
    <n v="0"/>
    <n v="30"/>
    <n v="53"/>
    <n v="129"/>
    <s v="Dance Pop"/>
    <d v="2011-03-18T00:00:00"/>
    <s v="https://image-cdn-ak.spotifycdn.com/image/ab67616d00001e021dc7483a9fcfce54822a2f19"/>
    <b v="0"/>
  </r>
  <r>
    <n v="818"/>
    <s v="spotify:track:4R2kfaDFhslZEMJqAFNpdd"/>
    <x v="19"/>
    <s v="cardigan"/>
    <s v="Taylor Swift"/>
    <n v="1"/>
    <n v="76"/>
    <d v="1899-12-30T03:59:00"/>
    <b v="0"/>
    <n v="61"/>
    <n v="58"/>
    <n v="86"/>
    <n v="4"/>
    <n v="54"/>
    <n v="0"/>
    <n v="25"/>
    <n v="55"/>
    <n v="130"/>
    <s v="Indie Folk"/>
    <d v="2020-07-24T00:00:00"/>
    <s v="https://image-cdn-ak.spotifycdn.com/image/ab67616d00001e0295f754318336a07e85ec59bc"/>
    <b v="0"/>
  </r>
  <r>
    <n v="819"/>
    <s v="spotify:track:4R9G7azXaZe93KTX65P9fU"/>
    <x v="587"/>
    <s v="Teh Hijau"/>
    <s v="TulusCompany"/>
    <n v="28"/>
    <n v="13"/>
    <d v="1899-12-30T03:48:00"/>
    <b v="0"/>
    <n v="55"/>
    <n v="55"/>
    <n v="74"/>
    <n v="5"/>
    <n v="45"/>
    <n v="0"/>
    <n v="10"/>
    <n v="48"/>
    <n v="90"/>
    <s v="Indie Pop"/>
    <d v="2024-08-09T00:00:00"/>
    <s v="https://image-cdn-ak.spotifycdn.com/image/ab67616d00001e02e4086e5f9d79cf18ed601015"/>
    <b v="0"/>
  </r>
  <r>
    <n v="820"/>
    <s v="spotify:track:4RCWB3V8V0dignt99LZ8vH"/>
    <x v="588"/>
    <s v="Hey There Delilah"/>
    <s v="Fearless Records"/>
    <n v="166"/>
    <n v="4"/>
    <d v="1899-12-30T03:52:00"/>
    <b v="0"/>
    <n v="66"/>
    <n v="29"/>
    <n v="82"/>
    <n v="3"/>
    <n v="87"/>
    <n v="0"/>
    <n v="11"/>
    <n v="30"/>
    <n v="104"/>
    <s v="Pop Rock"/>
    <d v="2005-05-09T00:00:00"/>
    <s v="https://image-cdn-ak.spotifycdn.com/image/ab67616d00001e02beae6e69d6505fd379ef3081"/>
    <b v="0"/>
  </r>
  <r>
    <n v="822"/>
    <s v="spotify:track:4S1SaaCxQ87nXpA2EfYFj4"/>
    <x v="572"/>
    <s v="Amo Minha Favela"/>
    <s v="BOLOLO REC"/>
    <n v="195"/>
    <n v="2"/>
    <s v="02:28:00"/>
    <b v="1"/>
    <n v="85"/>
    <n v="74"/>
    <n v="75"/>
    <n v="14"/>
    <n v="16"/>
    <n v="0"/>
    <n v="21"/>
    <n v="81"/>
    <n v="130"/>
    <s v="Funk Brasileiro"/>
    <s v="16/1/2026"/>
    <s v="https://image-cdn-ak.spotifycdn.com/image/ab67616d00001e02f189a3108b6b63df5b34b22c"/>
    <b v="0"/>
  </r>
  <r>
    <n v="822"/>
    <s v="spotify:track:4S1SaaCxQ87nXpA2EfYFj4"/>
    <x v="519"/>
    <s v="Amo Minha Favela"/>
    <s v="BOLOLO REC"/>
    <n v="195"/>
    <n v="2"/>
    <s v="02:28:00"/>
    <b v="1"/>
    <n v="85"/>
    <n v="74"/>
    <n v="75"/>
    <n v="14"/>
    <n v="16"/>
    <n v="0"/>
    <n v="21"/>
    <n v="81"/>
    <n v="130"/>
    <s v="Funk Brasileiro"/>
    <s v="16/1/2026"/>
    <s v="https://image-cdn-ak.spotifycdn.com/image/ab67616d00001e02f189a3108b6b63df5b34b22c"/>
    <b v="0"/>
  </r>
  <r>
    <n v="823"/>
    <s v="spotify:track:4SRShYMtFIGgnOU7iBicMH"/>
    <x v="124"/>
    <s v="Nobody’s Son"/>
    <s v="Island Records"/>
    <n v="10"/>
    <n v="10"/>
    <s v="03:05:00"/>
    <b v="0"/>
    <n v="61"/>
    <n v="48"/>
    <n v="70"/>
    <n v="4"/>
    <n v="56"/>
    <n v="0"/>
    <n v="12"/>
    <n v="41"/>
    <n v="128"/>
    <s v="Pop"/>
    <s v="29/8/2025"/>
    <s v="https://image-cdn-fa.spotifycdn.com/image/ab67616d00001e02b1863bf95557ea7f357c4947"/>
    <b v="0"/>
  </r>
  <r>
    <n v="824"/>
    <s v="spotify:track:4SjcIkVc4cvFgURD1EHxDM"/>
    <x v="589"/>
    <s v="Eu Me Apaixonei"/>
    <s v="Vitinho Imperador"/>
    <n v="98"/>
    <n v="2"/>
    <s v="02:48:00"/>
    <b v="1"/>
    <n v="82"/>
    <n v="76"/>
    <n v="73"/>
    <n v="7"/>
    <n v="28"/>
    <n v="0"/>
    <n v="14"/>
    <n v="85"/>
    <n v="135"/>
    <s v="Sertanejo"/>
    <s v="2/1/2026"/>
    <s v="https://image-cdn-ak.spotifycdn.com/image/ab67616d00001e02781def2b7594a2cd1bf123b7"/>
    <b v="0"/>
  </r>
  <r>
    <n v="825"/>
    <s v="spotify:track:4SqWKzw0CbA05TGszDgMlc"/>
    <x v="590"/>
    <s v="I Love You So"/>
    <s v="Warner Records"/>
    <n v="21"/>
    <n v="177"/>
    <d v="1899-12-30T02:48:00"/>
    <b v="0"/>
    <n v="57"/>
    <n v="65"/>
    <n v="92"/>
    <n v="4"/>
    <n v="58"/>
    <n v="0"/>
    <n v="12"/>
    <n v="47"/>
    <n v="76"/>
    <s v="Indie Pop"/>
    <d v="2014-04-28T00:00:00"/>
    <s v="https://image-cdn-ak.spotifycdn.com/image/ab67616d00001e02a9ab24f62c01f4bd4a08571e"/>
    <b v="0"/>
  </r>
  <r>
    <n v="826"/>
    <s v="spotify:track:4V2rUOmaevK0C1bKAkeFf5"/>
    <x v="591"/>
    <s v="Eu Te Seguro - Ao Vivo"/>
    <s v="Sony Music Entertainment"/>
    <n v="152"/>
    <n v="7"/>
    <s v="02:48:00"/>
    <b v="1"/>
    <n v="62"/>
    <n v="70"/>
    <n v="73"/>
    <n v="5"/>
    <n v="45"/>
    <n v="0"/>
    <n v="70"/>
    <n v="58"/>
    <n v="140"/>
    <s v="Sertanejo"/>
    <s v="24/4/2026"/>
    <s v="https://image-cdn-ak.spotifycdn.com/image/ab67616d00001e02ae0147d756dbb8f2f90d1d28"/>
    <b v="0"/>
  </r>
  <r>
    <n v="826"/>
    <s v="spotify:track:4V2rUOmaevK0C1bKAkeFf5"/>
    <x v="592"/>
    <s v="Eu Te Seguro - Ao Vivo"/>
    <s v="Sony Music Entertainment"/>
    <n v="152"/>
    <n v="7"/>
    <s v="02:48:00"/>
    <b v="1"/>
    <n v="62"/>
    <n v="70"/>
    <n v="73"/>
    <n v="5"/>
    <n v="45"/>
    <n v="0"/>
    <n v="70"/>
    <n v="58"/>
    <n v="140"/>
    <s v="Sertanejo"/>
    <s v="24/4/2026"/>
    <s v="https://image-cdn-ak.spotifycdn.com/image/ab67616d00001e02ae0147d756dbb8f2f90d1d28"/>
    <b v="0"/>
  </r>
  <r>
    <n v="827"/>
    <s v="spotify:track:4VxTzYm00mg82MuoT35Ja7"/>
    <x v="217"/>
    <s v="CHANEL"/>
    <s v="Epic"/>
    <n v="9"/>
    <n v="18"/>
    <d v="1899-12-30T02:48:00"/>
    <b v="0"/>
    <n v="82"/>
    <n v="78"/>
    <n v="81"/>
    <n v="8"/>
    <n v="8"/>
    <n v="0"/>
    <n v="12"/>
    <n v="72"/>
    <n v="112"/>
    <s v="Afrobeat"/>
    <d v="2025-03-28T00:00:00"/>
    <s v="https://image-cdn-ak.spotifycdn.com/image/ab67616d00001e02c67cc9596a3252490933e2f9"/>
    <b v="0"/>
  </r>
  <r>
    <n v="828"/>
    <s v="spotify:track:4WFfPxJv1KRekG6mxn837K"/>
    <x v="188"/>
    <s v="EYES CLOSED (with ZAYN)"/>
    <s v="Warner Records"/>
    <n v="28"/>
    <n v="4"/>
    <d v="1899-12-30T02:48:00"/>
    <b v="0"/>
    <n v="78"/>
    <n v="78"/>
    <n v="81"/>
    <n v="10"/>
    <n v="8"/>
    <n v="0"/>
    <n v="13"/>
    <n v="62"/>
    <n v="120"/>
    <s v="K-Pop"/>
    <d v="2025-02-14T00:00:00"/>
    <s v="https://image-cdn-ak.spotifycdn.com/image/ab67616d00001e021bc666f3fa4156c40c6f90d2"/>
    <b v="0"/>
  </r>
  <r>
    <n v="828"/>
    <s v="spotify:track:4WFfPxJv1KRekG6mxn837K"/>
    <x v="593"/>
    <s v="EYES CLOSED (with ZAYN)"/>
    <s v="Warner Records"/>
    <n v="28"/>
    <n v="4"/>
    <d v="1899-12-30T02:48:00"/>
    <b v="0"/>
    <n v="78"/>
    <n v="78"/>
    <n v="81"/>
    <n v="10"/>
    <n v="8"/>
    <n v="0"/>
    <n v="13"/>
    <n v="62"/>
    <n v="120"/>
    <s v="K-Pop"/>
    <d v="2025-02-14T00:00:00"/>
    <s v="https://image-cdn-ak.spotifycdn.com/image/ab67616d00001e021bc666f3fa4156c40c6f90d2"/>
    <b v="0"/>
  </r>
  <r>
    <n v="829"/>
    <s v="spotify:track:4WFgvKVfEhb3IUAFGrutTR"/>
    <x v="594"/>
    <s v="Love Me Not"/>
    <s v="Atlantic Records"/>
    <n v="8"/>
    <n v="80"/>
    <d v="1899-12-30T03:12:00"/>
    <b v="0"/>
    <n v="79"/>
    <n v="74"/>
    <n v="90"/>
    <n v="3"/>
    <n v="29"/>
    <n v="0"/>
    <n v="13"/>
    <n v="82"/>
    <n v="114"/>
    <s v="R&amp;B"/>
    <d v="2024-08-09T00:00:00"/>
    <s v="https://image-cdn-ak.spotifycdn.com/image/ab67616d00001e020e62daaea2c7b94053e1c142"/>
    <b v="0"/>
  </r>
  <r>
    <n v="830"/>
    <s v="spotify:track:4WxU1gDVmoH6gstgR0MT78"/>
    <x v="158"/>
    <s v="Lean On (feat. MØ &amp; DJ Snake)"/>
    <s v="Third Pardee Records"/>
    <n v="99"/>
    <n v="34"/>
    <d v="1899-12-30T02:56:00"/>
    <b v="0"/>
    <n v="72"/>
    <n v="81"/>
    <n v="95"/>
    <n v="6"/>
    <n v="0"/>
    <n v="0"/>
    <n v="56"/>
    <n v="27"/>
    <n v="98"/>
    <s v="EDM"/>
    <d v="2015-03-02T00:00:00"/>
    <s v="https://image-cdn-ak.spotifycdn.com/image/ab67616d00001e026ecc09ef7f3d0be67660ad62"/>
    <b v="0"/>
  </r>
  <r>
    <n v="830"/>
    <s v="spotify:track:4WxU1gDVmoH6gstgR0MT78"/>
    <x v="595"/>
    <s v="Lean On (feat. MØ &amp; DJ Snake)"/>
    <s v="Third Pardee Records"/>
    <n v="99"/>
    <n v="34"/>
    <d v="1899-12-30T02:56:00"/>
    <b v="0"/>
    <n v="72"/>
    <n v="81"/>
    <n v="95"/>
    <n v="6"/>
    <n v="0"/>
    <n v="0"/>
    <n v="56"/>
    <n v="27"/>
    <n v="98"/>
    <s v="EDM"/>
    <d v="2015-03-02T00:00:00"/>
    <s v="https://image-cdn-ak.spotifycdn.com/image/ab67616d00001e026ecc09ef7f3d0be67660ad62"/>
    <b v="0"/>
  </r>
  <r>
    <n v="830"/>
    <s v="spotify:track:4WxU1gDVmoH6gstgR0MT78"/>
    <x v="596"/>
    <s v="Lean On (feat. MØ &amp; DJ Snake)"/>
    <s v="Third Pardee Records"/>
    <n v="99"/>
    <n v="34"/>
    <d v="1899-12-30T02:56:00"/>
    <b v="0"/>
    <n v="72"/>
    <n v="81"/>
    <n v="95"/>
    <n v="6"/>
    <n v="0"/>
    <n v="0"/>
    <n v="56"/>
    <n v="27"/>
    <n v="98"/>
    <s v="EDM"/>
    <d v="2015-03-02T00:00:00"/>
    <s v="https://image-cdn-ak.spotifycdn.com/image/ab67616d00001e026ecc09ef7f3d0be67660ad62"/>
    <b v="0"/>
  </r>
  <r>
    <n v="831"/>
    <s v="spotify:track:4XHijJfABTtUCW3Bp6KFvr"/>
    <x v="597"/>
    <s v="Tarot"/>
    <s v="Sun Eater"/>
    <n v="180"/>
    <n v="3"/>
    <d v="1899-12-30T04:05:00"/>
    <b v="0"/>
    <n v="58"/>
    <n v="74"/>
    <n v="92"/>
    <n v="4"/>
    <n v="2"/>
    <n v="2"/>
    <n v="11"/>
    <n v="47"/>
    <n v="115"/>
    <s v="Indie Rock"/>
    <d v="2025-02-14T00:00:00"/>
    <s v="https://image-cdn-ak.spotifycdn.com/image/ab67616d00001e02c800b90e2092a5328f699117"/>
    <b v="0"/>
  </r>
  <r>
    <n v="832"/>
    <s v="spotify:track:4XTgFBxBHN6var1BzAgE1m"/>
    <x v="598"/>
    <s v="Jhol"/>
    <s v="Giraffe Music"/>
    <n v="83"/>
    <n v="6"/>
    <d v="1899-12-30T03:18:00"/>
    <b v="0"/>
    <n v="48"/>
    <n v="48"/>
    <n v="86"/>
    <n v="9"/>
    <n v="60"/>
    <n v="0"/>
    <n v="34"/>
    <n v="30"/>
    <n v="155"/>
    <s v="Pakistani Pop"/>
    <d v="2024-08-16T00:00:00"/>
    <s v="https://image-cdn-ak.spotifycdn.com/image/ab67616d00001e02da7d1408f8e776063963572f"/>
    <b v="0"/>
  </r>
  <r>
    <n v="832"/>
    <s v="spotify:track:4XTgFBxBHN6var1BzAgE1m"/>
    <x v="599"/>
    <s v="Jhol"/>
    <s v="Giraffe Music"/>
    <n v="83"/>
    <n v="6"/>
    <d v="1899-12-30T03:18:00"/>
    <b v="0"/>
    <n v="48"/>
    <n v="48"/>
    <n v="86"/>
    <n v="9"/>
    <n v="60"/>
    <n v="0"/>
    <n v="34"/>
    <n v="30"/>
    <n v="155"/>
    <s v="Pakistani Pop"/>
    <d v="2024-08-16T00:00:00"/>
    <s v="https://image-cdn-ak.spotifycdn.com/image/ab67616d00001e02da7d1408f8e776063963572f"/>
    <b v="0"/>
  </r>
  <r>
    <n v="833"/>
    <s v="spotify:track:4XcZp2xqbiD8YsnPboNUDo"/>
    <x v="1"/>
    <s v="WE NEED ALL DA VIBES (with Young Thug &amp; Ty Dolla $ign)"/>
    <s v="AWGE/Interscope Records"/>
    <n v="89"/>
    <n v="1"/>
    <d v="1899-12-30T03:18:00"/>
    <b v="1"/>
    <n v="76"/>
    <n v="71"/>
    <n v="93"/>
    <n v="30"/>
    <n v="1"/>
    <n v="0"/>
    <n v="14"/>
    <n v="53"/>
    <n v="180"/>
    <s v="Hip-Hop/Rap"/>
    <d v="2025-03-14T00:00:00"/>
    <s v="https://image-cdn-ak.spotifycdn.com/image/ab67616d00001e026b219c8d8462bfe254a20469"/>
    <b v="0"/>
  </r>
  <r>
    <n v="833"/>
    <s v="spotify:track:4XcZp2xqbiD8YsnPboNUDo"/>
    <x v="429"/>
    <s v="WE NEED ALL DA VIBES (with Young Thug &amp; Ty Dolla $ign)"/>
    <s v="AWGE/Interscope Records"/>
    <n v="89"/>
    <n v="1"/>
    <d v="1899-12-30T03:18:00"/>
    <b v="1"/>
    <n v="76"/>
    <n v="71"/>
    <n v="93"/>
    <n v="30"/>
    <n v="1"/>
    <n v="0"/>
    <n v="14"/>
    <n v="53"/>
    <n v="180"/>
    <s v="Hip-Hop/Rap"/>
    <d v="2025-03-14T00:00:00"/>
    <s v="https://image-cdn-ak.spotifycdn.com/image/ab67616d00001e026b219c8d8462bfe254a20469"/>
    <b v="0"/>
  </r>
  <r>
    <n v="833"/>
    <s v="spotify:track:4XcZp2xqbiD8YsnPboNUDo"/>
    <x v="475"/>
    <s v="WE NEED ALL DA VIBES (with Young Thug &amp; Ty Dolla $ign)"/>
    <s v="AWGE/Interscope Records"/>
    <n v="89"/>
    <n v="1"/>
    <d v="1899-12-30T03:18:00"/>
    <b v="1"/>
    <n v="76"/>
    <n v="71"/>
    <n v="93"/>
    <n v="30"/>
    <n v="1"/>
    <n v="0"/>
    <n v="14"/>
    <n v="53"/>
    <n v="180"/>
    <s v="Hip-Hop/Rap"/>
    <d v="2025-03-14T00:00:00"/>
    <s v="https://image-cdn-ak.spotifycdn.com/image/ab67616d00001e026b219c8d8462bfe254a20469"/>
    <b v="0"/>
  </r>
  <r>
    <n v="834"/>
    <s v="spotify:track:4Yf6QS1hjFWT1qMqvpzNcK"/>
    <x v="189"/>
    <s v="Look at My Life"/>
    <s v="Gracie Abrams, under exclusive license to Interscope Records"/>
    <n v="194"/>
    <n v="2"/>
    <s v="03:18:00"/>
    <b v="0"/>
    <n v="62"/>
    <n v="45"/>
    <n v="72"/>
    <n v="5"/>
    <n v="59"/>
    <n v="0"/>
    <n v="13"/>
    <n v="42"/>
    <n v="120"/>
    <s v="Indie Pop"/>
    <s v="10/7/2026"/>
    <s v="https://image-cdn-fa.spotifycdn.com/image/ab67616d00001e0299bc33b47a0a67fd50783055"/>
    <b v="0"/>
  </r>
  <r>
    <n v="835"/>
    <s v="spotify:track:4Yg2w0P29BBBMixyeNjDtj"/>
    <x v="600"/>
    <s v="Do They Know It's Christmas? - 1984 Version"/>
    <s v="EMI"/>
    <n v="12"/>
    <n v="42"/>
    <d v="1899-12-30T03:48:00"/>
    <b v="0"/>
    <n v="55"/>
    <n v="55"/>
    <n v="74"/>
    <n v="4"/>
    <n v="45"/>
    <n v="0"/>
    <n v="14"/>
    <n v="72"/>
    <n v="120"/>
    <s v="Christmas"/>
    <d v="1984-11-29T00:00:00"/>
    <s v="https://image-cdn-ak.spotifycdn.com/image/ab67616d00001e02d549b09f0264901929eaa6e8"/>
    <b v="1"/>
  </r>
  <r>
    <n v="836"/>
    <s v="spotify:track:4YmS7BALpAU0h4EAF4fYuh"/>
    <x v="2"/>
    <s v="SPEED DEMON"/>
    <s v="JRC Entertainment, LLC / ILH Production Co. LLC / Def Jam Recordings"/>
    <n v="183"/>
    <n v="1"/>
    <s v="03:18:00"/>
    <b v="1"/>
    <n v="78"/>
    <n v="74"/>
    <n v="75"/>
    <n v="8"/>
    <n v="11"/>
    <n v="0"/>
    <n v="15"/>
    <n v="71"/>
    <n v="128"/>
    <s v="Hip-Hop/Rap"/>
    <s v="12/9/2025"/>
    <s v="https://image-cdn-ak.spotifycdn.com/image/ab67616d00001e02a958d093e94944dd0e7258b2"/>
    <b v="0"/>
  </r>
  <r>
    <n v="837"/>
    <s v="spotify:track:4Z5KKoBGxpJo8YbDcGQXd5"/>
    <x v="7"/>
    <s v="Secondhand (feat. Rema)"/>
    <s v="CactusJack/Donnway/ATL"/>
    <n v="68"/>
    <n v="3"/>
    <d v="1899-12-30T03:18:00"/>
    <b v="1"/>
    <n v="75"/>
    <n v="75"/>
    <n v="79"/>
    <n v="12"/>
    <n v="10"/>
    <n v="0"/>
    <n v="12"/>
    <n v="58"/>
    <n v="125"/>
    <s v="Afrobeat"/>
    <d v="2025-05-16T00:00:00"/>
    <s v="https://image-cdn-ak.spotifycdn.com/image/ab67616d00001e0225c28f3c9fbdbab1a88dd619"/>
    <b v="0"/>
  </r>
  <r>
    <n v="837"/>
    <s v="spotify:track:4Z5KKoBGxpJo8YbDcGQXd5"/>
    <x v="601"/>
    <s v="Secondhand (feat. Rema)"/>
    <s v="CactusJack/Donnway/ATL"/>
    <n v="68"/>
    <n v="3"/>
    <d v="1899-12-30T03:18:00"/>
    <b v="1"/>
    <n v="75"/>
    <n v="75"/>
    <n v="79"/>
    <n v="12"/>
    <n v="10"/>
    <n v="0"/>
    <n v="12"/>
    <n v="58"/>
    <n v="125"/>
    <s v="Afrobeat"/>
    <d v="2025-05-16T00:00:00"/>
    <s v="https://image-cdn-ak.spotifycdn.com/image/ab67616d00001e0225c28f3c9fbdbab1a88dd619"/>
    <b v="0"/>
  </r>
  <r>
    <n v="838"/>
    <s v="spotify:track:4ZYlzwjjAJrflwWg4DJTlT"/>
    <x v="602"/>
    <s v="MORNING DEW (DONK)"/>
    <s v="Columbia/Legacy"/>
    <n v="193"/>
    <n v="1"/>
    <s v="03:18:00"/>
    <b v="0"/>
    <n v="85"/>
    <n v="78"/>
    <n v="76"/>
    <n v="14"/>
    <n v="12"/>
    <n v="1"/>
    <n v="18"/>
    <n v="75"/>
    <n v="128"/>
    <s v="Pop"/>
    <s v="3/7/2026"/>
    <s v="https://image-cdn-ak.spotifycdn.com/image/ab67616d00001e0229803857f9f242ab9fdcfe40"/>
    <b v="0"/>
  </r>
  <r>
    <n v="839"/>
    <s v="spotify:track:4ZZJ7S4Z1pEIvTUgN1oRzS"/>
    <x v="2"/>
    <s v="FIRST PLACE"/>
    <s v="JRC Entertainment, LLC / ILH Production Co. LLC / Def Jam Recordings"/>
    <n v="91"/>
    <n v="1"/>
    <s v="03:18:00"/>
    <b v="1"/>
    <n v="70"/>
    <n v="59"/>
    <n v="72"/>
    <n v="5"/>
    <n v="32"/>
    <n v="0"/>
    <n v="11"/>
    <n v="48"/>
    <n v="115"/>
    <s v="Hip-Hop/Rap"/>
    <s v="12/9/2025"/>
    <s v="https://image-cdn-fa.spotifycdn.com/image/ab67616d00001e02d65c4773bc5061fd27facc5b"/>
    <b v="0"/>
  </r>
  <r>
    <n v="840"/>
    <s v="spotify:track:4bJygwUKrRgq1stlNXcgMg"/>
    <x v="603"/>
    <s v="All The Things She Said"/>
    <s v="Interscope"/>
    <n v="149"/>
    <n v="2"/>
    <d v="1899-12-30T03:34:00"/>
    <b v="1"/>
    <n v="53"/>
    <n v="83"/>
    <n v="90"/>
    <n v="5"/>
    <n v="4"/>
    <n v="1"/>
    <n v="10"/>
    <n v="38"/>
    <n v="180"/>
    <s v="Pop"/>
    <d v="2002-09-10T00:00:00"/>
    <s v="https://image-cdn-ak.spotifycdn.com/image/ab67616d00001e023b27e1cd8a6bc6804c2e5fd2"/>
    <b v="0"/>
  </r>
  <r>
    <n v="841"/>
    <s v="spotify:track:4bWZz15GR1EE8E8x23rDWV"/>
    <x v="387"/>
    <s v="PUNCH DRUNK"/>
    <s v="YZY/gamma."/>
    <n v="114"/>
    <n v="1"/>
    <s v="03:18:00"/>
    <b v="1"/>
    <n v="78"/>
    <n v="63"/>
    <n v="72"/>
    <n v="11"/>
    <n v="22"/>
    <n v="0"/>
    <n v="13"/>
    <n v="61"/>
    <n v="116"/>
    <s v="Hip-Hop/Rap"/>
    <s v="3/4/2026"/>
    <s v="https://image-cdn-ak.spotifycdn.com/image/ab67616d00001e0295184f6a953569b683ca9a0d"/>
    <b v="0"/>
  </r>
  <r>
    <n v="841"/>
    <s v="spotify:track:4bWZz15GR1EE8E8x23rDWV"/>
    <x v="388"/>
    <s v="PUNCH DRUNK"/>
    <s v="YZY/gamma."/>
    <n v="114"/>
    <n v="1"/>
    <s v="03:18:00"/>
    <b v="1"/>
    <n v="78"/>
    <n v="63"/>
    <n v="72"/>
    <n v="11"/>
    <n v="22"/>
    <n v="0"/>
    <n v="13"/>
    <n v="61"/>
    <n v="116"/>
    <s v="Hip-Hop/Rap"/>
    <s v="3/4/2026"/>
    <s v="https://image-cdn-ak.spotifycdn.com/image/ab67616d00001e0295184f6a953569b683ca9a0d"/>
    <b v="0"/>
  </r>
  <r>
    <n v="842"/>
    <s v="spotify:track:4bkClAuofJULiaIZsuL3gT"/>
    <x v="133"/>
    <s v="expectations"/>
    <s v="Olivia Rodrigo PS"/>
    <n v="18"/>
    <n v="7"/>
    <s v="02:48:00"/>
    <b v="0"/>
    <n v="63"/>
    <n v="50"/>
    <n v="71"/>
    <n v="4"/>
    <n v="51"/>
    <n v="0"/>
    <n v="10"/>
    <n v="40"/>
    <n v="133"/>
    <s v="Indie Pop"/>
    <s v="12/6/2026"/>
    <s v="https://image-cdn-ak.spotifycdn.com/image/ab67616d00001e026949b83f85d782b21ce70583"/>
    <b v="0"/>
  </r>
  <r>
    <n v="843"/>
    <s v="spotify:track:4c2Pc0NrfkesPR0jff6q3F"/>
    <x v="103"/>
    <s v="KETU TeCRÉ"/>
    <s v="Rimas Entertainment LLC."/>
    <n v="24"/>
    <n v="5"/>
    <d v="1899-12-30T03:05:00"/>
    <b v="1"/>
    <n v="27"/>
    <n v="28"/>
    <n v="46"/>
    <n v="5"/>
    <n v="2"/>
    <n v="48"/>
    <n v="11"/>
    <n v="8"/>
    <n v="111"/>
    <s v="Reggaeton"/>
    <d v="2025-01-05T00:00:00"/>
    <s v="https://image-cdn-fa.spotifycdn.com/image/ab67616d00001e02bbd45c8d36e0e045ef640411"/>
    <b v="0"/>
  </r>
  <r>
    <n v="844"/>
    <s v="spotify:track:4cYllEeJVH7dWKwQxpbk42"/>
    <x v="228"/>
    <s v="The Abyss (feat. Lana Del Rey)"/>
    <s v="XO / Republic Records"/>
    <n v="67"/>
    <n v="2"/>
    <d v="1899-12-30T04:12:00"/>
    <b v="0"/>
    <n v="19"/>
    <n v="40"/>
    <n v="86"/>
    <n v="3"/>
    <n v="23"/>
    <n v="0"/>
    <n v="18"/>
    <n v="6"/>
    <n v="85"/>
    <s v="R&amp;B"/>
    <d v="2025-01-31T00:00:00"/>
    <s v="https://image-cdn-ak.spotifycdn.com/image/ab67616d00001e02460b137f921b16041901104a"/>
    <b v="0"/>
  </r>
  <r>
    <n v="844"/>
    <s v="spotify:track:4cYllEeJVH7dWKwQxpbk42"/>
    <x v="55"/>
    <s v="The Abyss (feat. Lana Del Rey)"/>
    <s v="XO / Republic Records"/>
    <n v="67"/>
    <n v="2"/>
    <d v="1899-12-30T04:12:00"/>
    <b v="0"/>
    <n v="19"/>
    <n v="40"/>
    <n v="86"/>
    <n v="3"/>
    <n v="23"/>
    <n v="0"/>
    <n v="18"/>
    <n v="6"/>
    <n v="85"/>
    <s v="R&amp;B"/>
    <d v="2025-01-31T00:00:00"/>
    <s v="https://image-cdn-ak.spotifycdn.com/image/ab67616d00001e02460b137f921b16041901104a"/>
    <b v="0"/>
  </r>
  <r>
    <n v="845"/>
    <s v="spotify:track:4cgjA7B4fJBHyB9Ya2bu0t"/>
    <x v="38"/>
    <s v="Human Nature"/>
    <s v="Epic"/>
    <n v="12"/>
    <n v="16"/>
    <d v="1899-12-30T04:06:00"/>
    <b v="0"/>
    <n v="68"/>
    <n v="68"/>
    <n v="78"/>
    <n v="5"/>
    <n v="20"/>
    <n v="0"/>
    <n v="12"/>
    <n v="72"/>
    <n v="93"/>
    <s v="Pop"/>
    <d v="1982-11-30T00:00:00"/>
    <s v="https://image-cdn-ak.spotifycdn.com/image/ab67616d00001e0232a7d87248d1b75463483df5"/>
    <b v="0"/>
  </r>
  <r>
    <n v="846"/>
    <s v="spotify:track:4ck9vo0gEmjVHWUb5q2rYe"/>
    <x v="37"/>
    <s v="The Great Divide"/>
    <s v="Mercury Records"/>
    <n v="16"/>
    <n v="6"/>
    <s v="03:48:00"/>
    <b v="0"/>
    <n v="54"/>
    <n v="46"/>
    <n v="70"/>
    <n v="4"/>
    <n v="58"/>
    <n v="0"/>
    <n v="11"/>
    <n v="36"/>
    <n v="112"/>
    <s v="Indie Folk"/>
    <s v="3/4/2026"/>
    <s v="https://image-cdn-fa.spotifycdn.com/image/ab67616d00001e02d879855b819250d3d00a1a38"/>
    <b v="0"/>
  </r>
  <r>
    <n v="847"/>
    <s v="spotify:track:4cpHvqL4dvporE8JlQwkec"/>
    <x v="26"/>
    <s v="Potential"/>
    <s v="Warner Records"/>
    <n v="172"/>
    <n v="1"/>
    <d v="1899-12-30T03:18:00"/>
    <b v="0"/>
    <n v="65"/>
    <n v="62"/>
    <n v="76"/>
    <n v="6"/>
    <n v="35"/>
    <n v="0"/>
    <n v="11"/>
    <n v="45"/>
    <n v="95"/>
    <s v="Indie Pop"/>
    <d v="2024-08-09T00:00:00"/>
    <s v="https://image-cdn-ak.spotifycdn.com/image/ab67616d00001e02268a4941736e3d24630266e9"/>
    <b v="0"/>
  </r>
  <r>
    <n v="848"/>
    <s v="spotify:track:4cwyp1aL1q3LfGCteqe8tL"/>
    <x v="53"/>
    <s v="PIMMIE'S DILEMMA"/>
    <s v="OVO Sound"/>
    <n v="170"/>
    <n v="1"/>
    <s v="03:18:00"/>
    <b v="0"/>
    <n v="70"/>
    <n v="51"/>
    <n v="70"/>
    <n v="14"/>
    <n v="42"/>
    <n v="0"/>
    <n v="11"/>
    <n v="43"/>
    <n v="116"/>
    <s v="R&amp;B"/>
    <s v="27/6/2025"/>
    <s v="https://image-cdn-ak.spotifycdn.com/image/ab67616d00001e0297ff4f3444787c0dd8660eb3"/>
    <b v="0"/>
  </r>
  <r>
    <n v="848"/>
    <s v="spotify:track:4cwyp1aL1q3LfGCteqe8tL"/>
    <x v="54"/>
    <s v="PIMMIE'S DILEMMA"/>
    <s v="OVO Sound"/>
    <n v="170"/>
    <n v="1"/>
    <s v="03:18:00"/>
    <b v="0"/>
    <n v="70"/>
    <n v="51"/>
    <n v="70"/>
    <n v="14"/>
    <n v="42"/>
    <n v="0"/>
    <n v="11"/>
    <n v="43"/>
    <n v="116"/>
    <s v="R&amp;B"/>
    <s v="27/6/2025"/>
    <s v="https://image-cdn-ak.spotifycdn.com/image/ab67616d00001e0297ff4f3444787c0dd8660eb3"/>
    <b v="0"/>
  </r>
  <r>
    <n v="848"/>
    <s v="spotify:track:4cwyp1aL1q3LfGCteqe8tL"/>
    <x v="604"/>
    <s v="PIMMIE'S DILEMMA"/>
    <s v="OVO Sound"/>
    <n v="170"/>
    <n v="1"/>
    <s v="03:18:00"/>
    <b v="0"/>
    <n v="70"/>
    <n v="51"/>
    <n v="70"/>
    <n v="14"/>
    <n v="42"/>
    <n v="0"/>
    <n v="11"/>
    <n v="43"/>
    <n v="116"/>
    <s v="R&amp;B"/>
    <s v="27/6/2025"/>
    <s v="https://image-cdn-ak.spotifycdn.com/image/ab67616d00001e0297ff4f3444787c0dd8660eb3"/>
    <b v="0"/>
  </r>
  <r>
    <n v="849"/>
    <s v="spotify:track:4dF08DjAjgactxNnsjRod6"/>
    <x v="216"/>
    <s v="Bandida"/>
    <s v="Kartel Music"/>
    <n v="108"/>
    <n v="4"/>
    <d v="1899-12-30T03:05:00"/>
    <b v="1"/>
    <n v="75"/>
    <n v="73"/>
    <n v="90"/>
    <n v="4"/>
    <n v="41"/>
    <n v="0"/>
    <n v="25"/>
    <n v="68"/>
    <n v="118"/>
    <s v="Regional Mexicano"/>
    <d v="2025-05-16T00:00:00"/>
    <s v="https://image-cdn-ak.spotifycdn.com/image/ab67616d00001e022af7247a8f6f33d5a381b6c8"/>
    <b v="0"/>
  </r>
  <r>
    <n v="849"/>
    <s v="spotify:track:4dF08DjAjgactxNnsjRod6"/>
    <x v="61"/>
    <s v="Bandida"/>
    <s v="Kartel Music"/>
    <n v="108"/>
    <n v="4"/>
    <d v="1899-12-30T03:05:00"/>
    <b v="1"/>
    <n v="75"/>
    <n v="73"/>
    <n v="90"/>
    <n v="4"/>
    <n v="41"/>
    <n v="0"/>
    <n v="25"/>
    <n v="68"/>
    <n v="118"/>
    <s v="Regional Mexicano"/>
    <d v="2025-05-16T00:00:00"/>
    <s v="https://image-cdn-ak.spotifycdn.com/image/ab67616d00001e022af7247a8f6f33d5a381b6c8"/>
    <b v="0"/>
  </r>
  <r>
    <n v="851"/>
    <s v="spotify:track:4e6TmHCC4PRUj75knNplNP"/>
    <x v="605"/>
    <s v="Mangu"/>
    <s v="Fourtwnty Music"/>
    <n v="10"/>
    <n v="15"/>
    <d v="1899-12-30T03:48:00"/>
    <b v="0"/>
    <n v="53"/>
    <n v="33"/>
    <n v="87"/>
    <n v="2"/>
    <n v="60"/>
    <n v="0"/>
    <n v="28"/>
    <n v="18"/>
    <n v="94"/>
    <s v="Indie Pop"/>
    <d v="2025-02-14T00:00:00"/>
    <s v="https://image-cdn-ak.spotifycdn.com/image/ab67616d00001e0232ab17f5515e51490841f648"/>
    <b v="0"/>
  </r>
  <r>
    <n v="851"/>
    <s v="spotify:track:4e6TmHCC4PRUj75knNplNP"/>
    <x v="606"/>
    <s v="Mangu"/>
    <s v="Fourtwnty Music"/>
    <n v="10"/>
    <n v="15"/>
    <d v="1899-12-30T03:48:00"/>
    <b v="0"/>
    <n v="53"/>
    <n v="33"/>
    <n v="87"/>
    <n v="2"/>
    <n v="60"/>
    <n v="0"/>
    <n v="28"/>
    <n v="18"/>
    <n v="94"/>
    <s v="Indie Pop"/>
    <d v="2025-02-14T00:00:00"/>
    <s v="https://image-cdn-ak.spotifycdn.com/image/ab67616d00001e0232ab17f5515e51490841f648"/>
    <b v="0"/>
  </r>
  <r>
    <n v="852"/>
    <s v="spotify:track:4e76Ss3ji7HQZ4qwcPNkNA"/>
    <x v="60"/>
    <s v="MIENTRAS DUERMES"/>
    <s v="WEA Latina"/>
    <n v="134"/>
    <n v="17"/>
    <d v="1899-12-30T03:05:00"/>
    <b v="1"/>
    <n v="75"/>
    <n v="64"/>
    <n v="89"/>
    <n v="4"/>
    <n v="25"/>
    <n v="0"/>
    <n v="10"/>
    <n v="92"/>
    <n v="125"/>
    <s v="Regional Mexicano"/>
    <d v="2025-03-14T00:00:00"/>
    <s v="https://image-cdn-ak.spotifycdn.com/image/ab67616d00001e02ef88ad49166e31598ff7d4d0"/>
    <b v="0"/>
  </r>
  <r>
    <n v="853"/>
    <s v="spotify:track:4eE16RJFDKf2WxBTqqfylu"/>
    <x v="53"/>
    <s v="Dust"/>
    <s v="OVO/Republic"/>
    <n v="12"/>
    <n v="2"/>
    <s v="03:18:00"/>
    <b v="1"/>
    <n v="65"/>
    <n v="46"/>
    <n v="69"/>
    <n v="40"/>
    <n v="63"/>
    <n v="0"/>
    <n v="12"/>
    <n v="21"/>
    <n v="85"/>
    <s v="Hip-Hop/Rap"/>
    <s v="22/5/2026"/>
    <s v="https://image-cdn-ak.spotifycdn.com/image/ab67616d00001e02fe9d3ab9adb1d3b59835b81c"/>
    <b v="0"/>
  </r>
  <r>
    <n v="854"/>
    <s v="spotify:track:4eLDmhsJW3JoZTXCAozHor"/>
    <x v="30"/>
    <s v="Loco"/>
    <s v="Josa Records"/>
    <n v="16"/>
    <n v="26"/>
    <d v="1899-12-30T03:05:00"/>
    <b v="0"/>
    <n v="85"/>
    <n v="71"/>
    <n v="91"/>
    <n v="7"/>
    <n v="7"/>
    <n v="1"/>
    <n v="14"/>
    <n v="63"/>
    <n v="92"/>
    <s v="Regional Mexicano"/>
    <d v="2025-03-14T00:00:00"/>
    <s v="https://image-cdn-ak.spotifycdn.com/image/ab67616d00001e025c0540f97b3f95e387a9b58e"/>
    <b v="0"/>
  </r>
  <r>
    <n v="855"/>
    <s v="spotify:track:4ek0oGBCJal4Gxz8zEnMjn"/>
    <x v="607"/>
    <s v="iloveitiloveitiloveit"/>
    <s v="2026 Bella Kay"/>
    <n v="15"/>
    <n v="23"/>
    <s v="02:48:00"/>
    <b v="0"/>
    <n v="66"/>
    <n v="58"/>
    <n v="72"/>
    <n v="6"/>
    <n v="36"/>
    <n v="0"/>
    <n v="14"/>
    <n v="54"/>
    <n v="124"/>
    <s v="Pop"/>
    <s v="6/3/2026"/>
    <s v="https://image-cdn-ak.spotifycdn.com/image/ab67616d00001e02c87a43601aa7a2f54c41a73c"/>
    <b v="0"/>
  </r>
  <r>
    <n v="856"/>
    <s v="spotify:track:4evMMKc2HD6fV9slMfgkMx"/>
    <x v="1"/>
    <s v="TOXIC (with Skepta)"/>
    <s v="AWGE/Interscope Records"/>
    <n v="38"/>
    <n v="1"/>
    <d v="1899-12-30T02:48:00"/>
    <b v="1"/>
    <n v="86"/>
    <n v="64"/>
    <n v="90"/>
    <n v="20"/>
    <n v="0"/>
    <n v="0"/>
    <n v="9"/>
    <n v="43"/>
    <n v="142"/>
    <s v="Hip-Hop/Rap"/>
    <d v="2025-03-14T00:00:00"/>
    <s v="https://image-cdn-fa.spotifycdn.com/image/ab67616d00001e026b219c8d8462bfe254a20469"/>
    <b v="0"/>
  </r>
  <r>
    <n v="856"/>
    <s v="spotify:track:4evMMKc2HD6fV9slMfgkMx"/>
    <x v="304"/>
    <s v="TOXIC (with Skepta)"/>
    <s v="AWGE/Interscope Records"/>
    <n v="38"/>
    <n v="1"/>
    <d v="1899-12-30T02:48:00"/>
    <b v="1"/>
    <n v="86"/>
    <n v="64"/>
    <n v="90"/>
    <n v="20"/>
    <n v="0"/>
    <n v="0"/>
    <n v="9"/>
    <n v="43"/>
    <n v="142"/>
    <s v="Hip-Hop/Rap"/>
    <d v="2025-03-14T00:00:00"/>
    <s v="https://image-cdn-fa.spotifycdn.com/image/ab67616d00001e026b219c8d8462bfe254a20469"/>
    <b v="0"/>
  </r>
  <r>
    <n v="857"/>
    <s v="spotify:track:4fEUmNN8KK5sNqvKjBstKg"/>
    <x v="37"/>
    <s v="End of August"/>
    <s v="Mercury Records"/>
    <n v="48"/>
    <n v="2"/>
    <s v="03:48:00"/>
    <b v="0"/>
    <n v="52"/>
    <n v="40"/>
    <n v="69"/>
    <n v="5"/>
    <n v="64"/>
    <n v="0"/>
    <n v="14"/>
    <n v="30"/>
    <n v="94"/>
    <s v="Indie Folk"/>
    <s v="3/4/2026"/>
    <s v="https://image-cdn-ak.spotifycdn.com/image/ab67616d00001e02d879855b819250d3d00a1a38"/>
    <b v="0"/>
  </r>
  <r>
    <n v="858"/>
    <s v="spotify:track:4fUK2q5ERoi97E3g2kwB8c"/>
    <x v="608"/>
    <s v="NOW OR NEVER"/>
    <s v="Timing Is Everything Ent"/>
    <n v="79"/>
    <n v="6"/>
    <s v="02:48:00"/>
    <b v="1"/>
    <n v="75"/>
    <n v="78"/>
    <n v="75"/>
    <n v="8"/>
    <n v="12"/>
    <n v="0"/>
    <n v="19"/>
    <n v="62"/>
    <n v="142"/>
    <s v="Hip-Hop/Rap"/>
    <s v="13/6/2025"/>
    <s v="https://image-cdn-ak.spotifycdn.com/image/ab67616d00001e02a48007fbc868feaa0ce50011"/>
    <b v="0"/>
  </r>
  <r>
    <n v="858"/>
    <s v="spotify:track:4fUK2q5ERoi97E3g2kwB8c"/>
    <x v="609"/>
    <s v="NOW OR NEVER"/>
    <s v="Timing Is Everything Ent"/>
    <n v="79"/>
    <n v="6"/>
    <s v="02:48:00"/>
    <b v="1"/>
    <n v="75"/>
    <n v="78"/>
    <n v="75"/>
    <n v="8"/>
    <n v="12"/>
    <n v="0"/>
    <n v="19"/>
    <n v="62"/>
    <n v="142"/>
    <s v="Hip-Hop/Rap"/>
    <s v="13/6/2025"/>
    <s v="https://image-cdn-ak.spotifycdn.com/image/ab67616d00001e02a48007fbc868feaa0ce50011"/>
    <b v="0"/>
  </r>
  <r>
    <n v="859"/>
    <s v="spotify:track:4fzyvSu73BhGvi96p2zwjL"/>
    <x v="40"/>
    <s v="Christmas Lights"/>
    <s v="Parlophone UK"/>
    <n v="61"/>
    <n v="20"/>
    <d v="1899-12-30T04:02:00"/>
    <b v="0"/>
    <n v="55"/>
    <n v="55"/>
    <n v="74"/>
    <n v="4"/>
    <n v="45"/>
    <n v="0"/>
    <n v="14"/>
    <n v="72"/>
    <n v="120"/>
    <s v="Christmas"/>
    <d v="2010-12-01T00:00:00"/>
    <s v="https://image-cdn-ak.spotifycdn.com/image/ab67616d00001e025f30d36db3dd22681531d1da"/>
    <b v="1"/>
  </r>
  <r>
    <n v="860"/>
    <s v="spotify:track:4gfrYDtaRmp6HPvN80V2ob"/>
    <x v="11"/>
    <s v="I Got Better"/>
    <s v="Big Loud Records / Mercury Records / Republic Records"/>
    <n v="98"/>
    <n v="4"/>
    <d v="1899-12-30T03:18:00"/>
    <b v="0"/>
    <n v="62"/>
    <n v="68"/>
    <n v="78"/>
    <n v="6"/>
    <n v="25"/>
    <n v="0"/>
    <n v="11"/>
    <n v="50"/>
    <n v="100"/>
    <s v="Country"/>
    <d v="2025-05-16T00:00:00"/>
    <s v="https://image-cdn-ak.spotifycdn.com/image/ab67616d00001e0235ea219ce47813b5e2dc3745"/>
    <b v="0"/>
  </r>
  <r>
    <n v="861"/>
    <s v="spotify:track:4gxEY3Mh5FZZDAJAKPNrCS"/>
    <x v="340"/>
    <s v="CRAZY"/>
    <s v="SOURCE MUSIC"/>
    <n v="58"/>
    <n v="9"/>
    <d v="1899-12-30T02:48:00"/>
    <b v="0"/>
    <n v="80"/>
    <n v="90"/>
    <n v="96"/>
    <n v="13"/>
    <n v="1"/>
    <n v="0"/>
    <n v="10"/>
    <n v="53"/>
    <n v="130"/>
    <s v="K-Pop"/>
    <d v="2024-08-30T00:00:00"/>
    <s v="https://image-cdn-ak.spotifycdn.com/image/ab67616d00001e0231cc95b28680b61772da876f"/>
    <b v="0"/>
  </r>
  <r>
    <n v="862"/>
    <s v="spotify:track:4hnzXzE7JiU5QAZFF9OUsI"/>
    <x v="492"/>
    <s v="What Christmas Means to Me (feat. Stevie Wonder)"/>
    <s v="Columbia/Legacy"/>
    <n v="199"/>
    <n v="1"/>
    <d v="1899-12-30T02:48:00"/>
    <b v="0"/>
    <n v="68"/>
    <n v="68"/>
    <n v="78"/>
    <n v="5"/>
    <n v="25"/>
    <n v="0"/>
    <n v="14"/>
    <n v="82"/>
    <n v="120"/>
    <s v="Christmas"/>
    <d v="2006-10-24T00:00:00"/>
    <s v="https://image-cdn-ak.spotifycdn.com/image/ab67616d00001e028f948a5ae6aff8fd9f800d70"/>
    <b v="1"/>
  </r>
  <r>
    <n v="862"/>
    <s v="spotify:track:4hnzXzE7JiU5QAZFF9OUsI"/>
    <x v="610"/>
    <s v="What Christmas Means to Me (feat. Stevie Wonder)"/>
    <s v="Columbia/Legacy"/>
    <n v="199"/>
    <n v="1"/>
    <d v="1899-12-30T02:48:00"/>
    <b v="0"/>
    <n v="68"/>
    <n v="68"/>
    <n v="78"/>
    <n v="5"/>
    <n v="25"/>
    <n v="0"/>
    <n v="14"/>
    <n v="82"/>
    <n v="120"/>
    <s v="Christmas"/>
    <d v="2006-10-24T00:00:00"/>
    <s v="https://image-cdn-ak.spotifycdn.com/image/ab67616d00001e028f948a5ae6aff8fd9f800d70"/>
    <b v="1"/>
  </r>
  <r>
    <n v="863"/>
    <s v="spotify:track:4i4BVY2JiH4mDSLIBdNGKD"/>
    <x v="39"/>
    <s v="On My Soul"/>
    <s v="Atlantic Records"/>
    <n v="100"/>
    <n v="1"/>
    <s v="03:05:00"/>
    <b v="0"/>
    <n v="68"/>
    <n v="63"/>
    <n v="73"/>
    <n v="5"/>
    <n v="38"/>
    <n v="0"/>
    <n v="13"/>
    <n v="56"/>
    <n v="100"/>
    <s v="Pop"/>
    <s v="12/9/2025"/>
    <s v="https://image-cdn-fa.spotifycdn.com/image/ab67616d00001e023eb8dc748f7efb1470f74395"/>
    <b v="0"/>
  </r>
  <r>
    <n v="864"/>
    <s v="spotify:track:4iZ4pt7kvcaH6Yo8UoZ4s2"/>
    <x v="20"/>
    <s v="Snooze"/>
    <s v="Top Dawg Entertainment/RCA Records"/>
    <n v="27"/>
    <n v="125"/>
    <d v="1899-12-30T03:21:00"/>
    <b v="1"/>
    <n v="56"/>
    <n v="55"/>
    <n v="88"/>
    <n v="13"/>
    <n v="14"/>
    <n v="0"/>
    <n v="11"/>
    <n v="39"/>
    <n v="143"/>
    <s v="R&amp;B"/>
    <d v="2022-12-09T00:00:00"/>
    <s v="https://image-cdn-fa.spotifycdn.com/image/ab67616d00001e02bc18bdade69ec5ef0bb25b17"/>
    <b v="0"/>
  </r>
  <r>
    <n v="866"/>
    <s v="spotify:track:4jiOgEp2ZPjzoUF5DxaOjG"/>
    <x v="512"/>
    <s v="Training Season (Live from the Royal Albert Hall)"/>
    <s v="Warner Records"/>
    <n v="143"/>
    <n v="4"/>
    <d v="1899-12-30T04:12:00"/>
    <b v="0"/>
    <n v="81"/>
    <n v="59"/>
    <n v="93"/>
    <n v="5"/>
    <n v="3"/>
    <n v="0"/>
    <n v="12"/>
    <n v="66"/>
    <n v="123"/>
    <s v="Dance Pop"/>
    <d v="2024-11-22T00:00:00"/>
    <s v="https://image-cdn-fa.spotifycdn.com/image/ab67616d00001e0287bcc972503c59ab023130b4"/>
    <b v="0"/>
  </r>
  <r>
    <n v="867"/>
    <s v="spotify:track:4jnFqNWeJCeCRHc4HCdxfd"/>
    <x v="38"/>
    <s v="Remember the Time"/>
    <s v="Epic/Legacy"/>
    <n v="150"/>
    <n v="3"/>
    <d v="1899-12-30T04:00:00"/>
    <b v="0"/>
    <n v="83"/>
    <n v="92"/>
    <n v="96"/>
    <n v="6"/>
    <n v="15"/>
    <n v="0"/>
    <n v="30"/>
    <n v="80"/>
    <n v="108"/>
    <s v="R&amp;B"/>
    <d v="1992-01-14T00:00:00"/>
    <s v="https://image-cdn-ak.spotifycdn.com/image/ab67616d00001e02bf4cf0f48b94d0c8297b751a"/>
    <b v="0"/>
  </r>
  <r>
    <n v="868"/>
    <s v="spotify:track:4k3xDpAdBuM17mNNHhOZkK"/>
    <x v="611"/>
    <s v="nuts"/>
    <s v="Death Note Music, LLC"/>
    <n v="111"/>
    <n v="5"/>
    <d v="1899-12-30T02:48:00"/>
    <b v="1"/>
    <n v="51"/>
    <n v="74"/>
    <n v="88"/>
    <n v="4"/>
    <n v="1"/>
    <n v="0"/>
    <n v="11"/>
    <n v="15"/>
    <n v="62"/>
    <s v="Emo Rap"/>
    <d v="2016-09-25T00:00:00"/>
    <s v="https://image-cdn-ak.spotifycdn.com/image/ab67616d00001e02254820046b555c7751e67f76"/>
    <b v="0"/>
  </r>
  <r>
    <n v="868"/>
    <s v="spotify:track:4k3xDpAdBuM17mNNHhOZkK"/>
    <x v="612"/>
    <s v="nuts"/>
    <s v="Death Note Music, LLC"/>
    <n v="111"/>
    <n v="5"/>
    <d v="1899-12-30T02:48:00"/>
    <b v="1"/>
    <n v="51"/>
    <n v="74"/>
    <n v="88"/>
    <n v="4"/>
    <n v="1"/>
    <n v="0"/>
    <n v="11"/>
    <n v="15"/>
    <n v="62"/>
    <s v="Emo Rap"/>
    <d v="2016-09-25T00:00:00"/>
    <s v="https://image-cdn-ak.spotifycdn.com/image/ab67616d00001e02254820046b555c7751e67f76"/>
    <b v="0"/>
  </r>
  <r>
    <n v="869"/>
    <s v="spotify:track:4kKdvXD0ez7jp1296JmAts"/>
    <x v="613"/>
    <s v="Let It Snow! Let It Snow! Let It Snow! (with The B. Swanson Quartet)"/>
    <s v="Columbia/Legacy"/>
    <n v="19"/>
    <n v="44"/>
    <d v="1899-12-30T02:36:00"/>
    <b v="0"/>
    <n v="52"/>
    <n v="50"/>
    <n v="72"/>
    <n v="3"/>
    <n v="55"/>
    <n v="0"/>
    <n v="15"/>
    <n v="75"/>
    <n v="120"/>
    <s v="Christmas"/>
    <d v="1950-11-01T00:00:00"/>
    <s v="https://image-cdn-fa.spotifycdn.com/image/ab67616d00001e029457e3a848ca8bc8270f6057"/>
    <b v="1"/>
  </r>
  <r>
    <n v="869"/>
    <s v="spotify:track:4kKdvXD0ez7jp1296JmAts"/>
    <x v="360"/>
    <s v="Let It Snow! Let It Snow! Let It Snow! (with The B. Swanson Quartet)"/>
    <s v="Columbia/Legacy"/>
    <n v="19"/>
    <n v="44"/>
    <d v="1899-12-30T02:36:00"/>
    <b v="0"/>
    <n v="52"/>
    <n v="50"/>
    <n v="72"/>
    <n v="3"/>
    <n v="55"/>
    <n v="0"/>
    <n v="15"/>
    <n v="75"/>
    <n v="120"/>
    <s v="Christmas"/>
    <d v="1950-11-01T00:00:00"/>
    <s v="https://image-cdn-fa.spotifycdn.com/image/ab67616d00001e029457e3a848ca8bc8270f6057"/>
    <b v="1"/>
  </r>
  <r>
    <n v="870"/>
    <s v="spotify:track:4kLLWz7srcuLKA7Et40PQR"/>
    <x v="397"/>
    <s v="I Gotta Feeling"/>
    <s v="Interscope"/>
    <n v="118"/>
    <n v="25"/>
    <d v="1899-12-30T04:49:00"/>
    <b v="0"/>
    <n v="74"/>
    <n v="77"/>
    <n v="89"/>
    <n v="3"/>
    <n v="9"/>
    <n v="0"/>
    <n v="51"/>
    <n v="61"/>
    <n v="128"/>
    <s v="Dance Pop"/>
    <d v="2009-06-09T00:00:00"/>
    <s v="https://image-cdn-ak.spotifycdn.com/image/ab67616d00001e020bd44f5ff9ecc99f7770acc5"/>
    <b v="0"/>
  </r>
  <r>
    <n v="871"/>
    <s v="spotify:track:4kX7xkopoXZCfE1D6fNwl2"/>
    <x v="133"/>
    <s v="honeybee"/>
    <s v="Olivia Rodrigo PS"/>
    <n v="6"/>
    <n v="16"/>
    <s v="03:05:00"/>
    <b v="0"/>
    <n v="70"/>
    <n v="56"/>
    <n v="72"/>
    <n v="5"/>
    <n v="39"/>
    <n v="0"/>
    <n v="14"/>
    <n v="58"/>
    <n v="133"/>
    <s v="Indie Pop"/>
    <s v="12/6/2026"/>
    <s v="https://image-cdn-ak.spotifycdn.com/image/ab67616d00001e026949b83f85d782b21ce70583"/>
    <b v="0"/>
  </r>
  <r>
    <n v="872"/>
    <s v="spotify:track:4kbkYbhWNiSJraySknB4hD"/>
    <x v="614"/>
    <s v="Baller"/>
    <s v="Jive"/>
    <n v="145"/>
    <n v="1"/>
    <d v="1899-12-30T03:05:00"/>
    <b v="0"/>
    <n v="73"/>
    <n v="84"/>
    <n v="93"/>
    <n v="6"/>
    <n v="6"/>
    <n v="0"/>
    <n v="20"/>
    <n v="83"/>
    <n v="138"/>
    <s v="Pop"/>
    <d v="2025-05-16T00:00:00"/>
    <s v="https://image-cdn-ak.spotifycdn.com/image/ab67616d00001e02c62cf08cee6bff48127078ea"/>
    <b v="0"/>
  </r>
  <r>
    <n v="873"/>
    <s v="spotify:track:4lLtanYk6tkMvooU0tWzG8"/>
    <x v="39"/>
    <s v="Grenade"/>
    <s v="Elektra (NEK)"/>
    <n v="90"/>
    <n v="7"/>
    <d v="1899-12-30T03:42:00"/>
    <b v="0"/>
    <n v="70"/>
    <n v="56"/>
    <n v="88"/>
    <n v="5"/>
    <n v="15"/>
    <n v="0"/>
    <n v="11"/>
    <n v="24"/>
    <n v="110"/>
    <s v="Pop"/>
    <d v="2010-09-28T00:00:00"/>
    <s v="https://image-cdn-ak.spotifycdn.com/image/ab67616d00001e028a9eb5a1f701d1d367a5ea10"/>
    <b v="0"/>
  </r>
  <r>
    <n v="874"/>
    <s v="spotify:track:4lzo6zPM2paqyP8oBp3DOs"/>
    <x v="61"/>
    <s v="7-3"/>
    <s v="Double P Records"/>
    <n v="42"/>
    <n v="16"/>
    <d v="1899-12-30T03:05:00"/>
    <b v="1"/>
    <n v="78"/>
    <n v="74"/>
    <n v="80"/>
    <n v="10"/>
    <n v="15"/>
    <n v="0"/>
    <n v="12"/>
    <n v="58"/>
    <n v="108"/>
    <s v="Regional Mexicano"/>
    <d v="2025-04-18T00:00:00"/>
    <s v="https://image-cdn-ak.spotifycdn.com/image/ab67616d00001e02a9e6a250ea86a8f387873ef9"/>
    <b v="0"/>
  </r>
  <r>
    <n v="874"/>
    <s v="spotify:track:4lzo6zPM2paqyP8oBp3DOs"/>
    <x v="31"/>
    <s v="7-3"/>
    <s v="Double P Records"/>
    <n v="42"/>
    <n v="16"/>
    <d v="1899-12-30T03:05:00"/>
    <b v="1"/>
    <n v="78"/>
    <n v="74"/>
    <n v="80"/>
    <n v="10"/>
    <n v="15"/>
    <n v="0"/>
    <n v="12"/>
    <n v="58"/>
    <n v="108"/>
    <s v="Regional Mexicano"/>
    <d v="2025-04-18T00:00:00"/>
    <s v="https://image-cdn-ak.spotifycdn.com/image/ab67616d00001e02a9e6a250ea86a8f387873ef9"/>
    <b v="0"/>
  </r>
  <r>
    <n v="875"/>
    <s v="spotify:track:4mUR5Tv0CvJtpmnUtzeIgd"/>
    <x v="10"/>
    <s v="Garden Of Eden"/>
    <s v="Interscope Records"/>
    <n v="32"/>
    <n v="2"/>
    <d v="1899-12-30T03:05:00"/>
    <b v="0"/>
    <n v="67"/>
    <n v="91"/>
    <n v="93"/>
    <n v="3"/>
    <n v="0"/>
    <n v="0"/>
    <n v="13"/>
    <n v="61"/>
    <n v="125"/>
    <s v="Pop"/>
    <d v="2025-03-07T00:00:00"/>
    <s v="https://image-cdn-ak.spotifycdn.com/image/ab67616d00001e02b0860cf0a98e09663c82290c"/>
    <b v="0"/>
  </r>
  <r>
    <n v="876"/>
    <s v="spotify:track:4nTjkWK590oBDcnIxTr1mI"/>
    <x v="2"/>
    <s v="Favorite Girl"/>
    <s v="RBMG/Def Jam"/>
    <n v="81"/>
    <n v="3"/>
    <d v="1899-12-30T03:35:00"/>
    <b v="0"/>
    <n v="58"/>
    <n v="68"/>
    <n v="93"/>
    <n v="4"/>
    <n v="5"/>
    <n v="0"/>
    <n v="10"/>
    <n v="63"/>
    <n v="176"/>
    <s v="Pop"/>
    <d v="2009-11-17T00:00:00"/>
    <s v="https://image-cdn-ak.spotifycdn.com/image/ab67616d00001e027c3bb9f74a98f60bdda6c9a7"/>
    <b v="0"/>
  </r>
  <r>
    <n v="877"/>
    <s v="spotify:track:4oB8Xd7gMlUEtWoD8bmCXW"/>
    <x v="30"/>
    <s v="Morena"/>
    <s v="Josa Records"/>
    <n v="25"/>
    <n v="33"/>
    <d v="1899-12-30T03:05:00"/>
    <b v="0"/>
    <n v="70"/>
    <n v="78"/>
    <n v="88"/>
    <n v="3"/>
    <n v="38"/>
    <n v="0"/>
    <n v="34"/>
    <n v="19"/>
    <n v="118"/>
    <s v="Regional Mexicano"/>
    <d v="2025-03-14T00:00:00"/>
    <s v="https://image-cdn-fa.spotifycdn.com/image/ab67616d00001e025c0540f97b3f95e387a9b58e"/>
    <b v="0"/>
  </r>
  <r>
    <n v="877"/>
    <s v="spotify:track:4oB8Xd7gMlUEtWoD8bmCXW"/>
    <x v="61"/>
    <s v="Morena"/>
    <s v="Josa Records"/>
    <n v="25"/>
    <n v="33"/>
    <d v="1899-12-30T03:05:00"/>
    <b v="0"/>
    <n v="70"/>
    <n v="78"/>
    <n v="88"/>
    <n v="3"/>
    <n v="38"/>
    <n v="0"/>
    <n v="34"/>
    <n v="19"/>
    <n v="118"/>
    <s v="Regional Mexicano"/>
    <d v="2025-03-14T00:00:00"/>
    <s v="https://image-cdn-fa.spotifycdn.com/image/ab67616d00001e025c0540f97b3f95e387a9b58e"/>
    <b v="0"/>
  </r>
  <r>
    <n v="878"/>
    <s v="spotify:track:4oVO4fGNRRvEn0CRuFO4qv"/>
    <x v="147"/>
    <s v="La Perla"/>
    <s v="Columbia"/>
    <n v="7"/>
    <n v="16"/>
    <s v="03:18:00"/>
    <b v="0"/>
    <n v="67"/>
    <n v="52"/>
    <n v="71"/>
    <n v="5"/>
    <n v="50"/>
    <n v="0"/>
    <n v="11"/>
    <n v="64"/>
    <n v="130"/>
    <s v="Flamenco"/>
    <s v="7/11/2025"/>
    <s v="https://image-cdn-fa.spotifycdn.com/image/ab67616d00001e0293ee2e2f2dfb7de9befcc164"/>
    <b v="0"/>
  </r>
  <r>
    <n v="878"/>
    <s v="spotify:track:4oVO4fGNRRvEn0CRuFO4qv"/>
    <x v="615"/>
    <s v="La Perla"/>
    <s v="Columbia"/>
    <n v="7"/>
    <n v="16"/>
    <s v="03:18:00"/>
    <b v="0"/>
    <n v="67"/>
    <n v="52"/>
    <n v="71"/>
    <n v="5"/>
    <n v="50"/>
    <n v="0"/>
    <n v="11"/>
    <n v="64"/>
    <n v="130"/>
    <s v="Flamenco"/>
    <s v="7/11/2025"/>
    <s v="https://image-cdn-fa.spotifycdn.com/image/ab67616d00001e0293ee2e2f2dfb7de9befcc164"/>
    <b v="0"/>
  </r>
  <r>
    <n v="879"/>
    <s v="spotify:track:4oahRRZECfGud6eL7Lj7CO"/>
    <x v="55"/>
    <s v="Opening Night"/>
    <s v="XO / Republic Records"/>
    <n v="113"/>
    <n v="1"/>
    <d v="1899-12-30T04:12:00"/>
    <b v="0"/>
    <n v="41"/>
    <n v="64"/>
    <n v="86"/>
    <n v="12"/>
    <n v="4"/>
    <n v="10"/>
    <n v="38"/>
    <n v="51"/>
    <n v="180"/>
    <s v="R&amp;B"/>
    <d v="2025-01-31T00:00:00"/>
    <s v="https://image-cdn-ak.spotifycdn.com/image/ab67616d00001e02460b137f921b16041901104a"/>
    <b v="0"/>
  </r>
  <r>
    <n v="880"/>
    <s v="spotify:track:4pNzBbGcqXofx8mLBPTeih"/>
    <x v="616"/>
    <s v="Killah (feat. Gesaffelstein)"/>
    <s v="Interscope Records"/>
    <n v="142"/>
    <n v="1"/>
    <d v="1899-12-30T03:05:00"/>
    <b v="1"/>
    <n v="66"/>
    <n v="91"/>
    <n v="92"/>
    <n v="5"/>
    <n v="1"/>
    <n v="0"/>
    <n v="12"/>
    <n v="52"/>
    <n v="94"/>
    <s v="Pop"/>
    <d v="2025-03-07T00:00:00"/>
    <s v="https://image-cdn-ak.spotifycdn.com/image/ab67616d00001e02b0860cf0a98e09663c82290c"/>
    <b v="0"/>
  </r>
  <r>
    <n v="880"/>
    <s v="spotify:track:4pNzBbGcqXofx8mLBPTeih"/>
    <x v="10"/>
    <s v="Killah (feat. Gesaffelstein)"/>
    <s v="Interscope Records"/>
    <n v="142"/>
    <n v="1"/>
    <d v="1899-12-30T03:05:00"/>
    <b v="1"/>
    <n v="66"/>
    <n v="91"/>
    <n v="92"/>
    <n v="5"/>
    <n v="1"/>
    <n v="0"/>
    <n v="12"/>
    <n v="52"/>
    <n v="94"/>
    <s v="Pop"/>
    <d v="2025-03-07T00:00:00"/>
    <s v="https://image-cdn-ak.spotifycdn.com/image/ab67616d00001e02b0860cf0a98e09663c82290c"/>
    <b v="0"/>
  </r>
  <r>
    <n v="881"/>
    <s v="spotify:track:4pOGEJRVOuaa9oyy7qTGf6"/>
    <x v="617"/>
    <s v="Fui Mlk"/>
    <s v="WMD"/>
    <n v="103"/>
    <n v="8"/>
    <d v="1899-12-30T02:28:00"/>
    <b v="0"/>
    <n v="64"/>
    <n v="64"/>
    <n v="94"/>
    <n v="31"/>
    <n v="64"/>
    <n v="0"/>
    <n v="32"/>
    <n v="69"/>
    <n v="129"/>
    <s v="Funk Brasileiro"/>
    <d v="2025-04-18T00:00:00"/>
    <s v="https://image-cdn-ak.spotifycdn.com/image/ab67616d00001e0247cbd521916fc422be1a5c9a"/>
    <b v="0"/>
  </r>
  <r>
    <n v="881"/>
    <s v="spotify:track:4pOGEJRVOuaa9oyy7qTGf6"/>
    <x v="618"/>
    <s v="Fui Mlk"/>
    <s v="WMD"/>
    <n v="103"/>
    <n v="8"/>
    <d v="1899-12-30T02:28:00"/>
    <b v="0"/>
    <n v="64"/>
    <n v="64"/>
    <n v="94"/>
    <n v="31"/>
    <n v="64"/>
    <n v="0"/>
    <n v="32"/>
    <n v="69"/>
    <n v="129"/>
    <s v="Funk Brasileiro"/>
    <d v="2025-04-18T00:00:00"/>
    <s v="https://image-cdn-ak.spotifycdn.com/image/ab67616d00001e0247cbd521916fc422be1a5c9a"/>
    <b v="0"/>
  </r>
  <r>
    <n v="881"/>
    <s v="spotify:track:4pOGEJRVOuaa9oyy7qTGf6"/>
    <x v="619"/>
    <s v="Fui Mlk"/>
    <s v="WMD"/>
    <n v="103"/>
    <n v="8"/>
    <d v="1899-12-30T02:28:00"/>
    <b v="0"/>
    <n v="64"/>
    <n v="64"/>
    <n v="94"/>
    <n v="31"/>
    <n v="64"/>
    <n v="0"/>
    <n v="32"/>
    <n v="69"/>
    <n v="129"/>
    <s v="Funk Brasileiro"/>
    <d v="2025-04-18T00:00:00"/>
    <s v="https://image-cdn-ak.spotifycdn.com/image/ab67616d00001e0247cbd521916fc422be1a5c9a"/>
    <b v="0"/>
  </r>
  <r>
    <n v="881"/>
    <s v="spotify:track:4pOGEJRVOuaa9oyy7qTGf6"/>
    <x v="620"/>
    <s v="Fui Mlk"/>
    <s v="WMD"/>
    <n v="103"/>
    <n v="8"/>
    <d v="1899-12-30T02:28:00"/>
    <b v="0"/>
    <n v="64"/>
    <n v="64"/>
    <n v="94"/>
    <n v="31"/>
    <n v="64"/>
    <n v="0"/>
    <n v="32"/>
    <n v="69"/>
    <n v="129"/>
    <s v="Funk Brasileiro"/>
    <d v="2025-04-18T00:00:00"/>
    <s v="https://image-cdn-ak.spotifycdn.com/image/ab67616d00001e0247cbd521916fc422be1a5c9a"/>
    <b v="0"/>
  </r>
  <r>
    <n v="881"/>
    <s v="spotify:track:4pOGEJRVOuaa9oyy7qTGf6"/>
    <x v="621"/>
    <s v="Fui Mlk"/>
    <s v="WMD"/>
    <n v="103"/>
    <n v="8"/>
    <d v="1899-12-30T02:28:00"/>
    <b v="0"/>
    <n v="64"/>
    <n v="64"/>
    <n v="94"/>
    <n v="31"/>
    <n v="64"/>
    <n v="0"/>
    <n v="32"/>
    <n v="69"/>
    <n v="129"/>
    <s v="Funk Brasileiro"/>
    <d v="2025-04-18T00:00:00"/>
    <s v="https://image-cdn-ak.spotifycdn.com/image/ab67616d00001e0247cbd521916fc422be1a5c9a"/>
    <b v="0"/>
  </r>
  <r>
    <n v="882"/>
    <s v="spotify:track:4pftaoQbbheCXSdleWIeDK"/>
    <x v="466"/>
    <s v="GBP (feat. 21 Savage)"/>
    <s v="Columbia"/>
    <n v="52"/>
    <n v="3"/>
    <d v="1899-12-30T03:18:00"/>
    <b v="1"/>
    <n v="83"/>
    <n v="68"/>
    <n v="93"/>
    <n v="22"/>
    <n v="9"/>
    <n v="0"/>
    <n v="20"/>
    <n v="67"/>
    <n v="142"/>
    <s v="Hip-Hop/Rap"/>
    <d v="2025-01-24T00:00:00"/>
    <s v="https://image-cdn-fa.spotifycdn.com/image/ab67616d00001e0258513cbc1bba4cd4c5f472ce"/>
    <b v="0"/>
  </r>
  <r>
    <n v="882"/>
    <s v="spotify:track:4pftaoQbbheCXSdleWIeDK"/>
    <x v="622"/>
    <s v="GBP (feat. 21 Savage)"/>
    <s v="Columbia"/>
    <n v="52"/>
    <n v="3"/>
    <d v="1899-12-30T03:18:00"/>
    <b v="1"/>
    <n v="83"/>
    <n v="68"/>
    <n v="93"/>
    <n v="22"/>
    <n v="9"/>
    <n v="0"/>
    <n v="20"/>
    <n v="67"/>
    <n v="142"/>
    <s v="Hip-Hop/Rap"/>
    <d v="2025-01-24T00:00:00"/>
    <s v="https://image-cdn-fa.spotifycdn.com/image/ab67616d00001e0258513cbc1bba4cd4c5f472ce"/>
    <b v="0"/>
  </r>
  <r>
    <n v="883"/>
    <s v="spotify:track:4qLHbbVJjNsOqWxHrTtvgx"/>
    <x v="622"/>
    <s v="Which One (feat. Central Cee)"/>
    <s v="OVO/Republic"/>
    <n v="19"/>
    <n v="7"/>
    <s v="03:18:00"/>
    <b v="1"/>
    <n v="86"/>
    <n v="63"/>
    <n v="72"/>
    <n v="30"/>
    <n v="18"/>
    <n v="0"/>
    <n v="11"/>
    <n v="50"/>
    <n v="140"/>
    <s v="Hip-Hop/Rap"/>
    <s v="22/5/2026"/>
    <s v="https://image-cdn-ak.spotifycdn.com/image/ab67616d00001e02539bb112d7c970545dd971e3"/>
    <b v="0"/>
  </r>
  <r>
    <n v="883"/>
    <s v="spotify:track:4qLHbbVJjNsOqWxHrTtvgx"/>
    <x v="53"/>
    <s v="Which One (feat. Central Cee)"/>
    <s v="OVO/Republic"/>
    <n v="19"/>
    <n v="7"/>
    <s v="03:18:00"/>
    <b v="1"/>
    <n v="86"/>
    <n v="63"/>
    <n v="72"/>
    <n v="30"/>
    <n v="18"/>
    <n v="0"/>
    <n v="11"/>
    <n v="50"/>
    <n v="140"/>
    <s v="Hip-Hop/Rap"/>
    <s v="22/5/2026"/>
    <s v="https://image-cdn-ak.spotifycdn.com/image/ab67616d00001e02539bb112d7c970545dd971e3"/>
    <b v="0"/>
  </r>
  <r>
    <n v="884"/>
    <s v="spotify:track:4qW3BbQAwZsrnu8a3ZRdyT"/>
    <x v="623"/>
    <s v="Self Aware"/>
    <s v="Temper City under exclusive license to Thirty Knots"/>
    <n v="5"/>
    <n v="26"/>
    <d v="1899-12-30T03:18:00"/>
    <b v="0"/>
    <n v="72"/>
    <n v="72"/>
    <n v="79"/>
    <n v="8"/>
    <n v="20"/>
    <n v="0"/>
    <n v="11"/>
    <n v="58"/>
    <n v="105"/>
    <s v="Pop"/>
    <d v="2025-05-09T00:00:00"/>
    <s v="https://image-cdn-ak.spotifycdn.com/image/ab67616d00001e02d6c26d2ae723f7ab553d64cc"/>
    <b v="0"/>
  </r>
  <r>
    <n v="885"/>
    <s v="spotify:track:4qfkZtOGVw2BXa05wqXKkV"/>
    <x v="61"/>
    <s v="bckpckbyz"/>
    <s v="Double P Records"/>
    <n v="53"/>
    <n v="3"/>
    <d v="1899-12-30T03:05:00"/>
    <b v="1"/>
    <n v="78"/>
    <n v="74"/>
    <n v="80"/>
    <n v="10"/>
    <n v="15"/>
    <n v="0"/>
    <n v="12"/>
    <n v="58"/>
    <n v="108"/>
    <s v="Regional Mexicano"/>
    <d v="2025-04-18T00:00:00"/>
    <s v="https://image-cdn-ak.spotifycdn.com/image/ab67616d00001e02a9e6a250ea86a8f387873ef9"/>
    <b v="0"/>
  </r>
  <r>
    <n v="885"/>
    <s v="spotify:track:4qfkZtOGVw2BXa05wqXKkV"/>
    <x v="31"/>
    <s v="bckpckbyz"/>
    <s v="Double P Records"/>
    <n v="53"/>
    <n v="3"/>
    <d v="1899-12-30T03:05:00"/>
    <b v="1"/>
    <n v="78"/>
    <n v="74"/>
    <n v="80"/>
    <n v="10"/>
    <n v="15"/>
    <n v="0"/>
    <n v="12"/>
    <n v="58"/>
    <n v="108"/>
    <s v="Regional Mexicano"/>
    <d v="2025-04-18T00:00:00"/>
    <s v="https://image-cdn-ak.spotifycdn.com/image/ab67616d00001e02a9e6a250ea86a8f387873ef9"/>
    <b v="0"/>
  </r>
  <r>
    <n v="886"/>
    <s v="spotify:track:4qmFC3Jz5aQ0erlk2OSi2X"/>
    <x v="19"/>
    <s v="Honey"/>
    <s v="Taylor Swift"/>
    <n v="12"/>
    <n v="5"/>
    <s v="03:18:00"/>
    <b v="0"/>
    <n v="68"/>
    <n v="57"/>
    <n v="72"/>
    <n v="4"/>
    <n v="36"/>
    <n v="0"/>
    <n v="12"/>
    <n v="51"/>
    <n v="108"/>
    <s v="Pop"/>
    <s v="3/10/2025"/>
    <s v="https://image-cdn-ak.spotifycdn.com/image/ab67616d00001e02d7812467811a7da6e6a44902"/>
    <b v="0"/>
  </r>
  <r>
    <n v="887"/>
    <s v="spotify:track:4qvsNsA4gQKC9HLrmPC2Vx"/>
    <x v="329"/>
    <s v="TRIM (with Future)"/>
    <s v="AWGE/Interscope Records"/>
    <n v="77"/>
    <n v="1"/>
    <d v="1899-12-30T02:48:00"/>
    <b v="1"/>
    <n v="83"/>
    <n v="73"/>
    <n v="90"/>
    <n v="22"/>
    <n v="4"/>
    <n v="0"/>
    <n v="18"/>
    <n v="59"/>
    <n v="138"/>
    <s v="Hip-Hop/Rap"/>
    <d v="2025-03-14T00:00:00"/>
    <s v="https://image-cdn-ak.spotifycdn.com/image/ab67616d00001e026b219c8d8462bfe254a20469"/>
    <b v="0"/>
  </r>
  <r>
    <n v="887"/>
    <s v="spotify:track:4qvsNsA4gQKC9HLrmPC2Vx"/>
    <x v="1"/>
    <s v="TRIM (with Future)"/>
    <s v="AWGE/Interscope Records"/>
    <n v="77"/>
    <n v="1"/>
    <d v="1899-12-30T02:48:00"/>
    <b v="1"/>
    <n v="83"/>
    <n v="73"/>
    <n v="90"/>
    <n v="22"/>
    <n v="4"/>
    <n v="0"/>
    <n v="18"/>
    <n v="59"/>
    <n v="138"/>
    <s v="Hip-Hop/Rap"/>
    <d v="2025-03-14T00:00:00"/>
    <s v="https://image-cdn-ak.spotifycdn.com/image/ab67616d00001e026b219c8d8462bfe254a20469"/>
    <b v="0"/>
  </r>
  <r>
    <n v="888"/>
    <s v="spotify:track:4rBRRLgdB9DYJhqA9uVcWt"/>
    <x v="329"/>
    <s v="FXCK UP THE WORLD (feat. Future)"/>
    <s v="Lloud Co./RCA Records"/>
    <n v="34"/>
    <n v="1"/>
    <d v="1899-12-30T02:48:00"/>
    <b v="1"/>
    <n v="69"/>
    <n v="66"/>
    <n v="90"/>
    <n v="5"/>
    <n v="1"/>
    <n v="0"/>
    <n v="22"/>
    <n v="25"/>
    <n v="146"/>
    <s v="K-Pop"/>
    <d v="2025-02-28T00:00:00"/>
    <s v="https://image-cdn-ak.spotifycdn.com/image/ab67616d00001e0295ce3d848f4e452489d4a12c"/>
    <b v="0"/>
  </r>
  <r>
    <n v="888"/>
    <s v="spotify:track:4rBRRLgdB9DYJhqA9uVcWt"/>
    <x v="271"/>
    <s v="FXCK UP THE WORLD (feat. Future)"/>
    <s v="Lloud Co./RCA Records"/>
    <n v="34"/>
    <n v="1"/>
    <d v="1899-12-30T02:48:00"/>
    <b v="1"/>
    <n v="69"/>
    <n v="66"/>
    <n v="90"/>
    <n v="5"/>
    <n v="1"/>
    <n v="0"/>
    <n v="22"/>
    <n v="25"/>
    <n v="146"/>
    <s v="K-Pop"/>
    <d v="2025-02-28T00:00:00"/>
    <s v="https://image-cdn-ak.spotifycdn.com/image/ab67616d00001e0295ce3d848f4e452489d4a12c"/>
    <b v="0"/>
  </r>
  <r>
    <n v="889"/>
    <s v="spotify:track:4rECUI03C2RMqr5GYvqjlJ"/>
    <x v="37"/>
    <s v="Haircut"/>
    <s v="Mercury Records"/>
    <n v="102"/>
    <n v="1"/>
    <s v="03:48:00"/>
    <b v="0"/>
    <n v="58"/>
    <n v="49"/>
    <n v="71"/>
    <n v="4"/>
    <n v="51"/>
    <n v="0"/>
    <n v="10"/>
    <n v="41"/>
    <n v="120"/>
    <s v="Indie Folk"/>
    <s v="3/4/2026"/>
    <s v="https://image-cdn-ak.spotifycdn.com/image/ab67616d00001e02d879855b819250d3d00a1a38"/>
    <b v="0"/>
  </r>
  <r>
    <n v="890"/>
    <s v="spotify:track:4rMNgxEwGWoPHIUcvB5BrB"/>
    <x v="39"/>
    <s v="It Will Rain"/>
    <s v="Elektra (NEK)"/>
    <n v="57"/>
    <n v="34"/>
    <d v="1899-12-30T04:17:00"/>
    <b v="0"/>
    <n v="58"/>
    <n v="84"/>
    <n v="89"/>
    <n v="5"/>
    <n v="34"/>
    <n v="0"/>
    <n v="8"/>
    <n v="48"/>
    <n v="150"/>
    <s v="Pop"/>
    <d v="2011-09-27T00:00:00"/>
    <s v="https://image-cdn-fa.spotifycdn.com/image/ab67616d00001e024c43bd96a211ed67cfe86636"/>
    <b v="0"/>
  </r>
  <r>
    <n v="891"/>
    <s v="spotify:track:4rXxjHSAglOynjIF8Z34dx"/>
    <x v="1"/>
    <s v="COCAINE NOSE"/>
    <s v="AWGE/Interscope Records"/>
    <n v="95"/>
    <n v="1"/>
    <d v="1899-12-30T02:48:00"/>
    <b v="1"/>
    <n v="57"/>
    <n v="70"/>
    <n v="90"/>
    <n v="9"/>
    <n v="3"/>
    <n v="0"/>
    <n v="69"/>
    <n v="33"/>
    <n v="140"/>
    <s v="Hip-Hop/Rap"/>
    <d v="2025-03-14T00:00:00"/>
    <s v="https://image-cdn-ak.spotifycdn.com/image/ab67616d00001e026b219c8d8462bfe254a20469"/>
    <b v="0"/>
  </r>
  <r>
    <n v="892"/>
    <s v="spotify:track:4sLvxpKLvagQ4lZHUpymza"/>
    <x v="252"/>
    <s v="Big Poe (feat. Sk8brd)"/>
    <s v="Columbia"/>
    <n v="51"/>
    <n v="2"/>
    <s v="03:18:00"/>
    <b v="1"/>
    <n v="84"/>
    <n v="68"/>
    <n v="74"/>
    <n v="26"/>
    <n v="18"/>
    <n v="0"/>
    <n v="13"/>
    <n v="64"/>
    <n v="145"/>
    <s v="Hip-Hop/Rap"/>
    <s v="18/7/2025"/>
    <s v="https://image-cdn-ak.spotifycdn.com/image/ab67616d00001e024b7fbb849ed845ddedcce346"/>
    <b v="0"/>
  </r>
  <r>
    <n v="892"/>
    <s v="spotify:track:4sLvxpKLvagQ4lZHUpymza"/>
    <x v="238"/>
    <s v="Big Poe (feat. Sk8brd)"/>
    <s v="Columbia"/>
    <n v="51"/>
    <n v="2"/>
    <s v="03:18:00"/>
    <b v="1"/>
    <n v="84"/>
    <n v="68"/>
    <n v="74"/>
    <n v="26"/>
    <n v="18"/>
    <n v="0"/>
    <n v="13"/>
    <n v="64"/>
    <n v="145"/>
    <s v="Hip-Hop/Rap"/>
    <s v="18/7/2025"/>
    <s v="https://image-cdn-ak.spotifycdn.com/image/ab67616d00001e024b7fbb849ed845ddedcce346"/>
    <b v="0"/>
  </r>
  <r>
    <n v="893"/>
    <s v="spotify:track:4sTlQPMyoFMPdhAJvErBN3"/>
    <x v="262"/>
    <s v="PASSO BEM SOLTO - Slowed"/>
    <s v="broke"/>
    <n v="41"/>
    <n v="22"/>
    <d v="1899-12-30T02:48:00"/>
    <b v="1"/>
    <n v="60"/>
    <n v="87"/>
    <n v="91"/>
    <n v="3"/>
    <n v="1"/>
    <n v="0"/>
    <n v="26"/>
    <n v="40"/>
    <n v="116"/>
    <s v="Phonk"/>
    <d v="2025-04-25T00:00:00"/>
    <s v="https://image-cdn-ak.spotifycdn.com/image/ab67616d00001e0236385e0fad3c87e8e8f19071"/>
    <b v="0"/>
  </r>
  <r>
    <n v="894"/>
    <s v="spotify:track:4seW5sDVICaZw34NzrHPm0"/>
    <x v="624"/>
    <s v="Tando"/>
    <s v="Nuzio Medeiros"/>
    <n v="111"/>
    <n v="2"/>
    <s v="02:48:00"/>
    <b v="0"/>
    <n v="80"/>
    <n v="74"/>
    <n v="74"/>
    <n v="6"/>
    <n v="25"/>
    <n v="0"/>
    <n v="28"/>
    <n v="83"/>
    <n v="132"/>
    <s v="Sertanejo"/>
    <s v="13/6/2025"/>
    <s v="https://image-cdn-ak.spotifycdn.com/image/ab67616d00001e02ae682a9f57cbb545e5d20a17"/>
    <b v="0"/>
  </r>
  <r>
    <n v="894"/>
    <s v="spotify:track:4seW5sDVICaZw34NzrHPm0"/>
    <x v="625"/>
    <s v="Tando"/>
    <s v="Nuzio Medeiros"/>
    <n v="111"/>
    <n v="2"/>
    <s v="02:48:00"/>
    <b v="0"/>
    <n v="80"/>
    <n v="74"/>
    <n v="74"/>
    <n v="6"/>
    <n v="25"/>
    <n v="0"/>
    <n v="28"/>
    <n v="83"/>
    <n v="132"/>
    <s v="Sertanejo"/>
    <s v="13/6/2025"/>
    <s v="https://image-cdn-ak.spotifycdn.com/image/ab67616d00001e02ae682a9f57cbb545e5d20a17"/>
    <b v="0"/>
  </r>
  <r>
    <n v="894"/>
    <s v="spotify:track:4seW5sDVICaZw34NzrHPm0"/>
    <x v="626"/>
    <s v="Tando"/>
    <s v="Nuzio Medeiros"/>
    <n v="111"/>
    <n v="2"/>
    <s v="02:48:00"/>
    <b v="0"/>
    <n v="80"/>
    <n v="74"/>
    <n v="74"/>
    <n v="6"/>
    <n v="25"/>
    <n v="0"/>
    <n v="28"/>
    <n v="83"/>
    <n v="132"/>
    <s v="Sertanejo"/>
    <s v="13/6/2025"/>
    <s v="https://image-cdn-ak.spotifycdn.com/image/ab67616d00001e02ae682a9f57cbb545e5d20a17"/>
    <b v="0"/>
  </r>
  <r>
    <n v="895"/>
    <s v="spotify:track:4tHqQMWSqmL6YjXwsqthDI"/>
    <x v="627"/>
    <s v="Carol of the Bells (From &quot;Home Alone&quot; Soundtrack)"/>
    <s v="Masterworks"/>
    <n v="28"/>
    <n v="20"/>
    <d v="1899-12-30T02:48:00"/>
    <b v="0"/>
    <n v="52"/>
    <n v="50"/>
    <n v="72"/>
    <n v="3"/>
    <n v="55"/>
    <n v="0"/>
    <n v="15"/>
    <n v="72"/>
    <n v="120"/>
    <s v="Christmas"/>
    <d v="1990-11-01T00:00:00"/>
    <s v="https://image-cdn-ak.spotifycdn.com/image/ab67616d00001e02f497846e25233023ca7cb8b1"/>
    <b v="1"/>
  </r>
  <r>
    <n v="896"/>
    <s v="spotify:track:4tMhjP02FRQ0KIUUEJ2oGK"/>
    <x v="1"/>
    <s v="DIS 1 GOT IT"/>
    <s v="AWGE/Interscope Records"/>
    <n v="196"/>
    <n v="1"/>
    <d v="1899-12-30T02:48:00"/>
    <b v="1"/>
    <n v="78"/>
    <n v="56"/>
    <n v="89"/>
    <n v="14"/>
    <n v="0"/>
    <n v="0"/>
    <n v="31"/>
    <n v="14"/>
    <n v="155"/>
    <s v="Hip-Hop/Rap"/>
    <d v="2025-03-14T00:00:00"/>
    <s v="https://image-cdn-ak.spotifycdn.com/image/ab67616d00001e026b219c8d8462bfe254a20469"/>
    <b v="0"/>
  </r>
  <r>
    <n v="897"/>
    <s v="spotify:track:4tVVmShMF2PYdLqcejrsy2"/>
    <x v="124"/>
    <s v="Goodbye"/>
    <s v="Island Records"/>
    <n v="26"/>
    <n v="4"/>
    <s v="03:05:00"/>
    <b v="0"/>
    <n v="52"/>
    <n v="36"/>
    <n v="68"/>
    <n v="4"/>
    <n v="78"/>
    <n v="0"/>
    <n v="14"/>
    <n v="26"/>
    <n v="84"/>
    <s v="Pop"/>
    <s v="29/8/2025"/>
    <s v="https://image-cdn-ak.spotifycdn.com/image/ab67616d00001e02b1863bf95557ea7f357c4947"/>
    <b v="0"/>
  </r>
  <r>
    <n v="898"/>
    <s v="spotify:track:4u43I0LP2Xf85OAS85eG0R"/>
    <x v="53"/>
    <s v="CN TOWER"/>
    <s v="OVO Sound"/>
    <n v="55"/>
    <n v="1"/>
    <s v="03:18:00"/>
    <b v="1"/>
    <n v="72"/>
    <n v="55"/>
    <n v="71"/>
    <n v="10"/>
    <n v="36"/>
    <n v="0"/>
    <n v="14"/>
    <n v="47"/>
    <n v="94"/>
    <s v="R&amp;B"/>
    <s v="27/6/2025"/>
    <s v="https://image-cdn-ak.spotifycdn.com/image/ab67616d00001e02b5a28a256eae6dc0424fef59"/>
    <b v="0"/>
  </r>
  <r>
    <n v="898"/>
    <s v="spotify:track:4u43I0LP2Xf85OAS85eG0R"/>
    <x v="54"/>
    <s v="CN TOWER"/>
    <s v="OVO Sound"/>
    <n v="55"/>
    <n v="1"/>
    <s v="03:18:00"/>
    <b v="1"/>
    <n v="72"/>
    <n v="55"/>
    <n v="71"/>
    <n v="10"/>
    <n v="36"/>
    <n v="0"/>
    <n v="14"/>
    <n v="47"/>
    <n v="94"/>
    <s v="R&amp;B"/>
    <s v="27/6/2025"/>
    <s v="https://image-cdn-ak.spotifycdn.com/image/ab67616d00001e02b5a28a256eae6dc0424fef59"/>
    <b v="0"/>
  </r>
  <r>
    <n v="899"/>
    <s v="spotify:track:4uUG5RXrOk84mYEfFvj3cK"/>
    <x v="628"/>
    <s v="I'm Good (Blue)"/>
    <s v="Parlophone UK"/>
    <n v="2"/>
    <n v="117"/>
    <d v="1899-12-30T02:55:00"/>
    <b v="1"/>
    <n v="56"/>
    <n v="96"/>
    <n v="94"/>
    <n v="3"/>
    <n v="0"/>
    <n v="0"/>
    <n v="37"/>
    <n v="30"/>
    <n v="128"/>
    <s v="EDM"/>
    <d v="2022-08-26T00:00:00"/>
    <s v="https://image-cdn-ak.spotifycdn.com/image/ab67616d00001e02f24c7321eabddffc3829676b"/>
    <b v="0"/>
  </r>
  <r>
    <n v="899"/>
    <s v="spotify:track:4uUG5RXrOk84mYEfFvj3cK"/>
    <x v="155"/>
    <s v="I'm Good (Blue)"/>
    <s v="Parlophone UK"/>
    <n v="2"/>
    <n v="117"/>
    <d v="1899-12-30T02:55:00"/>
    <b v="1"/>
    <n v="56"/>
    <n v="96"/>
    <n v="94"/>
    <n v="3"/>
    <n v="0"/>
    <n v="0"/>
    <n v="37"/>
    <n v="30"/>
    <n v="128"/>
    <s v="EDM"/>
    <d v="2022-08-26T00:00:00"/>
    <s v="https://image-cdn-ak.spotifycdn.com/image/ab67616d00001e02f24c7321eabddffc3829676b"/>
    <b v="0"/>
  </r>
  <r>
    <n v="900"/>
    <s v="spotify:track:4ukUoXLuFzMixyZyabSGc4"/>
    <x v="629"/>
    <s v="Sleigh Ride"/>
    <s v="Verve Reissues"/>
    <n v="118"/>
    <n v="5"/>
    <d v="1899-12-30T02:56:00"/>
    <b v="0"/>
    <n v="52"/>
    <n v="50"/>
    <n v="72"/>
    <n v="3"/>
    <n v="55"/>
    <n v="0"/>
    <n v="15"/>
    <n v="75"/>
    <n v="120"/>
    <s v="Christmas"/>
    <d v="1960-11-01T00:00:00"/>
    <s v="https://image-cdn-fa.spotifycdn.com/image/ab67616d00001e0256849c42c652a7e4025fd6eb"/>
    <b v="1"/>
  </r>
  <r>
    <n v="901"/>
    <s v="spotify:track:4ukpXdplqDEMk3Fy2i30oI"/>
    <x v="630"/>
    <s v="ME POSTOU NO DAILY - FESTA DO BIG G"/>
    <s v="WM Brazil"/>
    <n v="140"/>
    <n v="7"/>
    <s v="02:28:00"/>
    <b v="1"/>
    <n v="86"/>
    <n v="80"/>
    <n v="76"/>
    <n v="15"/>
    <n v="11"/>
    <n v="0"/>
    <n v="24"/>
    <n v="85"/>
    <n v="130"/>
    <s v="Funk Brasileiro"/>
    <s v="27/2/2026"/>
    <s v="https://image-cdn-ak.spotifycdn.com/image/ab67616d00001e029977a75e107f54d30e904177"/>
    <b v="0"/>
  </r>
  <r>
    <n v="901"/>
    <s v="spotify:track:4ukpXdplqDEMk3Fy2i30oI"/>
    <x v="571"/>
    <s v="ME POSTOU NO DAILY - FESTA DO BIG G"/>
    <s v="WM Brazil"/>
    <n v="140"/>
    <n v="7"/>
    <s v="02:28:00"/>
    <b v="1"/>
    <n v="86"/>
    <n v="80"/>
    <n v="76"/>
    <n v="15"/>
    <n v="11"/>
    <n v="0"/>
    <n v="24"/>
    <n v="85"/>
    <n v="130"/>
    <s v="Funk Brasileiro"/>
    <s v="27/2/2026"/>
    <s v="https://image-cdn-ak.spotifycdn.com/image/ab67616d00001e029977a75e107f54d30e904177"/>
    <b v="0"/>
  </r>
  <r>
    <n v="901"/>
    <s v="spotify:track:4ukpXdplqDEMk3Fy2i30oI"/>
    <x v="631"/>
    <s v="ME POSTOU NO DAILY - FESTA DO BIG G"/>
    <s v="WM Brazil"/>
    <n v="140"/>
    <n v="7"/>
    <s v="02:28:00"/>
    <b v="1"/>
    <n v="86"/>
    <n v="80"/>
    <n v="76"/>
    <n v="15"/>
    <n v="11"/>
    <n v="0"/>
    <n v="24"/>
    <n v="85"/>
    <n v="130"/>
    <s v="Funk Brasileiro"/>
    <s v="27/2/2026"/>
    <s v="https://image-cdn-ak.spotifycdn.com/image/ab67616d00001e029977a75e107f54d30e904177"/>
    <b v="0"/>
  </r>
  <r>
    <n v="901"/>
    <s v="spotify:track:4ukpXdplqDEMk3Fy2i30oI"/>
    <x v="632"/>
    <s v="ME POSTOU NO DAILY - FESTA DO BIG G"/>
    <s v="WM Brazil"/>
    <n v="140"/>
    <n v="7"/>
    <s v="02:28:00"/>
    <b v="1"/>
    <n v="86"/>
    <n v="80"/>
    <n v="76"/>
    <n v="15"/>
    <n v="11"/>
    <n v="0"/>
    <n v="24"/>
    <n v="85"/>
    <n v="130"/>
    <s v="Funk Brasileiro"/>
    <s v="27/2/2026"/>
    <s v="https://image-cdn-ak.spotifycdn.com/image/ab67616d00001e029977a75e107f54d30e904177"/>
    <b v="0"/>
  </r>
  <r>
    <n v="902"/>
    <s v="spotify:track:4ulroyDK6rN73nVkCkWhur"/>
    <x v="633"/>
    <s v="Sahiba"/>
    <s v="Warner Music India"/>
    <n v="187"/>
    <n v="1"/>
    <s v="03:48:00"/>
    <b v="0"/>
    <n v="63"/>
    <n v="55"/>
    <n v="71"/>
    <n v="4"/>
    <n v="54"/>
    <n v="0"/>
    <n v="13"/>
    <n v="51"/>
    <n v="92"/>
    <s v="Bollywood"/>
    <s v="5/9/2025"/>
    <s v="https://image-cdn-fa.spotifycdn.com/image/ab67616d00001e02eb2d8a0e6f6f4626af5f66f7"/>
    <b v="0"/>
  </r>
  <r>
    <n v="902"/>
    <s v="spotify:track:4ulroyDK6rN73nVkCkWhur"/>
    <x v="634"/>
    <s v="Sahiba"/>
    <s v="Warner Music India"/>
    <n v="187"/>
    <n v="1"/>
    <s v="03:48:00"/>
    <b v="0"/>
    <n v="63"/>
    <n v="55"/>
    <n v="71"/>
    <n v="4"/>
    <n v="54"/>
    <n v="0"/>
    <n v="13"/>
    <n v="51"/>
    <n v="92"/>
    <s v="Bollywood"/>
    <s v="5/9/2025"/>
    <s v="https://image-cdn-fa.spotifycdn.com/image/ab67616d00001e02eb2d8a0e6f6f4626af5f66f7"/>
    <b v="0"/>
  </r>
  <r>
    <n v="902"/>
    <s v="spotify:track:4ulroyDK6rN73nVkCkWhur"/>
    <x v="635"/>
    <s v="Sahiba"/>
    <s v="Warner Music India"/>
    <n v="187"/>
    <n v="1"/>
    <s v="03:48:00"/>
    <b v="0"/>
    <n v="63"/>
    <n v="55"/>
    <n v="71"/>
    <n v="4"/>
    <n v="54"/>
    <n v="0"/>
    <n v="13"/>
    <n v="51"/>
    <n v="92"/>
    <s v="Bollywood"/>
    <s v="5/9/2025"/>
    <s v="https://image-cdn-fa.spotifycdn.com/image/ab67616d00001e02eb2d8a0e6f6f4626af5f66f7"/>
    <b v="0"/>
  </r>
  <r>
    <n v="902"/>
    <s v="spotify:track:4ulroyDK6rN73nVkCkWhur"/>
    <x v="636"/>
    <s v="Sahiba"/>
    <s v="Warner Music India"/>
    <n v="187"/>
    <n v="1"/>
    <s v="03:48:00"/>
    <b v="0"/>
    <n v="63"/>
    <n v="55"/>
    <n v="71"/>
    <n v="4"/>
    <n v="54"/>
    <n v="0"/>
    <n v="13"/>
    <n v="51"/>
    <n v="92"/>
    <s v="Bollywood"/>
    <s v="5/9/2025"/>
    <s v="https://image-cdn-fa.spotifycdn.com/image/ab67616d00001e02eb2d8a0e6f6f4626af5f66f7"/>
    <b v="0"/>
  </r>
  <r>
    <n v="902"/>
    <s v="spotify:track:4ulroyDK6rN73nVkCkWhur"/>
    <x v="637"/>
    <s v="Sahiba"/>
    <s v="Warner Music India"/>
    <n v="187"/>
    <n v="1"/>
    <s v="03:48:00"/>
    <b v="0"/>
    <n v="63"/>
    <n v="55"/>
    <n v="71"/>
    <n v="4"/>
    <n v="54"/>
    <n v="0"/>
    <n v="13"/>
    <n v="51"/>
    <n v="92"/>
    <s v="Bollywood"/>
    <s v="5/9/2025"/>
    <s v="https://image-cdn-fa.spotifycdn.com/image/ab67616d00001e02eb2d8a0e6f6f4626af5f66f7"/>
    <b v="0"/>
  </r>
  <r>
    <n v="902"/>
    <s v="spotify:track:4ulroyDK6rN73nVkCkWhur"/>
    <x v="638"/>
    <s v="Sahiba"/>
    <s v="Warner Music India"/>
    <n v="187"/>
    <n v="1"/>
    <s v="03:48:00"/>
    <b v="0"/>
    <n v="63"/>
    <n v="55"/>
    <n v="71"/>
    <n v="4"/>
    <n v="54"/>
    <n v="0"/>
    <n v="13"/>
    <n v="51"/>
    <n v="92"/>
    <s v="Bollywood"/>
    <s v="5/9/2025"/>
    <s v="https://image-cdn-fa.spotifycdn.com/image/ab67616d00001e02eb2d8a0e6f6f4626af5f66f7"/>
    <b v="0"/>
  </r>
  <r>
    <n v="903"/>
    <s v="spotify:track:4uoADk7q83CHvXHW3k1etM"/>
    <x v="1"/>
    <s v="OLYMPIAN"/>
    <s v="AWGE/Interscope Records"/>
    <n v="97"/>
    <n v="1"/>
    <d v="1899-12-30T02:48:00"/>
    <b v="1"/>
    <n v="50"/>
    <n v="81"/>
    <n v="89"/>
    <n v="3"/>
    <n v="1"/>
    <n v="0"/>
    <n v="20"/>
    <n v="64"/>
    <n v="77"/>
    <s v="Hip-Hop/Rap"/>
    <d v="2025-03-14T00:00:00"/>
    <s v="https://image-cdn-fa.spotifycdn.com/image/ab67616d00001e026b219c8d8462bfe254a20469"/>
    <b v="0"/>
  </r>
  <r>
    <n v="904"/>
    <s v="spotify:track:4uyBm26e7ElRigCH6vRbpc"/>
    <x v="639"/>
    <s v="DEVOTION"/>
    <s v="JRC Entertainment, LLC / ILH Production Co. LLC / Def Jam Recordings"/>
    <n v="84"/>
    <n v="1"/>
    <s v="03:18:00"/>
    <b v="0"/>
    <n v="66"/>
    <n v="45"/>
    <n v="70"/>
    <n v="6"/>
    <n v="59"/>
    <n v="0"/>
    <n v="12"/>
    <n v="40"/>
    <n v="94"/>
    <s v="Pop"/>
    <s v="12/9/2025"/>
    <s v="https://image-cdn-fa.spotifycdn.com/image/ab67616d00001e02d65c4773bc5061fd27facc5b"/>
    <b v="0"/>
  </r>
  <r>
    <n v="904"/>
    <s v="spotify:track:4uyBm26e7ElRigCH6vRbpc"/>
    <x v="2"/>
    <s v="DEVOTION"/>
    <s v="JRC Entertainment, LLC / ILH Production Co. LLC / Def Jam Recordings"/>
    <n v="84"/>
    <n v="1"/>
    <s v="03:18:00"/>
    <b v="0"/>
    <n v="66"/>
    <n v="45"/>
    <n v="70"/>
    <n v="6"/>
    <n v="59"/>
    <n v="0"/>
    <n v="12"/>
    <n v="40"/>
    <n v="94"/>
    <s v="Pop"/>
    <s v="12/9/2025"/>
    <s v="https://image-cdn-fa.spotifycdn.com/image/ab67616d00001e02d65c4773bc5061fd27facc5b"/>
    <b v="0"/>
  </r>
  <r>
    <n v="905"/>
    <s v="spotify:track:4vHRQnzGcKEtqsLH70tAms"/>
    <x v="640"/>
    <s v="Raanjhan (From &quot;Do Patti&quot;)"/>
    <s v="T-Series"/>
    <n v="95"/>
    <n v="6"/>
    <d v="1899-12-30T03:48:00"/>
    <b v="0"/>
    <n v="44"/>
    <n v="49"/>
    <n v="88"/>
    <n v="3"/>
    <n v="81"/>
    <n v="0"/>
    <n v="11"/>
    <n v="20"/>
    <n v="92"/>
    <s v="Bollywood"/>
    <d v="2024-10-11T00:00:00"/>
    <s v="https://image-cdn-fa.spotifycdn.com/image/ab67616d00001e02773c5f60bcb309ef8802e4ef"/>
    <b v="0"/>
  </r>
  <r>
    <n v="905"/>
    <s v="spotify:track:4vHRQnzGcKEtqsLH70tAms"/>
    <x v="90"/>
    <s v="Raanjhan (From &quot;Do Patti&quot;)"/>
    <s v="T-Series"/>
    <n v="95"/>
    <n v="6"/>
    <d v="1899-12-30T03:48:00"/>
    <b v="0"/>
    <n v="44"/>
    <n v="49"/>
    <n v="88"/>
    <n v="3"/>
    <n v="81"/>
    <n v="0"/>
    <n v="11"/>
    <n v="20"/>
    <n v="92"/>
    <s v="Bollywood"/>
    <d v="2024-10-11T00:00:00"/>
    <s v="https://image-cdn-fa.spotifycdn.com/image/ab67616d00001e02773c5f60bcb309ef8802e4ef"/>
    <b v="0"/>
  </r>
  <r>
    <n v="905"/>
    <s v="spotify:track:4vHRQnzGcKEtqsLH70tAms"/>
    <x v="93"/>
    <s v="Raanjhan (From &quot;Do Patti&quot;)"/>
    <s v="T-Series"/>
    <n v="95"/>
    <n v="6"/>
    <d v="1899-12-30T03:48:00"/>
    <b v="0"/>
    <n v="44"/>
    <n v="49"/>
    <n v="88"/>
    <n v="3"/>
    <n v="81"/>
    <n v="0"/>
    <n v="11"/>
    <n v="20"/>
    <n v="92"/>
    <s v="Bollywood"/>
    <d v="2024-10-11T00:00:00"/>
    <s v="https://image-cdn-fa.spotifycdn.com/image/ab67616d00001e02773c5f60bcb309ef8802e4ef"/>
    <b v="0"/>
  </r>
  <r>
    <n v="906"/>
    <s v="spotify:track:4vJaNTSA8fYLLLSauHmkLe"/>
    <x v="142"/>
    <s v="Las mas bonitas son p#tas"/>
    <s v="Real Hasta La Muerte, LLC"/>
    <n v="175"/>
    <n v="5"/>
    <s v="03:05:00"/>
    <b v="1"/>
    <n v="79"/>
    <n v="74"/>
    <n v="71"/>
    <n v="12"/>
    <n v="22"/>
    <n v="0"/>
    <n v="10"/>
    <n v="68"/>
    <n v="125"/>
    <s v="Reggaeton"/>
    <s v="14/8/2026"/>
    <s v="https://image-cdn-ak.spotifycdn.com/image/ab67616d00001e02c2c4ebb82fba77deba3d6f02"/>
    <b v="0"/>
  </r>
  <r>
    <n v="907"/>
    <s v="spotify:track:4vTsKN15Kqo3Geo9r7FhAN"/>
    <x v="112"/>
    <s v="Movin' To The Sun"/>
    <s v="Make The Girls Dance Records"/>
    <n v="52"/>
    <n v="12"/>
    <s v="03:05:00"/>
    <b v="0"/>
    <n v="78"/>
    <n v="81"/>
    <n v="75"/>
    <n v="6"/>
    <n v="8"/>
    <n v="1"/>
    <n v="18"/>
    <n v="72"/>
    <n v="124"/>
    <s v="House"/>
    <s v="18/7/2025"/>
    <s v="https://image-cdn-fa.spotifycdn.com/image/ab67616d00001e02e4d17d7e6cf481caaac75484"/>
    <b v="0"/>
  </r>
  <r>
    <n v="907"/>
    <s v="spotify:track:4vTsKN15Kqo3Geo9r7FhAN"/>
    <x v="641"/>
    <s v="Movin' To The Sun"/>
    <s v="Make The Girls Dance Records"/>
    <n v="52"/>
    <n v="12"/>
    <s v="03:05:00"/>
    <b v="0"/>
    <n v="78"/>
    <n v="81"/>
    <n v="75"/>
    <n v="6"/>
    <n v="8"/>
    <n v="1"/>
    <n v="18"/>
    <n v="72"/>
    <n v="124"/>
    <s v="House"/>
    <s v="18/7/2025"/>
    <s v="https://image-cdn-fa.spotifycdn.com/image/ab67616d00001e02e4d17d7e6cf481caaac75484"/>
    <b v="0"/>
  </r>
  <r>
    <n v="907"/>
    <s v="spotify:track:4vTsKN15Kqo3Geo9r7FhAN"/>
    <x v="642"/>
    <s v="Movin' To The Sun"/>
    <s v="Make The Girls Dance Records"/>
    <n v="52"/>
    <n v="12"/>
    <s v="03:05:00"/>
    <b v="0"/>
    <n v="78"/>
    <n v="81"/>
    <n v="75"/>
    <n v="6"/>
    <n v="8"/>
    <n v="1"/>
    <n v="18"/>
    <n v="72"/>
    <n v="124"/>
    <s v="House"/>
    <s v="18/7/2025"/>
    <s v="https://image-cdn-fa.spotifycdn.com/image/ab67616d00001e02e4d17d7e6cf481caaac75484"/>
    <b v="0"/>
  </r>
  <r>
    <n v="908"/>
    <s v="spotify:track:4vVTI94F9uJ8lHNDWKv0i2"/>
    <x v="2"/>
    <s v="Eenie Meenie"/>
    <s v="Epic/Beluga Heights"/>
    <n v="14"/>
    <n v="10"/>
    <d v="1899-12-30T03:20:00"/>
    <b v="0"/>
    <n v="72"/>
    <n v="61"/>
    <n v="93"/>
    <n v="3"/>
    <n v="5"/>
    <n v="0"/>
    <n v="11"/>
    <n v="83"/>
    <n v="121"/>
    <s v="Pop"/>
    <d v="2010-03-23T00:00:00"/>
    <s v="https://image-cdn-ak.spotifycdn.com/image/ab67616d00001e024dea4c1cdf30c359dbaec318"/>
    <b v="0"/>
  </r>
  <r>
    <n v="908"/>
    <s v="spotify:track:4vVTI94F9uJ8lHNDWKv0i2"/>
    <x v="643"/>
    <s v="Eenie Meenie"/>
    <s v="Epic/Beluga Heights"/>
    <n v="14"/>
    <n v="10"/>
    <d v="1899-12-30T03:20:00"/>
    <b v="0"/>
    <n v="72"/>
    <n v="61"/>
    <n v="93"/>
    <n v="3"/>
    <n v="5"/>
    <n v="0"/>
    <n v="11"/>
    <n v="83"/>
    <n v="121"/>
    <s v="Pop"/>
    <d v="2010-03-23T00:00:00"/>
    <s v="https://image-cdn-ak.spotifycdn.com/image/ab67616d00001e024dea4c1cdf30c359dbaec318"/>
    <b v="0"/>
  </r>
  <r>
    <n v="909"/>
    <s v="spotify:track:4w3tQBXhn5345eUXDGBWZG"/>
    <x v="483"/>
    <s v="9 to 5"/>
    <s v="RCA Records Label"/>
    <n v="80"/>
    <n v="3"/>
    <d v="1899-12-30T02:44:00"/>
    <b v="0"/>
    <n v="55"/>
    <n v="78"/>
    <n v="90"/>
    <n v="5"/>
    <n v="42"/>
    <n v="0"/>
    <n v="63"/>
    <n v="81"/>
    <n v="105"/>
    <s v="Country"/>
    <d v="1980-11-10T00:00:00"/>
    <s v="https://image-cdn-ak.spotifycdn.com/image/ab67616d00001e0249cb2d53994caada391cf39e"/>
    <b v="0"/>
  </r>
  <r>
    <n v="910"/>
    <s v="spotify:track:4wJ5Qq0jBN4ajy7ouZIV1c"/>
    <x v="39"/>
    <s v="APT."/>
    <s v="Atlantic Records"/>
    <n v="1"/>
    <n v="102"/>
    <d v="1899-12-30T02:49:00"/>
    <b v="0"/>
    <n v="78"/>
    <n v="78"/>
    <n v="93"/>
    <n v="26"/>
    <n v="3"/>
    <n v="0"/>
    <n v="36"/>
    <n v="94"/>
    <n v="149"/>
    <s v="Pop"/>
    <d v="2024-10-18T00:00:00"/>
    <s v="https://image-cdn-fa.spotifycdn.com/image/ab67616d00001e027be65ce6672ed7e5aac6e966"/>
    <b v="0"/>
  </r>
  <r>
    <n v="910"/>
    <s v="spotify:track:4wJ5Qq0jBN4ajy7ouZIV1c"/>
    <x v="305"/>
    <s v="APT."/>
    <s v="Atlantic Records"/>
    <n v="1"/>
    <n v="102"/>
    <d v="1899-12-30T02:49:00"/>
    <b v="0"/>
    <n v="78"/>
    <n v="78"/>
    <n v="93"/>
    <n v="26"/>
    <n v="3"/>
    <n v="0"/>
    <n v="36"/>
    <n v="94"/>
    <n v="149"/>
    <s v="Pop"/>
    <d v="2024-10-18T00:00:00"/>
    <s v="https://image-cdn-fa.spotifycdn.com/image/ab67616d00001e027be65ce6672ed7e5aac6e966"/>
    <b v="0"/>
  </r>
  <r>
    <n v="911"/>
    <s v="spotify:track:4waPZF96vX1Oz5pzH6dB0h"/>
    <x v="238"/>
    <s v="I'll Take Care of You (feat. Yebba)"/>
    <s v="Columbia"/>
    <n v="110"/>
    <n v="2"/>
    <s v="03:18:00"/>
    <b v="1"/>
    <n v="68"/>
    <n v="46"/>
    <n v="70"/>
    <n v="12"/>
    <n v="54"/>
    <n v="0"/>
    <n v="10"/>
    <n v="39"/>
    <n v="82"/>
    <s v="Hip-Hop/Rap"/>
    <s v="18/7/2025"/>
    <s v="https://image-cdn-ak.spotifycdn.com/image/ab67616d00001e024b7fbb849ed845ddedcce346"/>
    <b v="0"/>
  </r>
  <r>
    <n v="911"/>
    <s v="spotify:track:4waPZF96vX1Oz5pzH6dB0h"/>
    <x v="83"/>
    <s v="I'll Take Care of You (feat. Yebba)"/>
    <s v="Columbia"/>
    <n v="110"/>
    <n v="2"/>
    <s v="03:18:00"/>
    <b v="1"/>
    <n v="68"/>
    <n v="46"/>
    <n v="70"/>
    <n v="12"/>
    <n v="54"/>
    <n v="0"/>
    <n v="10"/>
    <n v="39"/>
    <n v="82"/>
    <s v="Hip-Hop/Rap"/>
    <s v="18/7/2025"/>
    <s v="https://image-cdn-ak.spotifycdn.com/image/ab67616d00001e024b7fbb849ed845ddedcce346"/>
    <b v="0"/>
  </r>
  <r>
    <n v="912"/>
    <s v="spotify:track:4whkhyXTrTgHKZzkUvdwoq"/>
    <x v="254"/>
    <s v="My Old Ways"/>
    <s v="Columbia"/>
    <n v="102"/>
    <n v="1"/>
    <s v="04:05:00"/>
    <b v="0"/>
    <n v="68"/>
    <n v="62"/>
    <n v="72"/>
    <n v="4"/>
    <n v="31"/>
    <n v="1"/>
    <n v="13"/>
    <n v="55"/>
    <n v="115"/>
    <s v="Psychedelic Pop"/>
    <s v="22/8/2025"/>
    <s v="https://image-cdn-ak.spotifycdn.com/image/ab67616d00001e02208500450dcd0fd294d7bd3b"/>
    <b v="0"/>
  </r>
  <r>
    <n v="913"/>
    <s v="spotify:track:4x7j9ed3FRH6CHj27kiTQ3"/>
    <x v="644"/>
    <s v="Wackelkontakt"/>
    <s v="stereopolrecords / ZEITGEIST for Intercord Records"/>
    <n v="147"/>
    <n v="1"/>
    <s v="03:18:00"/>
    <b v="0"/>
    <n v="66"/>
    <n v="62"/>
    <n v="71"/>
    <n v="5"/>
    <n v="38"/>
    <n v="0"/>
    <n v="15"/>
    <n v="56"/>
    <n v="120"/>
    <s v="German Pop"/>
    <s v="30/5/2025"/>
    <s v="https://image-cdn-ak.spotifycdn.com/image/ab67616d00001e0289b9e48b79603248d4fea627"/>
    <b v="0"/>
  </r>
  <r>
    <n v="915"/>
    <s v="spotify:track:4xoY4lZNoTjEuHsSmhgF1G"/>
    <x v="645"/>
    <s v="Sesi Potret"/>
    <s v="Firefly Records"/>
    <n v="24"/>
    <n v="19"/>
    <d v="1899-12-30T03:18:00"/>
    <b v="0"/>
    <n v="62"/>
    <n v="62"/>
    <n v="76"/>
    <n v="6"/>
    <n v="30"/>
    <n v="0"/>
    <n v="10"/>
    <n v="52"/>
    <n v="95"/>
    <s v="Indie Pop"/>
    <d v="2025-02-14T00:00:00"/>
    <s v="https://image-cdn-ak.spotifycdn.com/image/ab67616d00001e02172768978c7f929803ad7e8b"/>
    <b v="0"/>
  </r>
  <r>
    <n v="915"/>
    <s v="spotify:track:4xoY4lZNoTjEuHsSmhgF1G"/>
    <x v="646"/>
    <s v="Sesi Potret"/>
    <s v="Firefly Records"/>
    <n v="24"/>
    <n v="19"/>
    <d v="1899-12-30T03:18:00"/>
    <b v="0"/>
    <n v="62"/>
    <n v="62"/>
    <n v="76"/>
    <n v="6"/>
    <n v="30"/>
    <n v="0"/>
    <n v="10"/>
    <n v="52"/>
    <n v="95"/>
    <s v="Indie Pop"/>
    <d v="2025-02-14T00:00:00"/>
    <s v="https://image-cdn-ak.spotifycdn.com/image/ab67616d00001e02172768978c7f929803ad7e8b"/>
    <b v="0"/>
  </r>
  <r>
    <n v="916"/>
    <s v="spotify:track:4xqrdfXkTW4T0RauPLv3WA"/>
    <x v="647"/>
    <s v="Heather"/>
    <s v="Republic Records"/>
    <n v="12"/>
    <n v="159"/>
    <d v="1899-12-30T03:18:00"/>
    <b v="0"/>
    <n v="36"/>
    <n v="42"/>
    <n v="88"/>
    <n v="3"/>
    <n v="58"/>
    <n v="0"/>
    <n v="32"/>
    <n v="27"/>
    <n v="102"/>
    <s v="Indie Pop"/>
    <d v="2020-03-20T00:00:00"/>
    <s v="https://image-cdn-ak.spotifycdn.com/image/ab67616d00001e0288e3cda6d29b2552d4d6bc43"/>
    <b v="0"/>
  </r>
  <r>
    <n v="917"/>
    <s v="spotify:track:4xvEn1vhrF9JbPFWqTXsH4"/>
    <x v="23"/>
    <s v="I know love (feat. The Kid LAROI)"/>
    <s v="RCA Records Label"/>
    <n v="49"/>
    <n v="3"/>
    <d v="1899-12-30T03:05:00"/>
    <b v="1"/>
    <n v="56"/>
    <n v="74"/>
    <n v="93"/>
    <n v="10"/>
    <n v="2"/>
    <n v="0"/>
    <n v="34"/>
    <n v="47"/>
    <n v="180"/>
    <s v="Pop"/>
    <d v="2025-02-21T00:00:00"/>
    <s v="https://image-cdn-fa.spotifycdn.com/image/ab67616d00001e0230420759f1a2cd4923c5c65b"/>
    <b v="0"/>
  </r>
  <r>
    <n v="917"/>
    <s v="spotify:track:4xvEn1vhrF9JbPFWqTXsH4"/>
    <x v="277"/>
    <s v="I know love (feat. The Kid LAROI)"/>
    <s v="RCA Records Label"/>
    <n v="49"/>
    <n v="3"/>
    <d v="1899-12-30T03:05:00"/>
    <b v="1"/>
    <n v="56"/>
    <n v="74"/>
    <n v="93"/>
    <n v="10"/>
    <n v="2"/>
    <n v="0"/>
    <n v="34"/>
    <n v="47"/>
    <n v="180"/>
    <s v="Pop"/>
    <d v="2025-02-21T00:00:00"/>
    <s v="https://image-cdn-fa.spotifycdn.com/image/ab67616d00001e0230420759f1a2cd4923c5c65b"/>
    <b v="0"/>
  </r>
  <r>
    <n v="918"/>
    <s v="spotify:track:4y3VBhJPEztyRmNxfK3tZ5"/>
    <x v="37"/>
    <s v="All Them Horses"/>
    <s v="Mercury Records"/>
    <n v="189"/>
    <n v="1"/>
    <s v="03:48:00"/>
    <b v="0"/>
    <n v="48"/>
    <n v="35"/>
    <n v="68"/>
    <n v="4"/>
    <n v="76"/>
    <n v="0"/>
    <n v="12"/>
    <n v="24"/>
    <n v="85"/>
    <s v="Indie Folk"/>
    <s v="3/4/2026"/>
    <s v="https://image-cdn-ak.spotifycdn.com/image/ab67616d00001e02d879855b819250d3d00a1a38"/>
    <b v="0"/>
  </r>
  <r>
    <n v="920"/>
    <s v="spotify:track:4ygJHbpMGwZknVFaRikdFr"/>
    <x v="466"/>
    <s v="B's On The Table (feat. 21 Savage)"/>
    <s v="OVO/Republic"/>
    <n v="22"/>
    <n v="2"/>
    <s v="03:18:00"/>
    <b v="1"/>
    <n v="83"/>
    <n v="66"/>
    <n v="74"/>
    <n v="25"/>
    <n v="15"/>
    <n v="0"/>
    <n v="14"/>
    <n v="42"/>
    <n v="128"/>
    <s v="Hip-Hop/Rap"/>
    <s v="22/5/2026"/>
    <s v="https://image-cdn-ak.spotifycdn.com/image/ab67616d00001e02fe9d3ab9adb1d3b59835b81c"/>
    <b v="0"/>
  </r>
  <r>
    <n v="920"/>
    <s v="spotify:track:4ygJHbpMGwZknVFaRikdFr"/>
    <x v="53"/>
    <s v="B's On The Table (feat. 21 Savage)"/>
    <s v="OVO/Republic"/>
    <n v="22"/>
    <n v="2"/>
    <s v="03:18:00"/>
    <b v="1"/>
    <n v="83"/>
    <n v="66"/>
    <n v="74"/>
    <n v="25"/>
    <n v="15"/>
    <n v="0"/>
    <n v="14"/>
    <n v="42"/>
    <n v="128"/>
    <s v="Hip-Hop/Rap"/>
    <s v="22/5/2026"/>
    <s v="https://image-cdn-ak.spotifycdn.com/image/ab67616d00001e02fe9d3ab9adb1d3b59835b81c"/>
    <b v="0"/>
  </r>
  <r>
    <n v="921"/>
    <s v="spotify:track:4zK082ykqJzJGzC64NXjp1"/>
    <x v="1"/>
    <s v="LIKE WEEZY"/>
    <s v="AWGE/Interscope Records"/>
    <n v="121"/>
    <n v="1"/>
    <d v="1899-12-30T02:48:00"/>
    <b v="1"/>
    <n v="69"/>
    <n v="76"/>
    <n v="94"/>
    <n v="4"/>
    <n v="0"/>
    <n v="0"/>
    <n v="33"/>
    <n v="23"/>
    <n v="150"/>
    <s v="Hip-Hop/Rap"/>
    <d v="2025-03-14T00:00:00"/>
    <s v="https://image-cdn-ak.spotifycdn.com/image/ab67616d00001e026b219c8d8462bfe254a20469"/>
    <b v="0"/>
  </r>
  <r>
    <n v="922"/>
    <s v="spotify:track:4zbEItKoaRId1vRZkoO0Uh"/>
    <x v="648"/>
    <s v="Imagínate"/>
    <s v="Atlantic Records"/>
    <n v="42"/>
    <n v="19"/>
    <s v="03:05:00"/>
    <b v="0"/>
    <n v="80"/>
    <n v="66"/>
    <n v="72"/>
    <n v="6"/>
    <n v="21"/>
    <n v="0"/>
    <n v="11"/>
    <n v="74"/>
    <n v="105"/>
    <s v="Reggaeton"/>
    <s v="30/5/2025"/>
    <s v="https://image-cdn-ak.spotifycdn.com/image/ab67616d00001e02175920091dc6d0911e63ff5b"/>
    <b v="0"/>
  </r>
  <r>
    <n v="922"/>
    <s v="spotify:track:4zbEItKoaRId1vRZkoO0Uh"/>
    <x v="400"/>
    <s v="Imagínate"/>
    <s v="Atlantic Records"/>
    <n v="42"/>
    <n v="19"/>
    <s v="03:05:00"/>
    <b v="0"/>
    <n v="80"/>
    <n v="66"/>
    <n v="72"/>
    <n v="6"/>
    <n v="21"/>
    <n v="0"/>
    <n v="11"/>
    <n v="74"/>
    <n v="105"/>
    <s v="Reggaeton"/>
    <s v="30/5/2025"/>
    <s v="https://image-cdn-ak.spotifycdn.com/image/ab67616d00001e02175920091dc6d0911e63ff5b"/>
    <b v="0"/>
  </r>
  <r>
    <n v="924"/>
    <s v="spotify:track:4zmXWmILSBkn7gTvIyCiNi"/>
    <x v="98"/>
    <s v="bad thing (bunny hop)"/>
    <s v="Republic Records"/>
    <n v="42"/>
    <n v="1"/>
    <s v="02:48:00"/>
    <b v="0"/>
    <n v="82"/>
    <n v="68"/>
    <n v="76"/>
    <n v="11"/>
    <n v="18"/>
    <n v="0"/>
    <n v="10"/>
    <n v="71"/>
    <n v="126"/>
    <s v="Pop"/>
    <s v="7/8/2026"/>
    <s v="https://image-cdn-ak.spotifycdn.com/image/ab67616d00001e028baf677ee2d8dda6cc9fcbd7"/>
    <b v="0"/>
  </r>
  <r>
    <n v="925"/>
    <s v="spotify:track:4zpNfuWJA3K4d9TS4qnOIB"/>
    <x v="649"/>
    <s v="Espresso Macchiato"/>
    <s v="Tommy Cash"/>
    <n v="91"/>
    <n v="2"/>
    <d v="1899-12-30T02:48:00"/>
    <b v="0"/>
    <n v="72"/>
    <n v="72"/>
    <n v="79"/>
    <n v="8"/>
    <n v="18"/>
    <n v="0"/>
    <n v="11"/>
    <n v="58"/>
    <n v="105"/>
    <s v="Pop"/>
    <d v="2025-05-16T00:00:00"/>
    <s v="https://image-cdn-ak.spotifycdn.com/image/ab67616d00001e0255aa88e51262666460342d46"/>
    <b v="0"/>
  </r>
  <r>
    <n v="926"/>
    <s v="spotify:track:50kpGaPAhYJ3sGmk6vplg0"/>
    <x v="2"/>
    <s v="Love Yourself"/>
    <s v="RBMG/Def Jam"/>
    <n v="15"/>
    <n v="79"/>
    <d v="1899-12-30T03:53:00"/>
    <b v="0"/>
    <n v="61"/>
    <n v="38"/>
    <n v="84"/>
    <n v="44"/>
    <n v="84"/>
    <n v="0"/>
    <n v="28"/>
    <n v="52"/>
    <n v="100"/>
    <s v="Pop"/>
    <d v="2015-11-09T00:00:00"/>
    <s v="https://image-cdn-ak.spotifycdn.com/image/ab67616d00001e02f46b9d202509a8f7384b90de"/>
    <b v="0"/>
  </r>
  <r>
    <n v="927"/>
    <s v="spotify:track:50zAEIE4B1QqhPjRMK2Xmh"/>
    <x v="347"/>
    <s v="Running Wild"/>
    <s v="BIGHIT MUSIC"/>
    <n v="10"/>
    <n v="26"/>
    <d v="1899-12-30T03:18:00"/>
    <b v="0"/>
    <n v="49"/>
    <n v="71"/>
    <n v="93"/>
    <n v="3"/>
    <n v="0"/>
    <n v="0"/>
    <n v="15"/>
    <n v="32"/>
    <n v="147"/>
    <s v="Pop"/>
    <d v="2024-11-15T00:00:00"/>
    <s v="https://image-cdn-ak.spotifycdn.com/image/ab67616d00001e0202dd46d1f82ce19b5927b269"/>
    <b v="0"/>
  </r>
  <r>
    <n v="928"/>
    <s v="spotify:track:514joG57v4yKTsfQmz7stz"/>
    <x v="53"/>
    <s v="Janice STFU"/>
    <s v="OVO/Republic"/>
    <n v="3"/>
    <n v="20"/>
    <s v="03:18:00"/>
    <b v="1"/>
    <n v="74"/>
    <n v="51"/>
    <n v="70"/>
    <n v="45"/>
    <n v="50"/>
    <n v="0"/>
    <n v="12"/>
    <n v="28"/>
    <n v="95"/>
    <s v="Hip-Hop/Rap"/>
    <s v="22/5/2026"/>
    <s v="https://image-cdn-ak.spotifycdn.com/image/ab67616d00001e02fe9d3ab9adb1d3b59835b81c"/>
    <b v="0"/>
  </r>
  <r>
    <n v="930"/>
    <s v="spotify:track:51ZQ1vr10ffzbwIjDCwqm4"/>
    <x v="98"/>
    <s v="we can't be friends (wait for your love)"/>
    <s v="Republic Records"/>
    <n v="1"/>
    <n v="131"/>
    <d v="1899-12-30T03:48:00"/>
    <b v="0"/>
    <n v="64"/>
    <n v="65"/>
    <n v="86"/>
    <n v="4"/>
    <n v="6"/>
    <n v="0"/>
    <n v="7"/>
    <n v="30"/>
    <n v="116"/>
    <s v="Pop"/>
    <d v="2024-03-08T00:00:00"/>
    <s v="https://image-cdn-ak.spotifycdn.com/image/ab67616d00001e028b58d20f1b77295730db15b4"/>
    <b v="0"/>
  </r>
  <r>
    <n v="931"/>
    <s v="spotify:track:51eSHglvG1RJXtL3qI5trr"/>
    <x v="200"/>
    <s v="Slow It Down"/>
    <s v="Night Street Records, Inc./Warner Records Inc."/>
    <n v="27"/>
    <n v="54"/>
    <d v="1899-12-30T02:48:00"/>
    <b v="0"/>
    <n v="43"/>
    <n v="58"/>
    <n v="92"/>
    <n v="7"/>
    <n v="17"/>
    <n v="0"/>
    <n v="9"/>
    <n v="54"/>
    <n v="181"/>
    <s v="Pop"/>
    <d v="2024-01-18T00:00:00"/>
    <s v="https://image-cdn-fa.spotifycdn.com/image/ab67616d00001e02831949037a1db10b87b005fa"/>
    <b v="0"/>
  </r>
  <r>
    <n v="932"/>
    <s v="spotify:track:51rfRCiUSvxXlCSCfIztBy"/>
    <x v="189"/>
    <s v="I Love You, I'm Sorry"/>
    <s v="Gracie Abrams, under exclusive license to Interscope Records"/>
    <n v="16"/>
    <n v="56"/>
    <d v="1899-12-30T03:28:00"/>
    <b v="1"/>
    <n v="53"/>
    <n v="41"/>
    <n v="87"/>
    <n v="3"/>
    <n v="66"/>
    <n v="0"/>
    <n v="13"/>
    <n v="34"/>
    <n v="116"/>
    <s v="Indie Pop"/>
    <d v="2024-06-21T00:00:00"/>
    <s v="https://image-cdn-ak.spotifycdn.com/image/ab67616d00001e026e2101520787791370f4a96b"/>
    <b v="0"/>
  </r>
  <r>
    <n v="933"/>
    <s v="spotify:track:53iuhJlwXhSER5J2IYYv1W"/>
    <x v="19"/>
    <s v="The Fate of Ophelia"/>
    <s v="Taylor Swift"/>
    <n v="1"/>
    <n v="52"/>
    <s v="03:38:00"/>
    <b v="0"/>
    <n v="52"/>
    <n v="36"/>
    <n v="68"/>
    <n v="4"/>
    <n v="78"/>
    <n v="0"/>
    <n v="15"/>
    <n v="24"/>
    <n v="144"/>
    <s v="Pop"/>
    <s v="3/10/2025"/>
    <s v="https://image-cdn-ak.spotifycdn.com/image/ab67616d00001e02d7812467811a7da6e6a44902"/>
    <b v="0"/>
  </r>
  <r>
    <n v="935"/>
    <s v="spotify:track:541sN2qNfIlllGn9nGOQoC"/>
    <x v="23"/>
    <s v="Revolving door"/>
    <s v="RCA Records Label"/>
    <n v="23"/>
    <n v="20"/>
    <d v="1899-12-30T02:48:00"/>
    <b v="1"/>
    <n v="45"/>
    <n v="74"/>
    <n v="90"/>
    <n v="27"/>
    <n v="35"/>
    <n v="0"/>
    <n v="10"/>
    <n v="18"/>
    <n v="148"/>
    <s v="Pop"/>
    <d v="2025-02-21T00:00:00"/>
    <s v="https://image-cdn-ak.spotifycdn.com/image/ab67616d00001e0230420759f1a2cd4923c5c65b"/>
    <b v="0"/>
  </r>
  <r>
    <n v="936"/>
    <s v="spotify:track:54PbBpquVfhfrwRwvjSXbI"/>
    <x v="650"/>
    <s v="We Don't Talk Anymore (feat. Selena Gomez)"/>
    <s v="Artist Partner"/>
    <n v="39"/>
    <n v="99"/>
    <d v="1899-12-30T03:37:00"/>
    <b v="0"/>
    <n v="73"/>
    <n v="56"/>
    <n v="87"/>
    <n v="13"/>
    <n v="62"/>
    <n v="0"/>
    <n v="18"/>
    <n v="35"/>
    <n v="100"/>
    <s v="Pop"/>
    <d v="2016-05-24T00:00:00"/>
    <s v="https://image-cdn-ak.spotifycdn.com/image/ab67616d00001e0215145482a542a9adb282250b"/>
    <b v="0"/>
  </r>
  <r>
    <n v="936"/>
    <s v="spotify:track:54PbBpquVfhfrwRwvjSXbI"/>
    <x v="223"/>
    <s v="We Don't Talk Anymore (feat. Selena Gomez)"/>
    <s v="Artist Partner"/>
    <n v="39"/>
    <n v="99"/>
    <d v="1899-12-30T03:37:00"/>
    <b v="0"/>
    <n v="73"/>
    <n v="56"/>
    <n v="87"/>
    <n v="13"/>
    <n v="62"/>
    <n v="0"/>
    <n v="18"/>
    <n v="35"/>
    <n v="100"/>
    <s v="Pop"/>
    <d v="2016-05-24T00:00:00"/>
    <s v="https://image-cdn-ak.spotifycdn.com/image/ab67616d00001e0215145482a542a9adb282250b"/>
    <b v="0"/>
  </r>
  <r>
    <n v="937"/>
    <s v="spotify:track:550rQQCGkrTzvp4SfpOPzx"/>
    <x v="651"/>
    <s v="Hallelujah"/>
    <s v="RCA Records Label"/>
    <n v="38"/>
    <n v="19"/>
    <d v="1899-12-30T04:28:00"/>
    <b v="0"/>
    <n v="45"/>
    <n v="50"/>
    <n v="73"/>
    <n v="3"/>
    <n v="60"/>
    <n v="0"/>
    <n v="15"/>
    <n v="65"/>
    <n v="80"/>
    <s v="Christmas"/>
    <d v="2016-10-21T00:00:00"/>
    <s v="https://image-cdn-ak.spotifycdn.com/image/ab67616d00001e022fbeaac6a873e249523e948d"/>
    <b v="1"/>
  </r>
  <r>
    <n v="938"/>
    <s v="spotify:track:554p4ro2rs7dHqGPwQX67H"/>
    <x v="54"/>
    <s v="Some of Your Love"/>
    <s v="OVO Sound"/>
    <n v="128"/>
    <n v="1"/>
    <s v="03:18:00"/>
    <b v="1"/>
    <n v="71"/>
    <n v="53"/>
    <n v="70"/>
    <n v="7"/>
    <n v="40"/>
    <n v="0"/>
    <n v="12"/>
    <n v="45"/>
    <n v="105"/>
    <s v="R&amp;B"/>
    <s v="27/6/2025"/>
    <s v="https://image-cdn-ak.spotifycdn.com/image/ab67616d00001e02279b3e89d5c179aeb939f588"/>
    <b v="0"/>
  </r>
  <r>
    <n v="939"/>
    <s v="spotify:track:554qQSs9lpRVq6TlaaiIKT"/>
    <x v="300"/>
    <s v="4 Raws"/>
    <s v="Lizzy Records"/>
    <n v="32"/>
    <n v="16"/>
    <s v="03:05:00"/>
    <b v="1"/>
    <n v="71"/>
    <n v="62"/>
    <n v="72"/>
    <n v="6"/>
    <n v="29"/>
    <n v="0"/>
    <n v="12"/>
    <n v="54"/>
    <n v="124"/>
    <s v="UK Rap"/>
    <s v="16/1/2026"/>
    <s v="https://image-cdn-ak.spotifycdn.com/image/ab67616d00001e02cff4bd68d5d0dd9a0a748045"/>
    <b v="0"/>
  </r>
  <r>
    <n v="940"/>
    <s v="spotify:track:55lijDD6OAjLFFUHU9tcDm"/>
    <x v="118"/>
    <s v="WHERE IS MY HUSBAND!"/>
    <s v="Human Re Sources"/>
    <n v="6"/>
    <n v="27"/>
    <s v="03:05:00"/>
    <b v="0"/>
    <n v="71"/>
    <n v="64"/>
    <n v="73"/>
    <n v="12"/>
    <n v="29"/>
    <n v="0"/>
    <n v="18"/>
    <n v="55"/>
    <n v="130"/>
    <s v="Pop"/>
    <s v="19/9/2025"/>
    <s v="https://image-cdn-fa.spotifycdn.com/image/ab67616d00001e026ac3c7938191585c53c8180d"/>
    <b v="0"/>
  </r>
  <r>
    <n v="942"/>
    <s v="spotify:track:55srcWA7TioKV0LZVNXltY"/>
    <x v="98"/>
    <s v="never get over me"/>
    <s v="Republic Records"/>
    <n v="36"/>
    <n v="2"/>
    <s v="03:05:00"/>
    <b v="0"/>
    <n v="69"/>
    <n v="50"/>
    <n v="73"/>
    <n v="5"/>
    <n v="41"/>
    <n v="0"/>
    <n v="13"/>
    <n v="48"/>
    <n v="115"/>
    <s v="Pop"/>
    <s v="7/8/2026"/>
    <s v="https://image-cdn-fa.spotifycdn.com/image/ab67616d00001e028baf677ee2d8dda6cc9fcbd7"/>
    <b v="0"/>
  </r>
  <r>
    <n v="943"/>
    <s v="spotify:track:55wlsNYqcfiQsHuX8l0jmF"/>
    <x v="53"/>
    <s v="Make Them Cry"/>
    <s v="OVO/Republic"/>
    <n v="10"/>
    <n v="2"/>
    <s v="03:18:00"/>
    <b v="1"/>
    <n v="67"/>
    <n v="49"/>
    <n v="71"/>
    <n v="35"/>
    <n v="59"/>
    <n v="0"/>
    <n v="15"/>
    <n v="25"/>
    <n v="118"/>
    <s v="Hip-Hop/Rap"/>
    <s v="22/5/2026"/>
    <s v="https://image-cdn-ak.spotifycdn.com/image/ab67616d00001e02fe9d3ab9adb1d3b59835b81c"/>
    <b v="0"/>
  </r>
  <r>
    <n v="944"/>
    <s v="spotify:track:561jH07mF1jHuk7KlaeF0s"/>
    <x v="198"/>
    <s v="Mockingbird"/>
    <s v="Eminem Catalog PS"/>
    <n v="24"/>
    <n v="103"/>
    <d v="1899-12-30T04:11:00"/>
    <b v="1"/>
    <n v="64"/>
    <n v="68"/>
    <n v="94"/>
    <n v="27"/>
    <n v="21"/>
    <n v="0"/>
    <n v="16"/>
    <n v="25"/>
    <n v="84"/>
    <s v="Hip-Hop/Rap"/>
    <d v="2004-11-12T00:00:00"/>
    <s v="https://image-cdn-ak.spotifycdn.com/image/ab67616d00001e021bec21e57fff76db49e15a70"/>
    <b v="0"/>
  </r>
  <r>
    <n v="945"/>
    <s v="spotify:track:565G1vHZu2xoxrnTyF06Qw"/>
    <x v="387"/>
    <s v="HIGHS AND LOWS"/>
    <s v="YZY/gamma."/>
    <n v="185"/>
    <n v="1"/>
    <s v="03:18:00"/>
    <b v="1"/>
    <n v="70"/>
    <n v="58"/>
    <n v="71"/>
    <n v="15"/>
    <n v="29"/>
    <n v="0"/>
    <n v="15"/>
    <n v="42"/>
    <n v="98"/>
    <s v="Hip-Hop/Rap"/>
    <s v="3/4/2026"/>
    <s v="https://image-cdn-ak.spotifycdn.com/image/ab67616d00001e0295184f6a953569b683ca9a0d"/>
    <b v="0"/>
  </r>
  <r>
    <n v="945"/>
    <s v="spotify:track:565G1vHZu2xoxrnTyF06Qw"/>
    <x v="388"/>
    <s v="HIGHS AND LOWS"/>
    <s v="YZY/gamma."/>
    <n v="185"/>
    <n v="1"/>
    <s v="03:18:00"/>
    <b v="1"/>
    <n v="70"/>
    <n v="58"/>
    <n v="71"/>
    <n v="15"/>
    <n v="29"/>
    <n v="0"/>
    <n v="15"/>
    <n v="42"/>
    <n v="98"/>
    <s v="Hip-Hop/Rap"/>
    <s v="3/4/2026"/>
    <s v="https://image-cdn-ak.spotifycdn.com/image/ab67616d00001e0295184f6a953569b683ca9a0d"/>
    <b v="0"/>
  </r>
  <r>
    <n v="946"/>
    <s v="spotify:track:567e29TDzLwZwfDuEpGTwo"/>
    <x v="2"/>
    <s v="STAY (with Justin Bieber)"/>
    <s v="Columbia"/>
    <n v="1"/>
    <n v="191"/>
    <d v="1899-12-30T02:21:00"/>
    <b v="1"/>
    <n v="59"/>
    <n v="76"/>
    <n v="91"/>
    <n v="5"/>
    <n v="4"/>
    <n v="0"/>
    <n v="10"/>
    <n v="48"/>
    <n v="170"/>
    <s v="Pop"/>
    <d v="2021-07-09T00:00:00"/>
    <s v="https://image-cdn-ak.spotifycdn.com/image/ab67616d00001e02b4d59e6fa7e5e7cbc57ac33a"/>
    <b v="0"/>
  </r>
  <r>
    <n v="946"/>
    <s v="spotify:track:567e29TDzLwZwfDuEpGTwo"/>
    <x v="277"/>
    <s v="STAY (with Justin Bieber)"/>
    <s v="Columbia"/>
    <n v="1"/>
    <n v="191"/>
    <d v="1899-12-30T02:21:00"/>
    <b v="1"/>
    <n v="59"/>
    <n v="76"/>
    <n v="91"/>
    <n v="5"/>
    <n v="4"/>
    <n v="0"/>
    <n v="10"/>
    <n v="48"/>
    <n v="170"/>
    <s v="Pop"/>
    <d v="2021-07-09T00:00:00"/>
    <s v="https://image-cdn-ak.spotifycdn.com/image/ab67616d00001e02b4d59e6fa7e5e7cbc57ac33a"/>
    <b v="0"/>
  </r>
  <r>
    <n v="947"/>
    <s v="spotify:track:569uHYIB0X324FZOBEhvit"/>
    <x v="652"/>
    <s v="Ghostbusters - from the &quot;Ghostbusters&quot; Original Motion Picture Soundtrack"/>
    <s v="Arista/Legacy"/>
    <n v="88"/>
    <n v="4"/>
    <d v="1899-12-30T04:00:00"/>
    <b v="0"/>
    <n v="72"/>
    <n v="72"/>
    <n v="79"/>
    <n v="6"/>
    <n v="20"/>
    <n v="0"/>
    <n v="12"/>
    <n v="72"/>
    <n v="116"/>
    <s v="Pop"/>
    <d v="1984-06-08T00:00:00"/>
    <s v="https://image-cdn-ak.spotifycdn.com/image/ab67616d00001e02841c8f567b42b8b9a1aa54ec"/>
    <b v="0"/>
  </r>
  <r>
    <n v="948"/>
    <s v="spotify:track:56Fu41EhpsPqqfDZsj3eaN"/>
    <x v="235"/>
    <s v="Do It"/>
    <s v="Republic Records - Stray Kids"/>
    <n v="42"/>
    <n v="1"/>
    <s v="03:05:00"/>
    <b v="0"/>
    <n v="81"/>
    <n v="80"/>
    <n v="75"/>
    <n v="8"/>
    <n v="12"/>
    <n v="0"/>
    <n v="16"/>
    <n v="79"/>
    <n v="126"/>
    <s v="K-Pop"/>
    <s v="22/8/2025"/>
    <s v="https://image-cdn-ak.spotifycdn.com/image/ab67616d00001e02a08c4f429bde0743d0597db7"/>
    <b v="0"/>
  </r>
  <r>
    <n v="949"/>
    <s v="spotify:track:56V7nzrqr6Sq1uFym4odwa"/>
    <x v="142"/>
    <s v="Cuando No Era Cantante RMX - Remix"/>
    <s v="El Bogueto"/>
    <n v="30"/>
    <n v="41"/>
    <d v="1899-12-30T03:18:00"/>
    <b v="1"/>
    <n v="85"/>
    <n v="80"/>
    <n v="82"/>
    <n v="12"/>
    <n v="5"/>
    <n v="0"/>
    <n v="13"/>
    <n v="68"/>
    <n v="96"/>
    <s v="Reggaeton"/>
    <d v="2024-12-06T00:00:00"/>
    <s v="https://image-cdn-ak.spotifycdn.com/image/ab67616d00001e0298852bf3ce0698c24c8f1bd4"/>
    <b v="0"/>
  </r>
  <r>
    <n v="949"/>
    <s v="spotify:track:56V7nzrqr6Sq1uFym4odwa"/>
    <x v="273"/>
    <s v="Cuando No Era Cantante RMX - Remix"/>
    <s v="El Bogueto"/>
    <n v="30"/>
    <n v="41"/>
    <d v="1899-12-30T03:18:00"/>
    <b v="1"/>
    <n v="85"/>
    <n v="80"/>
    <n v="82"/>
    <n v="12"/>
    <n v="5"/>
    <n v="0"/>
    <n v="13"/>
    <n v="68"/>
    <n v="96"/>
    <s v="Reggaeton"/>
    <d v="2024-12-06T00:00:00"/>
    <s v="https://image-cdn-ak.spotifycdn.com/image/ab67616d00001e0298852bf3ce0698c24c8f1bd4"/>
    <b v="0"/>
  </r>
  <r>
    <n v="949"/>
    <s v="spotify:track:56V7nzrqr6Sq1uFym4odwa"/>
    <x v="256"/>
    <s v="Cuando No Era Cantante RMX - Remix"/>
    <s v="El Bogueto"/>
    <n v="30"/>
    <n v="41"/>
    <d v="1899-12-30T03:18:00"/>
    <b v="1"/>
    <n v="85"/>
    <n v="80"/>
    <n v="82"/>
    <n v="12"/>
    <n v="5"/>
    <n v="0"/>
    <n v="13"/>
    <n v="68"/>
    <n v="96"/>
    <s v="Reggaeton"/>
    <d v="2024-12-06T00:00:00"/>
    <s v="https://image-cdn-ak.spotifycdn.com/image/ab67616d00001e0298852bf3ce0698c24c8f1bd4"/>
    <b v="0"/>
  </r>
  <r>
    <n v="949"/>
    <s v="spotify:track:56V7nzrqr6Sq1uFym4odwa"/>
    <x v="274"/>
    <s v="Cuando No Era Cantante RMX - Remix"/>
    <s v="El Bogueto"/>
    <n v="30"/>
    <n v="41"/>
    <d v="1899-12-30T03:18:00"/>
    <b v="1"/>
    <n v="85"/>
    <n v="80"/>
    <n v="82"/>
    <n v="12"/>
    <n v="5"/>
    <n v="0"/>
    <n v="13"/>
    <n v="68"/>
    <n v="96"/>
    <s v="Reggaeton"/>
    <d v="2024-12-06T00:00:00"/>
    <s v="https://image-cdn-ak.spotifycdn.com/image/ab67616d00001e0298852bf3ce0698c24c8f1bd4"/>
    <b v="0"/>
  </r>
  <r>
    <n v="950"/>
    <s v="spotify:track:56bPsRfOKla3bGGmVz1uk4"/>
    <x v="518"/>
    <s v="Frecuencia"/>
    <s v="Double P Records"/>
    <n v="49"/>
    <n v="16"/>
    <s v="03:05:00"/>
    <b v="1"/>
    <n v="72"/>
    <n v="65"/>
    <n v="73"/>
    <n v="5"/>
    <n v="28"/>
    <n v="0"/>
    <n v="12"/>
    <n v="81"/>
    <n v="138"/>
    <s v="Regional Mexicano"/>
    <s v="30/5/2025"/>
    <s v="https://image-cdn-ak.spotifycdn.com/image/ab67616d00001e022dd11be8f86b0dadccf92695"/>
    <b v="0"/>
  </r>
  <r>
    <n v="951"/>
    <s v="spotify:track:56k68P3bFQvnKw89hizJFZ"/>
    <x v="5"/>
    <s v="Paint By Numbers"/>
    <s v="Columbia"/>
    <n v="45"/>
    <n v="1"/>
    <s v="03:18:00"/>
    <b v="0"/>
    <n v="65"/>
    <n v="56"/>
    <n v="72"/>
    <n v="4"/>
    <n v="38"/>
    <n v="0"/>
    <n v="10"/>
    <n v="49"/>
    <n v="128"/>
    <s v="Pop"/>
    <s v="6/3/2026"/>
    <s v="https://image-cdn-fa.spotifycdn.com/image/ab67616d00001e0274959140f550b11049c18a38"/>
    <b v="0"/>
  </r>
  <r>
    <n v="952"/>
    <s v="spotify:track:57ENogEkvFsU7Wmt3lvQMG"/>
    <x v="653"/>
    <s v="Two Six"/>
    <s v="Cole World, Inc., under exclusive license to Interscope Records."/>
    <n v="97"/>
    <n v="1"/>
    <s v="03:18:00"/>
    <b v="1"/>
    <n v="76"/>
    <n v="65"/>
    <n v="72"/>
    <n v="28"/>
    <n v="21"/>
    <n v="0"/>
    <n v="14"/>
    <n v="58"/>
    <n v="92"/>
    <s v="Hip-Hop/Rap"/>
    <s v="20/3/2026"/>
    <s v="https://image-cdn-fa.spotifycdn.com/image/ab67616d00001e0280788f104c780412212e97e3"/>
    <b v="0"/>
  </r>
  <r>
    <n v="953"/>
    <s v="spotify:track:57GsLpRtEtrzcPGPop20rS"/>
    <x v="53"/>
    <s v="What Did I Miss?"/>
    <s v="OVO/Republic"/>
    <n v="30"/>
    <n v="4"/>
    <s v="03:18:00"/>
    <b v="1"/>
    <n v="71"/>
    <n v="53"/>
    <n v="72"/>
    <n v="29"/>
    <n v="44"/>
    <n v="0"/>
    <n v="11"/>
    <n v="36"/>
    <n v="125"/>
    <s v="Hip-Hop/Rap"/>
    <s v="22/5/2026"/>
    <s v="https://image-cdn-fa.spotifycdn.com/image/ab67616d00001e029d22b70fe52340efb60ab681"/>
    <b v="0"/>
  </r>
  <r>
    <n v="954"/>
    <s v="spotify:track:57Z6TJCTMACXxdrcwZ3Zvf"/>
    <x v="300"/>
    <s v="Phantom"/>
    <s v="Lizzy Records"/>
    <n v="45"/>
    <n v="15"/>
    <s v="03:05:00"/>
    <b v="1"/>
    <n v="73"/>
    <n v="65"/>
    <n v="73"/>
    <n v="5"/>
    <n v="25"/>
    <n v="0"/>
    <n v="11"/>
    <n v="58"/>
    <n v="126"/>
    <s v="UK Rap"/>
    <s v="16/1/2026"/>
    <s v="https://image-cdn-ak.spotifycdn.com/image/ab67616d00001e02cff4bd68d5d0dd9a0a748045"/>
    <b v="0"/>
  </r>
  <r>
    <n v="954"/>
    <s v="spotify:track:57Z6TJCTMACXxdrcwZ3Zvf"/>
    <x v="654"/>
    <s v="Phantom"/>
    <s v="Lizzy Records"/>
    <n v="45"/>
    <n v="15"/>
    <s v="03:05:00"/>
    <b v="1"/>
    <n v="73"/>
    <n v="65"/>
    <n v="73"/>
    <n v="5"/>
    <n v="25"/>
    <n v="0"/>
    <n v="11"/>
    <n v="58"/>
    <n v="126"/>
    <s v="UK Rap"/>
    <s v="16/1/2026"/>
    <s v="https://image-cdn-ak.spotifycdn.com/image/ab67616d00001e02cff4bd68d5d0dd9a0a748045"/>
    <b v="0"/>
  </r>
  <r>
    <n v="955"/>
    <s v="spotify:track:57bgtoPSgt236HzfBOd8kj"/>
    <x v="455"/>
    <s v="Thunderstruck"/>
    <s v="Columbia"/>
    <n v="125"/>
    <n v="23"/>
    <d v="1899-12-30T04:52:00"/>
    <b v="0"/>
    <n v="50"/>
    <n v="89"/>
    <n v="91"/>
    <n v="4"/>
    <n v="0"/>
    <n v="1"/>
    <n v="22"/>
    <n v="26"/>
    <n v="134"/>
    <s v="Hard Rock"/>
    <d v="1990-09-24T00:00:00"/>
    <s v="https://image-cdn-ak.spotifycdn.com/image/ab67616d00001e029a9b1cc067e4460da04adce2"/>
    <b v="0"/>
  </r>
  <r>
    <n v="956"/>
    <s v="spotify:track:57rkFdhoKjgkg16fsS4pgg"/>
    <x v="53"/>
    <s v="Make Them Pay"/>
    <s v="OVO/Republic"/>
    <n v="15"/>
    <n v="2"/>
    <s v="03:18:00"/>
    <b v="1"/>
    <n v="76"/>
    <n v="60"/>
    <n v="73"/>
    <n v="33"/>
    <n v="31"/>
    <n v="0"/>
    <n v="13"/>
    <n v="40"/>
    <n v="132"/>
    <s v="Hip-Hop/Rap"/>
    <s v="22/5/2026"/>
    <s v="https://image-cdn-fa.spotifycdn.com/image/ab67616d00001e02fe9d3ab9adb1d3b59835b81c"/>
    <b v="0"/>
  </r>
  <r>
    <n v="957"/>
    <s v="spotify:track:58RQdadIHxBeiZ1kyDXnCo"/>
    <x v="655"/>
    <s v="Stecu Stecu"/>
    <s v="Alfatih Record"/>
    <n v="184"/>
    <n v="1"/>
    <s v="03:05:00"/>
    <b v="0"/>
    <n v="71"/>
    <n v="55"/>
    <n v="71"/>
    <n v="5"/>
    <n v="48"/>
    <n v="0"/>
    <n v="13"/>
    <n v="58"/>
    <n v="116"/>
    <s v="Indie Pop"/>
    <s v="13/6/2025"/>
    <s v="https://image-cdn-ak.spotifycdn.com/image/ab67616d00001e0219ecb9b2a1d2138f3b3055cd"/>
    <b v="0"/>
  </r>
  <r>
    <n v="958"/>
    <s v="spotify:track:58ge6dfP91o9oXMzq3XkIS"/>
    <x v="656"/>
    <s v="505"/>
    <s v="Domino Recording Co"/>
    <n v="43"/>
    <n v="247"/>
    <d v="1899-12-30T04:13:00"/>
    <b v="0"/>
    <n v="53"/>
    <n v="87"/>
    <n v="90"/>
    <n v="6"/>
    <n v="0"/>
    <n v="0"/>
    <n v="9"/>
    <n v="25"/>
    <n v="140"/>
    <s v="Indie Rock"/>
    <d v="2007-04-23T00:00:00"/>
    <s v="https://image-cdn-ak.spotifycdn.com/image/ab67616d00001e020c8ac83035e9588e8ad34b90"/>
    <b v="0"/>
  </r>
  <r>
    <n v="959"/>
    <s v="spotify:track:58q2HKrzhC3ozto2nDdN4z"/>
    <x v="103"/>
    <s v="I Like It"/>
    <s v="Atlantic/KSR"/>
    <n v="2"/>
    <n v="76"/>
    <d v="1899-12-30T04:13:00"/>
    <b v="1"/>
    <n v="82"/>
    <n v="73"/>
    <n v="93"/>
    <n v="13"/>
    <n v="10"/>
    <n v="0"/>
    <n v="37"/>
    <n v="65"/>
    <n v="136"/>
    <s v="Reggaeton"/>
    <d v="2018-05-25T00:00:00"/>
    <s v="https://image-cdn-ak.spotifycdn.com/image/ab67616d00001e02a0caffda54afd0a65995bbab"/>
    <b v="0"/>
  </r>
  <r>
    <n v="959"/>
    <s v="spotify:track:58q2HKrzhC3ozto2nDdN4z"/>
    <x v="657"/>
    <s v="I Like It"/>
    <s v="Atlantic/KSR"/>
    <n v="2"/>
    <n v="76"/>
    <d v="1899-12-30T04:13:00"/>
    <b v="1"/>
    <n v="82"/>
    <n v="73"/>
    <n v="93"/>
    <n v="13"/>
    <n v="10"/>
    <n v="0"/>
    <n v="37"/>
    <n v="65"/>
    <n v="136"/>
    <s v="Reggaeton"/>
    <d v="2018-05-25T00:00:00"/>
    <s v="https://image-cdn-ak.spotifycdn.com/image/ab67616d00001e02a0caffda54afd0a65995bbab"/>
    <b v="0"/>
  </r>
  <r>
    <n v="959"/>
    <s v="spotify:track:58q2HKrzhC3ozto2nDdN4z"/>
    <x v="145"/>
    <s v="I Like It"/>
    <s v="Atlantic/KSR"/>
    <n v="2"/>
    <n v="76"/>
    <d v="1899-12-30T04:13:00"/>
    <b v="1"/>
    <n v="82"/>
    <n v="73"/>
    <n v="93"/>
    <n v="13"/>
    <n v="10"/>
    <n v="0"/>
    <n v="37"/>
    <n v="65"/>
    <n v="136"/>
    <s v="Reggaeton"/>
    <d v="2018-05-25T00:00:00"/>
    <s v="https://image-cdn-ak.spotifycdn.com/image/ab67616d00001e02a0caffda54afd0a65995bbab"/>
    <b v="0"/>
  </r>
  <r>
    <n v="960"/>
    <s v="spotify:track:59D4DOkspUbWyMmbAPQkxZ"/>
    <x v="103"/>
    <s v="VOY A LLeVARTE PA PR"/>
    <s v="Rimas Entertainment LLC."/>
    <n v="8"/>
    <n v="60"/>
    <d v="1899-12-30T03:38:00"/>
    <b v="1"/>
    <n v="15"/>
    <n v="60"/>
    <n v="42"/>
    <n v="6"/>
    <n v="92"/>
    <n v="45"/>
    <n v="40"/>
    <n v="0"/>
    <n v="106"/>
    <s v="Reggaeton"/>
    <d v="2025-01-05T00:00:00"/>
    <s v="https://image-cdn-ak.spotifycdn.com/image/ab67616d00001e02bbd45c8d36e0e045ef640411"/>
    <b v="0"/>
  </r>
  <r>
    <n v="961"/>
    <s v="spotify:track:59dLtGBS26x7kc0rHbaPrq"/>
    <x v="658"/>
    <s v="Nothin' on You (feat. Bruno Mars)"/>
    <s v="Rebel Rock/Grand Hustle/Atlantic"/>
    <n v="119"/>
    <n v="3"/>
    <d v="1899-12-30T04:28:00"/>
    <b v="0"/>
    <n v="69"/>
    <n v="85"/>
    <n v="90"/>
    <n v="5"/>
    <n v="39"/>
    <n v="0"/>
    <n v="9"/>
    <n v="74"/>
    <n v="104"/>
    <s v="Pop"/>
    <d v="2009-12-15T00:00:00"/>
    <s v="https://image-cdn-ak.spotifycdn.com/image/ab67616d00001e02caa23612279c2d059a0d3a82"/>
    <b v="0"/>
  </r>
  <r>
    <n v="961"/>
    <s v="spotify:track:59dLtGBS26x7kc0rHbaPrq"/>
    <x v="39"/>
    <s v="Nothin' on You (feat. Bruno Mars)"/>
    <s v="Rebel Rock/Grand Hustle/Atlantic"/>
    <n v="119"/>
    <n v="3"/>
    <d v="1899-12-30T04:28:00"/>
    <b v="0"/>
    <n v="69"/>
    <n v="85"/>
    <n v="90"/>
    <n v="5"/>
    <n v="39"/>
    <n v="0"/>
    <n v="9"/>
    <n v="74"/>
    <n v="104"/>
    <s v="Pop"/>
    <d v="2009-12-15T00:00:00"/>
    <s v="https://image-cdn-ak.spotifycdn.com/image/ab67616d00001e02caa23612279c2d059a0d3a82"/>
    <b v="0"/>
  </r>
  <r>
    <n v="962"/>
    <s v="spotify:track:59hVbgr8rfYkDbHfr8RcGI"/>
    <x v="659"/>
    <s v="IRIS OUT"/>
    <s v="Sony Music Labels Inc."/>
    <n v="91"/>
    <n v="9"/>
    <s v="03:05:00"/>
    <b v="0"/>
    <n v="58"/>
    <n v="74"/>
    <n v="75"/>
    <n v="5"/>
    <n v="16"/>
    <n v="0"/>
    <n v="18"/>
    <n v="46"/>
    <n v="148"/>
    <s v="J-Pop"/>
    <s v="5/9/2025"/>
    <s v="https://image-cdn-ak.spotifycdn.com/image/ab67616d00001e026d1d4e875e2424cdd07f3232"/>
    <b v="0"/>
  </r>
  <r>
    <n v="963"/>
    <s v="spotify:track:5AEOqLsRJFAoSS4ay4Jzao"/>
    <x v="146"/>
    <s v="Come As You Are"/>
    <s v="Geffen"/>
    <n v="161"/>
    <n v="30"/>
    <d v="1899-12-30T03:39:00"/>
    <b v="0"/>
    <n v="50"/>
    <n v="82"/>
    <n v="90"/>
    <n v="4"/>
    <n v="0"/>
    <n v="0"/>
    <n v="9"/>
    <n v="54"/>
    <n v="120"/>
    <s v="Grunge"/>
    <d v="1991-09-10T00:00:00"/>
    <s v="https://image-cdn-ak.spotifycdn.com/image/ab67616d00001e02444f118a9126af9e1483dcc0"/>
    <b v="0"/>
  </r>
  <r>
    <n v="964"/>
    <s v="spotify:track:5AJ9hqTS2wcFQCELCFRO7A"/>
    <x v="660"/>
    <s v="MILLION DOLLAR BABY"/>
    <s v="PULSE Records"/>
    <n v="1"/>
    <n v="46"/>
    <d v="1899-12-30T02:35:00"/>
    <b v="0"/>
    <n v="85"/>
    <n v="70"/>
    <n v="91"/>
    <n v="4"/>
    <n v="10"/>
    <n v="0"/>
    <n v="7"/>
    <n v="92"/>
    <n v="138"/>
    <s v="Pop"/>
    <d v="2024-04-26T00:00:00"/>
    <s v="https://image-cdn-ak.spotifycdn.com/image/ab67616d00001e0201c0cd5da820e6128655854f"/>
    <b v="0"/>
  </r>
  <r>
    <n v="965"/>
    <s v="spotify:track:5B3GZOZYXNzWpUXQC42hxZ"/>
    <x v="124"/>
    <s v="Sugar Talking"/>
    <s v="Island Records"/>
    <n v="13"/>
    <n v="4"/>
    <s v="03:05:00"/>
    <b v="0"/>
    <n v="78"/>
    <n v="65"/>
    <n v="73"/>
    <n v="6"/>
    <n v="19"/>
    <n v="0"/>
    <n v="11"/>
    <n v="71"/>
    <n v="116"/>
    <s v="Pop"/>
    <s v="29/8/2025"/>
    <s v="https://image-cdn-ak.spotifycdn.com/image/ab67616d00001e02b1863bf95557ea7f357c4947"/>
    <b v="0"/>
  </r>
  <r>
    <n v="966"/>
    <s v="spotify:track:5B579RUazOpBcuxjTZWnMs"/>
    <x v="302"/>
    <s v="Te Estoy Correteando"/>
    <s v="Atlantic Records UK"/>
    <n v="72"/>
    <n v="8"/>
    <s v="03:05:00"/>
    <b v="0"/>
    <n v="69"/>
    <n v="62"/>
    <n v="72"/>
    <n v="5"/>
    <n v="40"/>
    <n v="1"/>
    <n v="13"/>
    <n v="47"/>
    <n v="124"/>
    <s v="Reggaeton"/>
    <s v="9/1/2026"/>
    <s v="https://image-cdn-fa.spotifycdn.com/image/ab67616d00001e022fe1ee03a5bed6b4a2e73296"/>
    <b v="0"/>
  </r>
  <r>
    <n v="966"/>
    <s v="spotify:track:5B579RUazOpBcuxjTZWnMs"/>
    <x v="661"/>
    <s v="Te Estoy Correteando"/>
    <s v="Atlantic Records UK"/>
    <n v="72"/>
    <n v="8"/>
    <s v="03:05:00"/>
    <b v="0"/>
    <n v="69"/>
    <n v="62"/>
    <n v="72"/>
    <n v="5"/>
    <n v="40"/>
    <n v="1"/>
    <n v="13"/>
    <n v="47"/>
    <n v="124"/>
    <s v="Reggaeton"/>
    <s v="9/1/2026"/>
    <s v="https://image-cdn-fa.spotifycdn.com/image/ab67616d00001e022fe1ee03a5bed6b4a2e73296"/>
    <b v="0"/>
  </r>
  <r>
    <n v="967"/>
    <s v="spotify:track:5BKKy9fIJL5uM9fz1SnqyP"/>
    <x v="38"/>
    <s v="Chicago"/>
    <s v="Epic/MJJ"/>
    <n v="12"/>
    <n v="23"/>
    <d v="1899-12-30T04:05:00"/>
    <b v="0"/>
    <n v="61"/>
    <n v="76"/>
    <n v="96"/>
    <n v="18"/>
    <n v="8"/>
    <n v="0"/>
    <n v="19"/>
    <n v="55"/>
    <n v="176"/>
    <s v="Pop"/>
    <d v="2014-05-13T00:00:00"/>
    <s v="https://image-cdn-ak.spotifycdn.com/image/ab67616d00001e0235f36cb686b0d5a12ab3a9f0"/>
    <b v="0"/>
  </r>
  <r>
    <n v="968"/>
    <s v="spotify:track:5BZsQlgw21vDOAjoqkNgKb"/>
    <x v="2"/>
    <s v="DAISIES"/>
    <s v="JRC Entertainment, LLC / ILH Production Co. LLC / Def Jam Recordings"/>
    <n v="2"/>
    <n v="64"/>
    <s v="03:18:00"/>
    <b v="0"/>
    <n v="72"/>
    <n v="53"/>
    <n v="71"/>
    <n v="5"/>
    <n v="41"/>
    <n v="0"/>
    <n v="10"/>
    <n v="52"/>
    <n v="120"/>
    <s v="Pop"/>
    <s v="12/9/2025"/>
    <s v="https://image-cdn-ak.spotifycdn.com/image/ab67616d00001e02d65c4773bc5061fd27facc5b"/>
    <b v="0"/>
  </r>
  <r>
    <n v="969"/>
    <s v="spotify:track:5BsvzSvw98mLqpZznMjuLX"/>
    <x v="105"/>
    <s v="ZIZI"/>
    <s v="Nibiru International/Sony Music Latin"/>
    <n v="130"/>
    <n v="1"/>
    <s v="03:05:00"/>
    <b v="1"/>
    <n v="82"/>
    <n v="64"/>
    <n v="69"/>
    <n v="7"/>
    <n v="26"/>
    <n v="0"/>
    <n v="13"/>
    <n v="55"/>
    <n v="120"/>
    <s v="Reggaeton"/>
    <s v="14/8/2026"/>
    <s v="https://image-cdn-ak.spotifycdn.com/image/ab67616d00001e02eb31ebdbca6acd99c23b4d31"/>
    <b v="0"/>
  </r>
  <r>
    <n v="969"/>
    <s v="spotify:track:5BsvzSvw98mLqpZznMjuLX"/>
    <x v="662"/>
    <s v="ZIZI"/>
    <s v="Nibiru International/Sony Music Latin"/>
    <n v="130"/>
    <n v="1"/>
    <s v="03:05:00"/>
    <b v="1"/>
    <n v="82"/>
    <n v="64"/>
    <n v="69"/>
    <n v="7"/>
    <n v="26"/>
    <n v="0"/>
    <n v="13"/>
    <n v="55"/>
    <n v="120"/>
    <s v="Reggaeton"/>
    <s v="14/8/2026"/>
    <s v="https://image-cdn-ak.spotifycdn.com/image/ab67616d00001e02eb31ebdbca6acd99c23b4d31"/>
    <b v="0"/>
  </r>
  <r>
    <n v="970"/>
    <s v="spotify:track:5CZ40GBx1sQ9agT82CLQCT"/>
    <x v="133"/>
    <s v="traitor"/>
    <s v="Olivia Rodrigo PS"/>
    <n v="7"/>
    <n v="86"/>
    <d v="1899-12-30T03:49:00"/>
    <b v="0"/>
    <n v="38"/>
    <n v="34"/>
    <n v="87"/>
    <n v="3"/>
    <n v="69"/>
    <n v="0"/>
    <n v="12"/>
    <n v="8"/>
    <n v="101"/>
    <s v="Indie Pop"/>
    <d v="2021-05-21T00:00:00"/>
    <s v="https://image-cdn-ak.spotifycdn.com/image/ab67616d00001e02a91c10fe9472d9bd89802e5a"/>
    <b v="0"/>
  </r>
  <r>
    <n v="971"/>
    <s v="spotify:track:5DRS7YEe1bwGJLDGviT3CD"/>
    <x v="238"/>
    <s v="Don't Tap That Glass / Tweakin'"/>
    <s v="Columbia"/>
    <n v="131"/>
    <n v="1"/>
    <s v="03:18:00"/>
    <b v="1"/>
    <n v="76"/>
    <n v="63"/>
    <n v="73"/>
    <n v="28"/>
    <n v="21"/>
    <n v="0"/>
    <n v="16"/>
    <n v="48"/>
    <n v="132"/>
    <s v="Hip-Hop/Rap"/>
    <s v="18/7/2025"/>
    <s v="https://image-cdn-ak.spotifycdn.com/image/ab67616d00001e024b7fbb849ed845ddedcce346"/>
    <b v="0"/>
  </r>
  <r>
    <n v="972"/>
    <s v="spotify:track:5DZOKNtaoVEssXu9ltcMjx"/>
    <x v="98"/>
    <s v="oh well"/>
    <s v="Republic Records"/>
    <n v="20"/>
    <n v="2"/>
    <s v="03:05:00"/>
    <b v="0"/>
    <n v="60"/>
    <n v="40"/>
    <n v="69"/>
    <n v="4"/>
    <n v="64"/>
    <n v="0"/>
    <n v="11"/>
    <n v="33"/>
    <n v="92"/>
    <s v="Pop"/>
    <s v="7/8/2026"/>
    <s v="https://image-cdn-ak.spotifycdn.com/image/ab67616d00001e028baf677ee2d8dda6cc9fcbd7"/>
    <b v="0"/>
  </r>
  <r>
    <n v="973"/>
    <s v="spotify:track:5DxDLsW6PsLz5gkwC7Mk5S"/>
    <x v="12"/>
    <s v="Free"/>
    <s v="K-Pop Demon Hunters"/>
    <n v="14"/>
    <n v="23"/>
    <s v="03:05:00"/>
    <b v="0"/>
    <n v="65"/>
    <n v="50"/>
    <n v="70"/>
    <n v="5"/>
    <n v="58"/>
    <n v="0"/>
    <n v="11"/>
    <n v="42"/>
    <n v="94"/>
    <s v="K-Pop"/>
    <s v="20/6/2025"/>
    <s v="https://image-cdn-ak.spotifycdn.com/image/ab67616d00001e024dcb6c5df15cf74596ab25a4"/>
    <b v="0"/>
  </r>
  <r>
    <n v="973"/>
    <s v="spotify:track:5DxDLsW6PsLz5gkwC7Mk5S"/>
    <x v="74"/>
    <s v="Free"/>
    <s v="K-Pop Demon Hunters"/>
    <n v="14"/>
    <n v="23"/>
    <s v="03:05:00"/>
    <b v="0"/>
    <n v="65"/>
    <n v="50"/>
    <n v="70"/>
    <n v="5"/>
    <n v="58"/>
    <n v="0"/>
    <n v="11"/>
    <n v="42"/>
    <n v="94"/>
    <s v="K-Pop"/>
    <s v="20/6/2025"/>
    <s v="https://image-cdn-ak.spotifycdn.com/image/ab67616d00001e024dcb6c5df15cf74596ab25a4"/>
    <b v="0"/>
  </r>
  <r>
    <n v="973"/>
    <s v="spotify:track:5DxDLsW6PsLz5gkwC7Mk5S"/>
    <x v="663"/>
    <s v="Free"/>
    <s v="K-Pop Demon Hunters"/>
    <n v="14"/>
    <n v="23"/>
    <s v="03:05:00"/>
    <b v="0"/>
    <n v="65"/>
    <n v="50"/>
    <n v="70"/>
    <n v="5"/>
    <n v="58"/>
    <n v="0"/>
    <n v="11"/>
    <n v="42"/>
    <n v="94"/>
    <s v="K-Pop"/>
    <s v="20/6/2025"/>
    <s v="https://image-cdn-ak.spotifycdn.com/image/ab67616d00001e024dcb6c5df15cf74596ab25a4"/>
    <b v="0"/>
  </r>
  <r>
    <n v="973"/>
    <s v="spotify:track:5DxDLsW6PsLz5gkwC7Mk5S"/>
    <x v="15"/>
    <s v="Free"/>
    <s v="K-Pop Demon Hunters"/>
    <n v="14"/>
    <n v="23"/>
    <s v="03:05:00"/>
    <b v="0"/>
    <n v="65"/>
    <n v="50"/>
    <n v="70"/>
    <n v="5"/>
    <n v="58"/>
    <n v="0"/>
    <n v="11"/>
    <n v="42"/>
    <n v="94"/>
    <s v="K-Pop"/>
    <s v="20/6/2025"/>
    <s v="https://image-cdn-ak.spotifycdn.com/image/ab67616d00001e024dcb6c5df15cf74596ab25a4"/>
    <b v="0"/>
  </r>
  <r>
    <n v="973"/>
    <s v="spotify:track:5DxDLsW6PsLz5gkwC7Mk5S"/>
    <x v="664"/>
    <s v="Free"/>
    <s v="K-Pop Demon Hunters"/>
    <n v="14"/>
    <n v="23"/>
    <s v="03:05:00"/>
    <b v="0"/>
    <n v="65"/>
    <n v="50"/>
    <n v="70"/>
    <n v="5"/>
    <n v="58"/>
    <n v="0"/>
    <n v="11"/>
    <n v="42"/>
    <n v="94"/>
    <s v="K-Pop"/>
    <s v="20/6/2025"/>
    <s v="https://image-cdn-ak.spotifycdn.com/image/ab67616d00001e024dcb6c5df15cf74596ab25a4"/>
    <b v="0"/>
  </r>
  <r>
    <n v="975"/>
    <s v="spotify:track:5EcG8eMMlwkHRVa4aTR1qd"/>
    <x v="110"/>
    <s v="Breakin' Dishes"/>
    <s v="Def Jam Recordings"/>
    <n v="39"/>
    <n v="50"/>
    <d v="1899-12-30T03:20:00"/>
    <b v="0"/>
    <n v="80"/>
    <n v="67"/>
    <n v="93"/>
    <n v="3"/>
    <n v="0"/>
    <n v="0"/>
    <n v="9"/>
    <n v="88"/>
    <n v="125"/>
    <s v="Dance Pop"/>
    <d v="2007-06-01T00:00:00"/>
    <s v="https://image-cdn-ak.spotifycdn.com/image/ab67616d00001e02b9ff0a5f40d3406aed5e5e3b"/>
    <b v="0"/>
  </r>
  <r>
    <n v="976"/>
    <s v="spotify:track:5FLzweTtgQurkLPs0E7uEO"/>
    <x v="648"/>
    <s v="Priti"/>
    <s v="Atlantic Records"/>
    <n v="189"/>
    <n v="1"/>
    <s v="03:05:00"/>
    <b v="0"/>
    <n v="81"/>
    <n v="65"/>
    <n v="72"/>
    <n v="7"/>
    <n v="24"/>
    <n v="0"/>
    <n v="11"/>
    <n v="70"/>
    <n v="96"/>
    <s v="Reggaeton"/>
    <s v="29/5/2026"/>
    <s v="https://image-cdn-ak.spotifycdn.com/image/ab67616d00001e025b9bb37921b4edf1a843875c"/>
    <b v="0"/>
  </r>
  <r>
    <n v="976"/>
    <s v="spotify:track:5FLzweTtgQurkLPs0E7uEO"/>
    <x v="665"/>
    <s v="Priti"/>
    <s v="Atlantic Records"/>
    <n v="189"/>
    <n v="1"/>
    <s v="03:05:00"/>
    <b v="0"/>
    <n v="81"/>
    <n v="65"/>
    <n v="72"/>
    <n v="7"/>
    <n v="24"/>
    <n v="0"/>
    <n v="11"/>
    <n v="70"/>
    <n v="96"/>
    <s v="Reggaeton"/>
    <s v="29/5/2026"/>
    <s v="https://image-cdn-ak.spotifycdn.com/image/ab67616d00001e025b9bb37921b4edf1a843875c"/>
    <b v="0"/>
  </r>
  <r>
    <n v="979"/>
    <s v="spotify:track:5FVbvttjEvQ8r2BgUcJgNg"/>
    <x v="69"/>
    <s v="Life Goes On"/>
    <s v="BIGHIT MUSIC"/>
    <n v="4"/>
    <n v="30"/>
    <d v="1899-12-30T03:18:00"/>
    <b v="0"/>
    <n v="57"/>
    <n v="72"/>
    <n v="90"/>
    <n v="4"/>
    <n v="1"/>
    <n v="0"/>
    <n v="37"/>
    <n v="45"/>
    <n v="81"/>
    <s v="K-Pop"/>
    <d v="2020-11-20T00:00:00"/>
    <s v="https://image-cdn-ak.spotifycdn.com/image/ab67616d00001e02c07d5d2fdc02ae252fcd07e5"/>
    <b v="0"/>
  </r>
  <r>
    <n v="980"/>
    <s v="spotify:track:5FVd6KXrgO9B3JPmC8OPst"/>
    <x v="656"/>
    <s v="Do I Wanna Know?"/>
    <s v="Domino Recording Co"/>
    <n v="95"/>
    <n v="157"/>
    <d v="1899-12-30T04:32:00"/>
    <b v="0"/>
    <n v="55"/>
    <n v="53"/>
    <n v="87"/>
    <n v="3"/>
    <n v="19"/>
    <n v="0"/>
    <n v="22"/>
    <n v="40"/>
    <n v="85"/>
    <s v="Indie Rock"/>
    <d v="2013-06-19T00:00:00"/>
    <s v="https://image-cdn-ak.spotifycdn.com/image/ab67616d00001e024ae1c4c5c45aabe565499163"/>
    <b v="0"/>
  </r>
  <r>
    <n v="981"/>
    <s v="spotify:track:5Fhr3wqeieN5WDkAsqL1JJ"/>
    <x v="251"/>
    <s v="MONA LISA"/>
    <s v="BIGHIT MUSIC"/>
    <n v="27"/>
    <n v="8"/>
    <d v="1899-12-30T03:18:00"/>
    <b v="0"/>
    <n v="80"/>
    <n v="80"/>
    <n v="92"/>
    <n v="4"/>
    <n v="3"/>
    <n v="0"/>
    <n v="5"/>
    <n v="96"/>
    <n v="138"/>
    <s v="K-Pop"/>
    <d v="2025-03-21T00:00:00"/>
    <s v="https://image-cdn-fa.spotifycdn.com/image/ab67616d00001e02b62ed5bcd74bd9ab8b1f4406"/>
    <b v="0"/>
  </r>
  <r>
    <n v="982"/>
    <s v="spotify:track:5G2f63n7IPVPPjfNIGih7Q"/>
    <x v="124"/>
    <s v="Taste"/>
    <s v="Island Records"/>
    <n v="3"/>
    <n v="61"/>
    <d v="1899-12-30T02:37:00"/>
    <b v="0"/>
    <n v="67"/>
    <n v="91"/>
    <n v="93"/>
    <n v="6"/>
    <n v="10"/>
    <n v="0"/>
    <n v="30"/>
    <n v="72"/>
    <n v="113"/>
    <s v="Pop"/>
    <d v="2024-08-23T00:00:00"/>
    <s v="https://image-cdn-ak.spotifycdn.com/image/ab67616d00001e02fd8d7a8d96871e791cb1f626"/>
    <b v="0"/>
  </r>
  <r>
    <n v="983"/>
    <s v="spotify:track:5GQPBzoRBDxcAjwSSluQXD"/>
    <x v="666"/>
    <s v="Pretty Little Baby"/>
    <s v="Universal Records"/>
    <n v="85"/>
    <n v="5"/>
    <d v="1899-12-30T02:28:00"/>
    <b v="0"/>
    <n v="55"/>
    <n v="50"/>
    <n v="73"/>
    <n v="4"/>
    <n v="55"/>
    <n v="0"/>
    <n v="15"/>
    <n v="72"/>
    <n v="120"/>
    <s v="Pop"/>
    <d v="1962-01-01T00:00:00"/>
    <s v="https://image-cdn-ak.spotifycdn.com/image/ab67616d00001e022557d7b4bf9ca1c289f40e97"/>
    <b v="0"/>
  </r>
  <r>
    <n v="984"/>
    <s v="spotify:track:5GYbkDveRD2I8M5ZJ14hWn"/>
    <x v="667"/>
    <s v="Never Say Never"/>
    <s v="RBMG/Def Jam"/>
    <n v="47"/>
    <n v="4"/>
    <d v="1899-12-30T03:47:00"/>
    <b v="0"/>
    <n v="74"/>
    <n v="81"/>
    <n v="92"/>
    <n v="7"/>
    <n v="2"/>
    <n v="0"/>
    <n v="30"/>
    <n v="63"/>
    <n v="97"/>
    <s v="Pop"/>
    <d v="2010-06-08T00:00:00"/>
    <s v="https://image-cdn-ak.spotifycdn.com/image/ab67616d00001e0249130b16d4190db1d6822e59"/>
    <b v="0"/>
  </r>
  <r>
    <n v="984"/>
    <s v="spotify:track:5GYbkDveRD2I8M5ZJ14hWn"/>
    <x v="2"/>
    <s v="Never Say Never"/>
    <s v="RBMG/Def Jam"/>
    <n v="47"/>
    <n v="4"/>
    <d v="1899-12-30T03:47:00"/>
    <b v="0"/>
    <n v="74"/>
    <n v="81"/>
    <n v="92"/>
    <n v="7"/>
    <n v="2"/>
    <n v="0"/>
    <n v="30"/>
    <n v="63"/>
    <n v="97"/>
    <s v="Pop"/>
    <d v="2010-06-08T00:00:00"/>
    <s v="https://image-cdn-ak.spotifycdn.com/image/ab67616d00001e0249130b16d4190db1d6822e59"/>
    <b v="0"/>
  </r>
  <r>
    <n v="985"/>
    <s v="spotify:track:5H1sKFMzDeMtXwND3V6hRY"/>
    <x v="476"/>
    <s v="JUMP"/>
    <s v="YG Entertainment"/>
    <n v="1"/>
    <n v="28"/>
    <s v="02:48:00"/>
    <b v="0"/>
    <n v="84"/>
    <n v="83"/>
    <n v="78"/>
    <n v="10"/>
    <n v="8"/>
    <n v="0"/>
    <n v="24"/>
    <n v="79"/>
    <n v="128"/>
    <s v="K-Pop"/>
    <s v="20/3/2026"/>
    <s v="https://image-cdn-ak.spotifycdn.com/image/ab67616d00001e026224d1236b0e0a0e1586efbb"/>
    <b v="0"/>
  </r>
  <r>
    <n v="987"/>
    <s v="spotify:track:5IL3VPDy5siXiptYHF2aLS"/>
    <x v="227"/>
    <s v="Up From the Bottom"/>
    <s v="Warner Records"/>
    <n v="88"/>
    <n v="1"/>
    <s v="03:18:00"/>
    <b v="0"/>
    <n v="55"/>
    <n v="84"/>
    <n v="77"/>
    <n v="7"/>
    <n v="8"/>
    <n v="1"/>
    <n v="18"/>
    <n v="43"/>
    <n v="155"/>
    <s v="Nu Metal"/>
    <s v="27/3/2026"/>
    <s v="https://image-cdn-fa.spotifycdn.com/image/ab67616d00001e0207117f6fadf709d2e0f690ec"/>
    <b v="0"/>
  </r>
  <r>
    <n v="990"/>
    <s v="spotify:track:5IZXB5IKAD2qlvTPJYDCFB"/>
    <x v="11"/>
    <s v="I Had Some Help (Feat. Morgan Wallen)"/>
    <s v="Mercury Records / Republic Records"/>
    <n v="3"/>
    <n v="69"/>
    <d v="1899-12-30T02:58:00"/>
    <b v="1"/>
    <n v="64"/>
    <n v="87"/>
    <n v="92"/>
    <n v="3"/>
    <n v="1"/>
    <n v="0"/>
    <n v="23"/>
    <n v="75"/>
    <n v="128"/>
    <s v="Country"/>
    <d v="2024-05-10T00:00:00"/>
    <s v="https://image-cdn-ak.spotifycdn.com/image/ab67616d00001e0288208159b1b3c69eefdeb2e0"/>
    <b v="0"/>
  </r>
  <r>
    <n v="990"/>
    <s v="spotify:track:5IZXB5IKAD2qlvTPJYDCFB"/>
    <x v="99"/>
    <s v="I Had Some Help (Feat. Morgan Wallen)"/>
    <s v="Mercury Records / Republic Records"/>
    <n v="3"/>
    <n v="69"/>
    <d v="1899-12-30T02:58:00"/>
    <b v="1"/>
    <n v="64"/>
    <n v="87"/>
    <n v="92"/>
    <n v="3"/>
    <n v="1"/>
    <n v="0"/>
    <n v="23"/>
    <n v="75"/>
    <n v="128"/>
    <s v="Country"/>
    <d v="2024-05-10T00:00:00"/>
    <s v="https://image-cdn-ak.spotifycdn.com/image/ab67616d00001e0288208159b1b3c69eefdeb2e0"/>
    <b v="0"/>
  </r>
  <r>
    <n v="991"/>
    <s v="spotify:track:5IoPnNiYAOvHHJpz13wzRL"/>
    <x v="10"/>
    <s v="Vanish Into You"/>
    <s v="Interscope Records"/>
    <n v="59"/>
    <n v="1"/>
    <d v="1899-12-30T03:05:00"/>
    <b v="0"/>
    <n v="56"/>
    <n v="84"/>
    <n v="92"/>
    <n v="3"/>
    <n v="0"/>
    <n v="0"/>
    <n v="8"/>
    <n v="60"/>
    <n v="112"/>
    <s v="Pop"/>
    <d v="2025-03-07T00:00:00"/>
    <s v="https://image-cdn-ak.spotifycdn.com/image/ab67616d00001e02b0860cf0a98e09663c82290c"/>
    <b v="0"/>
  </r>
  <r>
    <n v="992"/>
    <s v="spotify:track:5J4ZkQpzMUFojo1CtAZYpn"/>
    <x v="98"/>
    <s v="Love Me Harder"/>
    <s v="Universal Records"/>
    <n v="156"/>
    <n v="7"/>
    <d v="1899-12-30T03:56:00"/>
    <b v="0"/>
    <n v="49"/>
    <n v="71"/>
    <n v="93"/>
    <n v="3"/>
    <n v="1"/>
    <n v="0"/>
    <n v="8"/>
    <n v="24"/>
    <n v="99"/>
    <s v="Pop"/>
    <d v="2014-09-30T00:00:00"/>
    <s v="https://image-cdn-ak.spotifycdn.com/image/ab67616d00001e02deec12a28d1e336c5052e9aa"/>
    <b v="0"/>
  </r>
  <r>
    <n v="992"/>
    <s v="spotify:track:5J4ZkQpzMUFojo1CtAZYpn"/>
    <x v="55"/>
    <s v="Love Me Harder"/>
    <s v="Universal Records"/>
    <n v="156"/>
    <n v="7"/>
    <d v="1899-12-30T03:56:00"/>
    <b v="0"/>
    <n v="49"/>
    <n v="71"/>
    <n v="93"/>
    <n v="3"/>
    <n v="1"/>
    <n v="0"/>
    <n v="8"/>
    <n v="24"/>
    <n v="99"/>
    <s v="Pop"/>
    <d v="2014-09-30T00:00:00"/>
    <s v="https://image-cdn-ak.spotifycdn.com/image/ab67616d00001e02deec12a28d1e336c5052e9aa"/>
    <b v="0"/>
  </r>
  <r>
    <n v="993"/>
    <s v="spotify:track:5JbnupagBhD0AanbkCELdH"/>
    <x v="98"/>
    <s v="nowhere, nobody"/>
    <s v="Republic Records"/>
    <n v="57"/>
    <n v="1"/>
    <s v="02:48:00"/>
    <b v="0"/>
    <n v="66"/>
    <n v="46"/>
    <n v="71"/>
    <n v="6"/>
    <n v="49"/>
    <n v="0"/>
    <n v="14"/>
    <n v="41"/>
    <n v="140"/>
    <s v="Pop"/>
    <s v="7/8/2026"/>
    <s v="https://image-cdn-ak.spotifycdn.com/image/ab67616d00001e028baf677ee2d8dda6cc9fcbd7"/>
    <b v="0"/>
  </r>
  <r>
    <n v="994"/>
    <s v="spotify:track:5LHPcY9yd0hWVFIW4yfOCJ"/>
    <x v="668"/>
    <s v="Pika Pika"/>
    <s v="Street Mob Records"/>
    <n v="88"/>
    <n v="16"/>
    <s v="03:05:00"/>
    <b v="1"/>
    <n v="76"/>
    <n v="70"/>
    <n v="74"/>
    <n v="5"/>
    <n v="23"/>
    <n v="0"/>
    <n v="15"/>
    <n v="86"/>
    <n v="148"/>
    <s v="Regional Mexicano"/>
    <s v="13/6/2025"/>
    <s v="https://image-cdn-fa.spotifycdn.com/image/ab67616d00001e02b033ed96ed4cd275d9b3a25b"/>
    <b v="0"/>
  </r>
  <r>
    <n v="994"/>
    <s v="spotify:track:5LHPcY9yd0hWVFIW4yfOCJ"/>
    <x v="669"/>
    <s v="Pika Pika"/>
    <s v="Street Mob Records"/>
    <n v="88"/>
    <n v="16"/>
    <s v="03:05:00"/>
    <b v="1"/>
    <n v="76"/>
    <n v="70"/>
    <n v="74"/>
    <n v="5"/>
    <n v="23"/>
    <n v="0"/>
    <n v="15"/>
    <n v="86"/>
    <n v="148"/>
    <s v="Regional Mexicano"/>
    <s v="13/6/2025"/>
    <s v="https://image-cdn-fa.spotifycdn.com/image/ab67616d00001e02b033ed96ed4cd275d9b3a25b"/>
    <b v="0"/>
  </r>
  <r>
    <n v="994"/>
    <s v="spotify:track:5LHPcY9yd0hWVFIW4yfOCJ"/>
    <x v="256"/>
    <s v="Pika Pika"/>
    <s v="Street Mob Records"/>
    <n v="88"/>
    <n v="16"/>
    <s v="03:05:00"/>
    <b v="1"/>
    <n v="76"/>
    <n v="70"/>
    <n v="74"/>
    <n v="5"/>
    <n v="23"/>
    <n v="0"/>
    <n v="15"/>
    <n v="86"/>
    <n v="148"/>
    <s v="Regional Mexicano"/>
    <s v="13/6/2025"/>
    <s v="https://image-cdn-fa.spotifycdn.com/image/ab67616d00001e02b033ed96ed4cd275d9b3a25b"/>
    <b v="0"/>
  </r>
  <r>
    <n v="994"/>
    <s v="spotify:track:5LHPcY9yd0hWVFIW4yfOCJ"/>
    <x v="670"/>
    <s v="Pika Pika"/>
    <s v="Street Mob Records"/>
    <n v="88"/>
    <n v="16"/>
    <s v="03:05:00"/>
    <b v="1"/>
    <n v="76"/>
    <n v="70"/>
    <n v="74"/>
    <n v="5"/>
    <n v="23"/>
    <n v="0"/>
    <n v="15"/>
    <n v="86"/>
    <n v="148"/>
    <s v="Regional Mexicano"/>
    <s v="13/6/2025"/>
    <s v="https://image-cdn-fa.spotifycdn.com/image/ab67616d00001e02b033ed96ed4cd275d9b3a25b"/>
    <b v="0"/>
  </r>
  <r>
    <n v="995"/>
    <s v="spotify:track:5LxvwujISqiB8vpRYv887S"/>
    <x v="525"/>
    <s v="I Want You Back"/>
    <s v="UNI/MOTOWN"/>
    <n v="117"/>
    <n v="9"/>
    <d v="1899-12-30T02:58:00"/>
    <b v="0"/>
    <n v="47"/>
    <n v="54"/>
    <n v="77"/>
    <n v="6"/>
    <n v="30"/>
    <n v="0"/>
    <n v="37"/>
    <n v="88"/>
    <n v="197"/>
    <s v="Funk"/>
    <d v="1969-10-07T00:00:00"/>
    <s v="https://image-cdn-ak.spotifycdn.com/image/ab67616d00001e0216aaf05fe82237576a7d0e38"/>
    <b v="0"/>
  </r>
  <r>
    <n v="996"/>
    <s v="spotify:track:5M2lX0ZAYSAzCs1xPPi9BX"/>
    <x v="39"/>
    <s v="Fat Juicy &amp; Wet"/>
    <s v="gamma. / Atlantic Records"/>
    <n v="53"/>
    <n v="3"/>
    <d v="1899-12-30T03:18:00"/>
    <b v="1"/>
    <n v="91"/>
    <n v="62"/>
    <n v="90"/>
    <n v="6"/>
    <n v="8"/>
    <n v="0"/>
    <n v="30"/>
    <n v="64"/>
    <n v="104"/>
    <s v="Hip-Hop/Rap"/>
    <d v="2025-01-24T00:00:00"/>
    <s v="https://image-cdn-ak.spotifycdn.com/image/ab67616d00001e02ce0f267985620c859273b0ec"/>
    <b v="0"/>
  </r>
  <r>
    <n v="996"/>
    <s v="spotify:track:5M2lX0ZAYSAzCs1xPPi9BX"/>
    <x v="537"/>
    <s v="Fat Juicy &amp; Wet"/>
    <s v="gamma. / Atlantic Records"/>
    <n v="53"/>
    <n v="3"/>
    <d v="1899-12-30T03:18:00"/>
    <b v="1"/>
    <n v="91"/>
    <n v="62"/>
    <n v="90"/>
    <n v="6"/>
    <n v="8"/>
    <n v="0"/>
    <n v="30"/>
    <n v="64"/>
    <n v="104"/>
    <s v="Hip-Hop/Rap"/>
    <d v="2025-01-24T00:00:00"/>
    <s v="https://image-cdn-ak.spotifycdn.com/image/ab67616d00001e02ce0f267985620c859273b0ec"/>
    <b v="0"/>
  </r>
  <r>
    <n v="997"/>
    <s v="spotify:track:5MBAaEt7s8El3WWhYinLzv"/>
    <x v="30"/>
    <s v="Amigos? No."/>
    <s v="Rancho Humilde/Sony Music Latin"/>
    <n v="97"/>
    <n v="14"/>
    <d v="1899-12-30T03:05:00"/>
    <b v="1"/>
    <n v="67"/>
    <n v="65"/>
    <n v="90"/>
    <n v="3"/>
    <n v="8"/>
    <n v="0"/>
    <n v="12"/>
    <n v="60"/>
    <n v="122"/>
    <s v="Regional Mexicano"/>
    <d v="2025-04-25T00:00:00"/>
    <s v="https://image-cdn-ak.spotifycdn.com/image/ab67616d00001e020697c8807331635b1ca25e84"/>
    <b v="0"/>
  </r>
  <r>
    <n v="997"/>
    <s v="spotify:track:5MBAaEt7s8El3WWhYinLzv"/>
    <x v="284"/>
    <s v="Amigos? No."/>
    <s v="Rancho Humilde/Sony Music Latin"/>
    <n v="97"/>
    <n v="14"/>
    <d v="1899-12-30T03:05:00"/>
    <b v="1"/>
    <n v="67"/>
    <n v="65"/>
    <n v="90"/>
    <n v="3"/>
    <n v="8"/>
    <n v="0"/>
    <n v="12"/>
    <n v="60"/>
    <n v="122"/>
    <s v="Regional Mexicano"/>
    <d v="2025-04-25T00:00:00"/>
    <s v="https://image-cdn-ak.spotifycdn.com/image/ab67616d00001e020697c8807331635b1ca25e84"/>
    <b v="0"/>
  </r>
  <r>
    <n v="998"/>
    <s v="spotify:track:5MCbGWnNLLjoHpbDO3BOgi"/>
    <x v="233"/>
    <s v="Gehra Hua"/>
    <s v="Saregama India Ltd"/>
    <n v="86"/>
    <n v="15"/>
    <s v="04:18:00"/>
    <b v="0"/>
    <n v="54"/>
    <n v="42"/>
    <n v="69"/>
    <n v="4"/>
    <n v="70"/>
    <n v="0"/>
    <n v="11"/>
    <n v="33"/>
    <n v="85"/>
    <s v="Bollywood"/>
    <s v="13/6/2025"/>
    <s v="https://image-cdn-ak.spotifycdn.com/image/ab67616d00001e027838ccbef3fb712228e23fc5"/>
    <b v="0"/>
  </r>
  <r>
    <n v="998"/>
    <s v="spotify:track:5MCbGWnNLLjoHpbDO3BOgi"/>
    <x v="671"/>
    <s v="Gehra Hua"/>
    <s v="Saregama India Ltd"/>
    <n v="86"/>
    <n v="15"/>
    <s v="04:18:00"/>
    <b v="0"/>
    <n v="54"/>
    <n v="42"/>
    <n v="69"/>
    <n v="4"/>
    <n v="70"/>
    <n v="0"/>
    <n v="11"/>
    <n v="33"/>
    <n v="85"/>
    <s v="Bollywood"/>
    <s v="13/6/2025"/>
    <s v="https://image-cdn-ak.spotifycdn.com/image/ab67616d00001e027838ccbef3fb712228e23fc5"/>
    <b v="0"/>
  </r>
  <r>
    <n v="998"/>
    <s v="spotify:track:5MCbGWnNLLjoHpbDO3BOgi"/>
    <x v="89"/>
    <s v="Gehra Hua"/>
    <s v="Saregama India Ltd"/>
    <n v="86"/>
    <n v="15"/>
    <s v="04:18:00"/>
    <b v="0"/>
    <n v="54"/>
    <n v="42"/>
    <n v="69"/>
    <n v="4"/>
    <n v="70"/>
    <n v="0"/>
    <n v="11"/>
    <n v="33"/>
    <n v="85"/>
    <s v="Bollywood"/>
    <s v="13/6/2025"/>
    <s v="https://image-cdn-ak.spotifycdn.com/image/ab67616d00001e027838ccbef3fb712228e23fc5"/>
    <b v="0"/>
  </r>
  <r>
    <n v="998"/>
    <s v="spotify:track:5MCbGWnNLLjoHpbDO3BOgi"/>
    <x v="195"/>
    <s v="Gehra Hua"/>
    <s v="Saregama India Ltd"/>
    <n v="86"/>
    <n v="15"/>
    <s v="04:18:00"/>
    <b v="0"/>
    <n v="54"/>
    <n v="42"/>
    <n v="69"/>
    <n v="4"/>
    <n v="70"/>
    <n v="0"/>
    <n v="11"/>
    <n v="33"/>
    <n v="85"/>
    <s v="Bollywood"/>
    <s v="13/6/2025"/>
    <s v="https://image-cdn-ak.spotifycdn.com/image/ab67616d00001e027838ccbef3fb712228e23fc5"/>
    <b v="0"/>
  </r>
  <r>
    <n v="999"/>
    <s v="spotify:track:5MI9rnOsAayuxi7pKVydNg"/>
    <x v="271"/>
    <s v="Priceless (feat. LISA)"/>
    <s v="222 Records/Interscope Records"/>
    <n v="102"/>
    <n v="1"/>
    <s v="03:05:00"/>
    <b v="0"/>
    <n v="80"/>
    <n v="73"/>
    <n v="74"/>
    <n v="7"/>
    <n v="15"/>
    <n v="0"/>
    <n v="11"/>
    <n v="79"/>
    <n v="116"/>
    <s v="Pop"/>
    <s v="15/8/2025"/>
    <s v="https://image-cdn-ak.spotifycdn.com/image/ab67616d00001e022c9214c857ff01deccc34592"/>
    <b v="0"/>
  </r>
  <r>
    <n v="999"/>
    <s v="spotify:track:5MI9rnOsAayuxi7pKVydNg"/>
    <x v="278"/>
    <s v="Priceless (feat. LISA)"/>
    <s v="222 Records/Interscope Records"/>
    <n v="102"/>
    <n v="1"/>
    <s v="03:05:00"/>
    <b v="0"/>
    <n v="80"/>
    <n v="73"/>
    <n v="74"/>
    <n v="7"/>
    <n v="15"/>
    <n v="0"/>
    <n v="11"/>
    <n v="79"/>
    <n v="116"/>
    <s v="Pop"/>
    <s v="15/8/2025"/>
    <s v="https://image-cdn-ak.spotifycdn.com/image/ab67616d00001e022c9214c857ff01deccc34592"/>
    <b v="0"/>
  </r>
  <r>
    <n v="1000"/>
    <s v="spotify:track:5MXcM263QvCTWriH3nVusc"/>
    <x v="476"/>
    <s v="Me and my"/>
    <s v="YG Entertainment"/>
    <n v="154"/>
    <n v="1"/>
    <s v="02:48:00"/>
    <b v="0"/>
    <n v="73"/>
    <n v="62"/>
    <n v="73"/>
    <n v="6"/>
    <n v="29"/>
    <n v="0"/>
    <n v="11"/>
    <n v="52"/>
    <n v="105"/>
    <s v="K-Pop"/>
    <s v="20/3/2026"/>
    <s v="https://image-cdn-ak.spotifycdn.com/image/ab67616d00001e028db56c674b13b3a4c6a4dbb8"/>
    <b v="0"/>
  </r>
  <r>
    <n v="1002"/>
    <s v="spotify:track:5NUXAUIItJAxBIUOdm0gUf"/>
    <x v="672"/>
    <s v="Like It's Christmas"/>
    <s v="Hollywood Records"/>
    <n v="76"/>
    <n v="10"/>
    <d v="1899-12-30T03:25:00"/>
    <b v="0"/>
    <n v="62"/>
    <n v="65"/>
    <n v="77"/>
    <n v="5"/>
    <n v="30"/>
    <n v="0"/>
    <n v="14"/>
    <n v="78"/>
    <n v="120"/>
    <s v="Christmas"/>
    <d v="2019-11-08T00:00:00"/>
    <s v="https://image-cdn-fa.spotifycdn.com/image/ab67616d00001e02f05b66e91b543697964385a1"/>
    <b v="1"/>
  </r>
  <r>
    <n v="1003"/>
    <s v="spotify:track:5Ndn1irZG8l6xpcLMGeNvc"/>
    <x v="133"/>
    <s v="purple"/>
    <s v="Olivia Rodrigo PS"/>
    <n v="22"/>
    <n v="3"/>
    <s v="02:48:00"/>
    <b v="0"/>
    <n v="59"/>
    <n v="46"/>
    <n v="70"/>
    <n v="4"/>
    <n v="62"/>
    <n v="0"/>
    <n v="11"/>
    <n v="35"/>
    <n v="149"/>
    <s v="Indie Pop"/>
    <s v="12/6/2026"/>
    <s v="https://image-cdn-fa.spotifycdn.com/image/ab67616d00001e026949b83f85d782b21ce70583"/>
    <b v="0"/>
  </r>
  <r>
    <n v="1004"/>
    <s v="spotify:track:5Nj2UVsxXAvhfYNpcre3al"/>
    <x v="673"/>
    <s v="FAMOSINHA"/>
    <s v="BR MUSIC DIREITOS MUSICAIS LTDA."/>
    <n v="137"/>
    <n v="13"/>
    <s v="02:28:00"/>
    <b v="1"/>
    <n v="86"/>
    <n v="78"/>
    <n v="75"/>
    <n v="14"/>
    <n v="12"/>
    <n v="0"/>
    <n v="25"/>
    <n v="86"/>
    <n v="130"/>
    <s v="Funk Brasileiro"/>
    <s v="6/6/2025"/>
    <s v="https://image-cdn-fa.spotifycdn.com/image/ab67616d00001e02a9a95c2c1cdf65c0225be992"/>
    <b v="0"/>
  </r>
  <r>
    <n v="1004"/>
    <s v="spotify:track:5Nj2UVsxXAvhfYNpcre3al"/>
    <x v="519"/>
    <s v="FAMOSINHA"/>
    <s v="BR MUSIC DIREITOS MUSICAIS LTDA."/>
    <n v="137"/>
    <n v="13"/>
    <s v="02:28:00"/>
    <b v="1"/>
    <n v="86"/>
    <n v="78"/>
    <n v="75"/>
    <n v="14"/>
    <n v="12"/>
    <n v="0"/>
    <n v="25"/>
    <n v="86"/>
    <n v="130"/>
    <s v="Funk Brasileiro"/>
    <s v="6/6/2025"/>
    <s v="https://image-cdn-fa.spotifycdn.com/image/ab67616d00001e02a9a95c2c1cdf65c0225be992"/>
    <b v="0"/>
  </r>
  <r>
    <n v="1004"/>
    <s v="spotify:track:5Nj2UVsxXAvhfYNpcre3al"/>
    <x v="44"/>
    <s v="FAMOSINHA"/>
    <s v="BR MUSIC DIREITOS MUSICAIS LTDA."/>
    <n v="137"/>
    <n v="13"/>
    <s v="02:28:00"/>
    <b v="1"/>
    <n v="86"/>
    <n v="78"/>
    <n v="75"/>
    <n v="14"/>
    <n v="12"/>
    <n v="0"/>
    <n v="25"/>
    <n v="86"/>
    <n v="130"/>
    <s v="Funk Brasileiro"/>
    <s v="6/6/2025"/>
    <s v="https://image-cdn-fa.spotifycdn.com/image/ab67616d00001e02a9a95c2c1cdf65c0225be992"/>
    <b v="0"/>
  </r>
  <r>
    <n v="1005"/>
    <s v="spotify:track:5Nz7hI3cCOHmMR4vSLJ1An"/>
    <x v="53"/>
    <s v="GIMME A HUG"/>
    <s v="OVO Sound"/>
    <n v="49"/>
    <n v="2"/>
    <s v="03:18:00"/>
    <b v="1"/>
    <n v="81"/>
    <n v="55"/>
    <n v="71"/>
    <n v="21"/>
    <n v="36"/>
    <n v="0"/>
    <n v="10"/>
    <n v="54"/>
    <n v="105"/>
    <s v="Hip-Hop/Rap"/>
    <s v="22/5/2026"/>
    <s v="https://image-cdn-fa.spotifycdn.com/image/ab67616d00001e02b5a28a256eae6dc0424fef59"/>
    <b v="0"/>
  </r>
  <r>
    <n v="1006"/>
    <s v="spotify:track:5O2P9iiztwhomNh8xkR9lJ"/>
    <x v="674"/>
    <s v="Night Changes"/>
    <s v="Syco Music"/>
    <n v="8"/>
    <n v="164"/>
    <d v="1899-12-30T03:46:00"/>
    <b v="0"/>
    <n v="67"/>
    <n v="52"/>
    <n v="87"/>
    <n v="4"/>
    <n v="86"/>
    <n v="0"/>
    <n v="12"/>
    <n v="37"/>
    <n v="120"/>
    <s v="Pop"/>
    <d v="2014-11-14T00:00:00"/>
    <s v="https://image-cdn-ak.spotifycdn.com/image/ab67616d00001e0234a29f220057810cce98e1b4"/>
    <b v="0"/>
  </r>
  <r>
    <n v="1007"/>
    <s v="spotify:track:5Ohxk2dO5COHF1krpoPigN"/>
    <x v="5"/>
    <s v="Sign of the Times"/>
    <s v="Columbia"/>
    <n v="14"/>
    <n v="72"/>
    <d v="1899-12-30T05:40:00"/>
    <b v="0"/>
    <n v="52"/>
    <n v="60"/>
    <n v="92"/>
    <n v="3"/>
    <n v="3"/>
    <n v="0"/>
    <n v="11"/>
    <n v="22"/>
    <n v="120"/>
    <s v="Pop"/>
    <d v="2017-04-07T00:00:00"/>
    <s v="https://image-cdn-ak.spotifycdn.com/image/ab67616d00001e023f8b8a9c71b2bd2f3019940b"/>
    <b v="0"/>
  </r>
  <r>
    <n v="1009"/>
    <s v="spotify:track:5PAKAADzrSpMDxcaRpSDCm"/>
    <x v="675"/>
    <s v="SOULFUL"/>
    <s v="JRC Entertainment, LLC / ILH Production Co. LLC / Def Jam Recordings"/>
    <n v="192"/>
    <n v="1"/>
    <s v="03:18:00"/>
    <b v="0"/>
    <n v="74"/>
    <n v="56"/>
    <n v="72"/>
    <n v="11"/>
    <n v="33"/>
    <n v="0"/>
    <n v="15"/>
    <n v="59"/>
    <n v="98"/>
    <s v="Pop"/>
    <s v="12/9/2025"/>
    <s v="https://image-cdn-ak.spotifycdn.com/image/ab67616d00001e02d65c4773bc5061fd27facc5b"/>
    <b v="0"/>
  </r>
  <r>
    <n v="1009"/>
    <s v="spotify:track:5PAKAADzrSpMDxcaRpSDCm"/>
    <x v="2"/>
    <s v="SOULFUL"/>
    <s v="JRC Entertainment, LLC / ILH Production Co. LLC / Def Jam Recordings"/>
    <n v="192"/>
    <n v="1"/>
    <s v="03:18:00"/>
    <b v="0"/>
    <n v="74"/>
    <n v="56"/>
    <n v="72"/>
    <n v="11"/>
    <n v="33"/>
    <n v="0"/>
    <n v="15"/>
    <n v="59"/>
    <n v="98"/>
    <s v="Pop"/>
    <s v="12/9/2025"/>
    <s v="https://image-cdn-ak.spotifycdn.com/image/ab67616d00001e02d65c4773bc5061fd27facc5b"/>
    <b v="0"/>
  </r>
  <r>
    <n v="1012"/>
    <s v="spotify:track:5Q4HTsEGKanxOwL1nYCnhQ"/>
    <x v="676"/>
    <s v="chiclona"/>
    <s v="Double P Records"/>
    <n v="120"/>
    <n v="8"/>
    <s v="03:05:00"/>
    <b v="1"/>
    <n v="78"/>
    <n v="75"/>
    <n v="74"/>
    <n v="6"/>
    <n v="19"/>
    <n v="0"/>
    <n v="13"/>
    <n v="87"/>
    <n v="140"/>
    <s v="Regional Mexicano"/>
    <s v="30/5/2025"/>
    <s v="https://image-cdn-ak.spotifycdn.com/image/ab67616d00001e028ff0dc6e03af2b4b83e9e274"/>
    <b v="0"/>
  </r>
  <r>
    <n v="1012"/>
    <s v="spotify:track:5Q4HTsEGKanxOwL1nYCnhQ"/>
    <x v="61"/>
    <s v="chiclona"/>
    <s v="Double P Records"/>
    <n v="120"/>
    <n v="8"/>
    <s v="03:05:00"/>
    <b v="1"/>
    <n v="78"/>
    <n v="75"/>
    <n v="74"/>
    <n v="6"/>
    <n v="19"/>
    <n v="0"/>
    <n v="13"/>
    <n v="87"/>
    <n v="140"/>
    <s v="Regional Mexicano"/>
    <s v="30/5/2025"/>
    <s v="https://image-cdn-ak.spotifycdn.com/image/ab67616d00001e028ff0dc6e03af2b4b83e9e274"/>
    <b v="0"/>
  </r>
  <r>
    <n v="1012"/>
    <s v="spotify:track:5Q4HTsEGKanxOwL1nYCnhQ"/>
    <x v="31"/>
    <s v="chiclona"/>
    <s v="Double P Records"/>
    <n v="120"/>
    <n v="8"/>
    <s v="03:05:00"/>
    <b v="1"/>
    <n v="78"/>
    <n v="75"/>
    <n v="74"/>
    <n v="6"/>
    <n v="19"/>
    <n v="0"/>
    <n v="13"/>
    <n v="87"/>
    <n v="140"/>
    <s v="Regional Mexicano"/>
    <s v="30/5/2025"/>
    <s v="https://image-cdn-ak.spotifycdn.com/image/ab67616d00001e028ff0dc6e03af2b4b83e9e274"/>
    <b v="0"/>
  </r>
  <r>
    <n v="1013"/>
    <s v="spotify:track:5QM0SsyzmBM0pbFY52Xj1X"/>
    <x v="548"/>
    <s v="I'm Not The Only One"/>
    <s v="PLG - Capitol"/>
    <n v="82"/>
    <n v="28"/>
    <d v="1899-12-30T03:59:00"/>
    <b v="0"/>
    <n v="68"/>
    <n v="48"/>
    <n v="90"/>
    <n v="4"/>
    <n v="53"/>
    <n v="0"/>
    <n v="8"/>
    <n v="49"/>
    <n v="82"/>
    <s v="R&amp;B"/>
    <d v="2014-05-23T00:00:00"/>
    <s v="https://image-cdn-ak.spotifycdn.com/image/ab67616d00001e02aeca5ce27cb0041319cbb734"/>
    <b v="0"/>
  </r>
  <r>
    <n v="1014"/>
    <s v="spotify:track:5QO79kh1waicV47BqGRL3g"/>
    <x v="55"/>
    <s v="Save Your Tears"/>
    <s v="Republic Records"/>
    <n v="2"/>
    <n v="171"/>
    <d v="1899-12-30T03:35:00"/>
    <b v="1"/>
    <n v="68"/>
    <n v="82"/>
    <n v="91"/>
    <n v="3"/>
    <n v="2"/>
    <n v="0"/>
    <n v="54"/>
    <n v="64"/>
    <n v="118"/>
    <s v="Pop"/>
    <d v="2020-03-20T00:00:00"/>
    <s v="https://image-cdn-ak.spotifycdn.com/image/ab67616d00001e028863bc11d2aa12b54f5aeb36"/>
    <b v="0"/>
  </r>
  <r>
    <n v="1015"/>
    <s v="spotify:track:5RKQ5NdjSh2QzD4MaunT91"/>
    <x v="677"/>
    <s v="Don't Stop Believin' (2022 Remaster)"/>
    <s v="Columbia/Legacy"/>
    <n v="53"/>
    <n v="94"/>
    <d v="1899-12-30T04:10:00"/>
    <b v="0"/>
    <n v="50"/>
    <n v="75"/>
    <n v="88"/>
    <n v="4"/>
    <n v="13"/>
    <n v="0"/>
    <n v="20"/>
    <n v="51"/>
    <n v="119"/>
    <s v="Rock"/>
    <d v="1981-10-01T00:00:00"/>
    <s v="https://image-cdn-ak.spotifycdn.com/image/ab67616d00001e0223290120a609a65e14cfe018"/>
    <b v="0"/>
  </r>
  <r>
    <n v="1016"/>
    <s v="spotify:track:5SIvP6TdWc9DNvKbENjnYc"/>
    <x v="1"/>
    <s v="PHILLY (with Travis Scott)"/>
    <s v="AWGE/Interscope Records"/>
    <n v="27"/>
    <n v="2"/>
    <d v="1899-12-30T02:48:00"/>
    <b v="1"/>
    <n v="82"/>
    <n v="69"/>
    <n v="89"/>
    <n v="7"/>
    <n v="8"/>
    <n v="0"/>
    <n v="12"/>
    <n v="40"/>
    <n v="145"/>
    <s v="Hip-Hop/Rap"/>
    <d v="2025-03-14T00:00:00"/>
    <s v="https://image-cdn-ak.spotifycdn.com/image/ab67616d00001e026b219c8d8462bfe254a20469"/>
    <b v="0"/>
  </r>
  <r>
    <n v="1016"/>
    <s v="spotify:track:5SIvP6TdWc9DNvKbENjnYc"/>
    <x v="186"/>
    <s v="PHILLY (with Travis Scott)"/>
    <s v="AWGE/Interscope Records"/>
    <n v="27"/>
    <n v="2"/>
    <d v="1899-12-30T02:48:00"/>
    <b v="1"/>
    <n v="82"/>
    <n v="69"/>
    <n v="89"/>
    <n v="7"/>
    <n v="8"/>
    <n v="0"/>
    <n v="12"/>
    <n v="40"/>
    <n v="145"/>
    <s v="Hip-Hop/Rap"/>
    <d v="2025-03-14T00:00:00"/>
    <s v="https://image-cdn-ak.spotifycdn.com/image/ab67616d00001e026b219c8d8462bfe254a20469"/>
    <b v="0"/>
  </r>
  <r>
    <n v="1017"/>
    <s v="spotify:track:5SSZtFWdrmFV4MxtlRA13N"/>
    <x v="218"/>
    <s v="Saiyaara"/>
    <s v="YRF Music"/>
    <n v="6"/>
    <n v="16"/>
    <s v="04:28:00"/>
    <b v="0"/>
    <n v="62"/>
    <n v="48"/>
    <n v="70"/>
    <n v="5"/>
    <n v="59"/>
    <n v="0"/>
    <n v="12"/>
    <n v="40"/>
    <n v="105"/>
    <s v="Bollywood"/>
    <s v="18/7/2025"/>
    <s v="https://image-cdn-ak.spotifycdn.com/image/ab67616d00001e022fc1f0e56f80b5e7cc388b3c"/>
    <b v="0"/>
  </r>
  <r>
    <n v="1017"/>
    <s v="spotify:track:5SSZtFWdrmFV4MxtlRA13N"/>
    <x v="219"/>
    <s v="Saiyaara"/>
    <s v="YRF Music"/>
    <n v="6"/>
    <n v="16"/>
    <s v="04:28:00"/>
    <b v="0"/>
    <n v="62"/>
    <n v="48"/>
    <n v="70"/>
    <n v="5"/>
    <n v="59"/>
    <n v="0"/>
    <n v="12"/>
    <n v="40"/>
    <n v="105"/>
    <s v="Bollywood"/>
    <s v="18/7/2025"/>
    <s v="https://image-cdn-ak.spotifycdn.com/image/ab67616d00001e022fc1f0e56f80b5e7cc388b3c"/>
    <b v="0"/>
  </r>
  <r>
    <n v="1017"/>
    <s v="spotify:track:5SSZtFWdrmFV4MxtlRA13N"/>
    <x v="89"/>
    <s v="Saiyaara"/>
    <s v="YRF Music"/>
    <n v="6"/>
    <n v="16"/>
    <s v="04:28:00"/>
    <b v="0"/>
    <n v="62"/>
    <n v="48"/>
    <n v="70"/>
    <n v="5"/>
    <n v="59"/>
    <n v="0"/>
    <n v="12"/>
    <n v="40"/>
    <n v="105"/>
    <s v="Bollywood"/>
    <s v="18/7/2025"/>
    <s v="https://image-cdn-ak.spotifycdn.com/image/ab67616d00001e022fc1f0e56f80b5e7cc388b3c"/>
    <b v="0"/>
  </r>
  <r>
    <n v="1017"/>
    <s v="spotify:track:5SSZtFWdrmFV4MxtlRA13N"/>
    <x v="220"/>
    <s v="Saiyaara"/>
    <s v="YRF Music"/>
    <n v="6"/>
    <n v="16"/>
    <s v="04:28:00"/>
    <b v="0"/>
    <n v="62"/>
    <n v="48"/>
    <n v="70"/>
    <n v="5"/>
    <n v="59"/>
    <n v="0"/>
    <n v="12"/>
    <n v="40"/>
    <n v="105"/>
    <s v="Bollywood"/>
    <s v="18/7/2025"/>
    <s v="https://image-cdn-ak.spotifycdn.com/image/ab67616d00001e022fc1f0e56f80b5e7cc388b3c"/>
    <b v="0"/>
  </r>
  <r>
    <n v="1018"/>
    <s v="spotify:track:5SruEBX3KpgpDvEcIuN53P"/>
    <x v="77"/>
    <s v="Baby Steps"/>
    <s v="PLG - Capitol"/>
    <n v="176"/>
    <n v="2"/>
    <s v="03:05:00"/>
    <b v="0"/>
    <n v="68"/>
    <n v="48"/>
    <n v="70"/>
    <n v="4"/>
    <n v="55"/>
    <n v="0"/>
    <n v="10"/>
    <n v="46"/>
    <n v="115"/>
    <s v="Pop"/>
    <s v="14/11/2025"/>
    <s v="https://image-cdn-ak.spotifycdn.com/image/ab67616d00001e029a336bfb6d40bbd90a507417"/>
    <b v="0"/>
  </r>
  <r>
    <n v="1019"/>
    <s v="spotify:track:5SudOD9R1Of6CsJVWZy6CQ"/>
    <x v="678"/>
    <s v="Dardos"/>
    <s v="Sony Music Latin"/>
    <n v="151"/>
    <n v="2"/>
    <s v="03:38:00"/>
    <b v="0"/>
    <n v="75"/>
    <n v="68"/>
    <n v="73"/>
    <n v="6"/>
    <n v="25"/>
    <n v="0"/>
    <n v="12"/>
    <n v="78"/>
    <n v="130"/>
    <s v="Bachata"/>
    <s v="30/1/2026"/>
    <s v="https://image-cdn-ak.spotifycdn.com/image/ab67616d00001e0291750ed467a5ecc14beaa03f"/>
    <b v="0"/>
  </r>
  <r>
    <n v="1019"/>
    <s v="spotify:track:5SudOD9R1Of6CsJVWZy6CQ"/>
    <x v="282"/>
    <s v="Dardos"/>
    <s v="Sony Music Latin"/>
    <n v="151"/>
    <n v="2"/>
    <s v="03:38:00"/>
    <b v="0"/>
    <n v="75"/>
    <n v="68"/>
    <n v="73"/>
    <n v="6"/>
    <n v="25"/>
    <n v="0"/>
    <n v="12"/>
    <n v="78"/>
    <n v="130"/>
    <s v="Bachata"/>
    <s v="30/1/2026"/>
    <s v="https://image-cdn-ak.spotifycdn.com/image/ab67616d00001e0291750ed467a5ecc14beaa03f"/>
    <b v="0"/>
  </r>
  <r>
    <n v="1020"/>
    <s v="spotify:track:5SxahezRlC0saXbCALfB7c"/>
    <x v="362"/>
    <s v="End of the World"/>
    <s v="Columbia"/>
    <n v="86"/>
    <n v="2"/>
    <s v="03:05:00"/>
    <b v="0"/>
    <n v="54"/>
    <n v="48"/>
    <n v="70"/>
    <n v="4"/>
    <n v="61"/>
    <n v="0"/>
    <n v="11"/>
    <n v="33"/>
    <n v="135"/>
    <s v="Pop"/>
    <s v="27/6/2025"/>
    <s v="https://image-cdn-ak.spotifycdn.com/image/ab67616d00001e029cdfb82f538cb0b96c6808d0"/>
    <b v="0"/>
  </r>
  <r>
    <n v="1021"/>
    <s v="spotify:track:5T0mnzMsyHtmWB7Kou51Ph"/>
    <x v="6"/>
    <s v="Gorgeous"/>
    <s v="Kemosabe Records/RCA Records"/>
    <n v="155"/>
    <n v="1"/>
    <s v="03:05:00"/>
    <b v="0"/>
    <n v="82"/>
    <n v="68"/>
    <n v="74"/>
    <n v="14"/>
    <n v="15"/>
    <n v="0"/>
    <n v="14"/>
    <n v="70"/>
    <n v="120"/>
    <s v="Pop"/>
    <s v="26/9/2025"/>
    <s v="https://image-cdn-ak.spotifycdn.com/image/ab67616d00001e023b219fb53c69f313f90fd4ce"/>
    <b v="0"/>
  </r>
  <r>
    <n v="1022"/>
    <s v="spotify:track:5T7ywazdGIydr6JCW6t02j"/>
    <x v="38"/>
    <s v="Smooth Criminal - 2012 Remaster"/>
    <s v="Epic/Legacy"/>
    <n v="28"/>
    <n v="15"/>
    <d v="1899-12-30T04:17:00"/>
    <b v="0"/>
    <n v="85"/>
    <n v="98"/>
    <n v="93"/>
    <n v="8"/>
    <n v="25"/>
    <n v="47"/>
    <n v="31"/>
    <n v="60"/>
    <n v="118"/>
    <s v="Pop"/>
    <d v="1987-08-31T00:00:00"/>
    <s v="https://image-cdn-ak.spotifycdn.com/image/ab67616d00001e02eb2087dcd1eb61f833bdedff"/>
    <b v="0"/>
  </r>
  <r>
    <n v="1023"/>
    <s v="spotify:track:5TFD2bmFKGhoCRbX61nXY5"/>
    <x v="103"/>
    <s v="NUEVAYoL"/>
    <s v="Rimas Entertainment LLC."/>
    <n v="3"/>
    <n v="91"/>
    <d v="1899-12-30T03:18:00"/>
    <b v="0"/>
    <n v="14"/>
    <n v="20"/>
    <n v="67"/>
    <n v="14"/>
    <n v="26"/>
    <n v="100"/>
    <n v="20"/>
    <n v="12"/>
    <n v="138"/>
    <s v="Reggaeton"/>
    <d v="2025-01-05T00:00:00"/>
    <s v="https://image-cdn-ak.spotifycdn.com/image/ab67616d00001e02bbd45c8d36e0e045ef640411"/>
    <b v="0"/>
  </r>
  <r>
    <n v="1024"/>
    <s v="spotify:track:5TRPicyLGbAF2LGBFbHGvO"/>
    <x v="679"/>
    <s v="Flashing Lights"/>
    <s v="Roc-A-Fella"/>
    <n v="121"/>
    <n v="47"/>
    <d v="1899-12-30T03:57:00"/>
    <b v="1"/>
    <n v="64"/>
    <n v="63"/>
    <n v="87"/>
    <n v="4"/>
    <n v="4"/>
    <n v="0"/>
    <n v="39"/>
    <n v="43"/>
    <n v="90"/>
    <s v="Hip-Hop/Rap"/>
    <d v="2007-09-11T00:00:00"/>
    <s v="https://image-cdn-ak.spotifycdn.com/image/ab67616d00001e0226f7f19c7f0381e56156c94a"/>
    <b v="0"/>
  </r>
  <r>
    <n v="1024"/>
    <s v="spotify:track:5TRPicyLGbAF2LGBFbHGvO"/>
    <x v="387"/>
    <s v="Flashing Lights"/>
    <s v="Roc-A-Fella"/>
    <n v="121"/>
    <n v="47"/>
    <d v="1899-12-30T03:57:00"/>
    <b v="1"/>
    <n v="64"/>
    <n v="63"/>
    <n v="87"/>
    <n v="4"/>
    <n v="4"/>
    <n v="0"/>
    <n v="39"/>
    <n v="43"/>
    <n v="90"/>
    <s v="Hip-Hop/Rap"/>
    <d v="2007-09-11T00:00:00"/>
    <s v="https://image-cdn-ak.spotifycdn.com/image/ab67616d00001e0226f7f19c7f0381e56156c94a"/>
    <b v="0"/>
  </r>
  <r>
    <n v="1025"/>
    <s v="spotify:track:5TTGoX70AFrTvuEtqHK37S"/>
    <x v="656"/>
    <s v="No. 1 Party Anthem"/>
    <s v="Domino Recording Co"/>
    <n v="80"/>
    <n v="37"/>
    <d v="1899-12-30T04:03:00"/>
    <b v="0"/>
    <n v="50"/>
    <n v="70"/>
    <n v="91"/>
    <n v="3"/>
    <n v="33"/>
    <n v="9"/>
    <n v="10"/>
    <n v="60"/>
    <n v="115"/>
    <s v="Indie Rock"/>
    <d v="2013-09-09T00:00:00"/>
    <s v="https://image-cdn-ak.spotifycdn.com/image/ab67616d00001e024ae1c4c5c45aabe565499163"/>
    <b v="0"/>
  </r>
  <r>
    <n v="1026"/>
    <s v="spotify:track:5ThyDv6aRVU8AH4vXQNldF"/>
    <x v="680"/>
    <s v="Finding Her"/>
    <s v="EYP Creations"/>
    <n v="98"/>
    <n v="10"/>
    <s v="03:48:00"/>
    <b v="0"/>
    <n v="63"/>
    <n v="48"/>
    <n v="70"/>
    <n v="4"/>
    <n v="58"/>
    <n v="0"/>
    <n v="11"/>
    <n v="45"/>
    <n v="95"/>
    <s v="Bollywood"/>
    <s v="30/5/2025"/>
    <s v="https://image-cdn-ak.spotifycdn.com/image/ab67616d00001e02292341cd3e621d7f9171331f"/>
    <b v="0"/>
  </r>
  <r>
    <n v="1026"/>
    <s v="spotify:track:5ThyDv6aRVU8AH4vXQNldF"/>
    <x v="681"/>
    <s v="Finding Her"/>
    <s v="EYP Creations"/>
    <n v="98"/>
    <n v="10"/>
    <s v="03:48:00"/>
    <b v="0"/>
    <n v="63"/>
    <n v="48"/>
    <n v="70"/>
    <n v="4"/>
    <n v="58"/>
    <n v="0"/>
    <n v="11"/>
    <n v="45"/>
    <n v="95"/>
    <s v="Bollywood"/>
    <s v="30/5/2025"/>
    <s v="https://image-cdn-ak.spotifycdn.com/image/ab67616d00001e02292341cd3e621d7f9171331f"/>
    <b v="0"/>
  </r>
  <r>
    <n v="1026"/>
    <s v="spotify:track:5ThyDv6aRVU8AH4vXQNldF"/>
    <x v="682"/>
    <s v="Finding Her"/>
    <s v="EYP Creations"/>
    <n v="98"/>
    <n v="10"/>
    <s v="03:48:00"/>
    <b v="0"/>
    <n v="63"/>
    <n v="48"/>
    <n v="70"/>
    <n v="4"/>
    <n v="58"/>
    <n v="0"/>
    <n v="11"/>
    <n v="45"/>
    <n v="95"/>
    <s v="Bollywood"/>
    <s v="30/5/2025"/>
    <s v="https://image-cdn-ak.spotifycdn.com/image/ab67616d00001e02292341cd3e621d7f9171331f"/>
    <b v="0"/>
  </r>
  <r>
    <n v="1027"/>
    <s v="spotify:track:5UGrftqh9U3zKQUt3vs7Ob"/>
    <x v="683"/>
    <s v="Supreme"/>
    <s v="Shubh"/>
    <n v="200"/>
    <n v="2"/>
    <d v="1899-12-30T03:18:00"/>
    <b v="0"/>
    <n v="62"/>
    <n v="62"/>
    <n v="76"/>
    <n v="6"/>
    <n v="30"/>
    <n v="0"/>
    <n v="10"/>
    <n v="52"/>
    <n v="95"/>
    <s v="Punjabi"/>
    <d v="2025-04-18T00:00:00"/>
    <s v="https://image-cdn-ak.spotifycdn.com/image/ab67616d00001e029a9a5daadbd26f37fb62837a"/>
    <b v="0"/>
  </r>
  <r>
    <n v="1029"/>
    <s v="spotify:track:5VEuraNSVxMTzDTtrmL3lQ"/>
    <x v="24"/>
    <s v="Winter Wonderland - Remastered 2006"/>
    <s v="Capitol Records"/>
    <n v="112"/>
    <n v="7"/>
    <d v="1899-12-30T02:24:00"/>
    <b v="0"/>
    <n v="52"/>
    <n v="50"/>
    <n v="72"/>
    <n v="3"/>
    <n v="55"/>
    <n v="0"/>
    <n v="15"/>
    <n v="75"/>
    <n v="120"/>
    <s v="Christmas"/>
    <d v="1962-11-01T00:00:00"/>
    <s v="https://image-cdn-ak.spotifycdn.com/image/ab67616d00001e02b18589cf2f75356d654b3053"/>
    <b v="1"/>
  </r>
  <r>
    <n v="1030"/>
    <s v="spotify:track:5ViLKrbyL3HD6wsq3AB9eI"/>
    <x v="175"/>
    <s v="White Keys"/>
    <s v="Columbia"/>
    <n v="30"/>
    <n v="30"/>
    <s v="03:05:00"/>
    <b v="0"/>
    <n v="72"/>
    <n v="65"/>
    <n v="73"/>
    <n v="8"/>
    <n v="45"/>
    <n v="19"/>
    <n v="16"/>
    <n v="68"/>
    <n v="142"/>
    <s v="Alternative Pop"/>
    <s v="13/6/2025"/>
    <s v="https://image-cdn-ak.spotifycdn.com/image/ab67616d00001e023696096119ef08824cf85ede"/>
    <b v="0"/>
  </r>
  <r>
    <n v="1031"/>
    <s v="spotify:track:5WEF0icHWmAZBBMglBd599"/>
    <x v="103"/>
    <s v="WELTiTA"/>
    <s v="Rimas Entertainment LLC."/>
    <n v="11"/>
    <n v="16"/>
    <d v="1899-12-30T03:05:00"/>
    <b v="0"/>
    <n v="46"/>
    <n v="30"/>
    <n v="46"/>
    <n v="60"/>
    <n v="87"/>
    <n v="33"/>
    <n v="35"/>
    <n v="36"/>
    <n v="96"/>
    <s v="Reggaeton"/>
    <d v="2025-01-05T00:00:00"/>
    <s v="https://image-cdn-ak.spotifycdn.com/image/ab67616d00001e02bbd45c8d36e0e045ef640411"/>
    <b v="0"/>
  </r>
  <r>
    <n v="1031"/>
    <s v="spotify:track:5WEF0icHWmAZBBMglBd599"/>
    <x v="684"/>
    <s v="WELTiTA"/>
    <s v="Rimas Entertainment LLC."/>
    <n v="11"/>
    <n v="16"/>
    <d v="1899-12-30T03:05:00"/>
    <b v="0"/>
    <n v="46"/>
    <n v="30"/>
    <n v="46"/>
    <n v="60"/>
    <n v="87"/>
    <n v="33"/>
    <n v="35"/>
    <n v="36"/>
    <n v="96"/>
    <s v="Reggaeton"/>
    <d v="2025-01-05T00:00:00"/>
    <s v="https://image-cdn-ak.spotifycdn.com/image/ab67616d00001e02bbd45c8d36e0e045ef640411"/>
    <b v="0"/>
  </r>
  <r>
    <n v="1032"/>
    <s v="spotify:track:5WOSNVChcadlsCRiqXE45K"/>
    <x v="685"/>
    <s v="everything u are"/>
    <s v="Sun Eater"/>
    <n v="184"/>
    <n v="3"/>
    <s v="03:48:00"/>
    <b v="0"/>
    <n v="58"/>
    <n v="50"/>
    <n v="70"/>
    <n v="5"/>
    <n v="54"/>
    <n v="0"/>
    <n v="12"/>
    <n v="40"/>
    <n v="110"/>
    <s v="Indie Pop"/>
    <s v="6/3/2026"/>
    <s v="https://image-cdn-ak.spotifycdn.com/image/ab67616d00001e0205898628baab6ef07a0a4d03"/>
    <b v="0"/>
  </r>
  <r>
    <n v="1033"/>
    <s v="spotify:track:5XeFesFbtLpXzIVDNQP22n"/>
    <x v="656"/>
    <s v="I Wanna Be Yours"/>
    <s v="Domino Recording Co"/>
    <n v="15"/>
    <n v="221"/>
    <d v="1899-12-30T03:03:00"/>
    <b v="0"/>
    <n v="46"/>
    <n v="42"/>
    <n v="84"/>
    <n v="3"/>
    <n v="14"/>
    <n v="2"/>
    <n v="10"/>
    <n v="48"/>
    <n v="68"/>
    <s v="Indie Rock"/>
    <d v="2013-09-09T00:00:00"/>
    <s v="https://image-cdn-ak.spotifycdn.com/image/ab67616d00001e024ae1c4c5c45aabe565499163"/>
    <b v="0"/>
  </r>
  <r>
    <n v="1034"/>
    <s v="spotify:track:5Y35SjAfXjjG0sFQ3KOxmm"/>
    <x v="20"/>
    <s v="Nobody Gets Me"/>
    <s v="Top Dawg Entertainment/RCA Records"/>
    <n v="12"/>
    <n v="49"/>
    <d v="1899-12-30T02:58:00"/>
    <b v="1"/>
    <n v="36"/>
    <n v="28"/>
    <n v="86"/>
    <n v="3"/>
    <n v="80"/>
    <n v="0"/>
    <n v="18"/>
    <n v="28"/>
    <n v="100"/>
    <s v="R&amp;B"/>
    <d v="2022-12-09T00:00:00"/>
    <s v="https://image-cdn-fa.spotifycdn.com/image/ab67616d00001e02bc18bdade69ec5ef0bb25b17"/>
    <b v="0"/>
  </r>
  <r>
    <n v="1035"/>
    <s v="spotify:track:5YwBaDW36fztKNnoiHQar3"/>
    <x v="124"/>
    <s v="Couldn’t Make It Any Harder"/>
    <s v="Island Records"/>
    <n v="164"/>
    <n v="1"/>
    <s v="03:05:00"/>
    <b v="1"/>
    <n v="64"/>
    <n v="52"/>
    <n v="71"/>
    <n v="5"/>
    <n v="45"/>
    <n v="0"/>
    <n v="10"/>
    <n v="46"/>
    <n v="105"/>
    <s v="Pop"/>
    <s v="29/8/2025"/>
    <s v="https://image-cdn-ak.spotifycdn.com/image/ab67616d00001e02047d6b756e8f5e3f8b50f025"/>
    <b v="0"/>
  </r>
  <r>
    <n v="1036"/>
    <s v="spotify:track:5Z75FvRFiultmPFWHx5jQ7"/>
    <x v="79"/>
    <s v="7 DIAS"/>
    <s v="Los CT Records"/>
    <n v="24"/>
    <n v="15"/>
    <d v="1899-12-30T03:05:00"/>
    <b v="1"/>
    <n v="84"/>
    <n v="75"/>
    <n v="94"/>
    <n v="6"/>
    <n v="39"/>
    <n v="0"/>
    <n v="8"/>
    <n v="58"/>
    <n v="112"/>
    <s v="Regional Mexicano"/>
    <d v="2025-05-02T00:00:00"/>
    <s v="https://image-cdn-fa.spotifycdn.com/image/ab67616d00001e02ec4f3a05f36b942d7756d7c0"/>
    <b v="0"/>
  </r>
  <r>
    <n v="1036"/>
    <s v="spotify:track:5Z75FvRFiultmPFWHx5jQ7"/>
    <x v="31"/>
    <s v="7 DIAS"/>
    <s v="Los CT Records"/>
    <n v="24"/>
    <n v="15"/>
    <d v="1899-12-30T03:05:00"/>
    <b v="1"/>
    <n v="84"/>
    <n v="75"/>
    <n v="94"/>
    <n v="6"/>
    <n v="39"/>
    <n v="0"/>
    <n v="8"/>
    <n v="58"/>
    <n v="112"/>
    <s v="Regional Mexicano"/>
    <d v="2025-05-02T00:00:00"/>
    <s v="https://image-cdn-fa.spotifycdn.com/image/ab67616d00001e02ec4f3a05f36b942d7756d7c0"/>
    <b v="0"/>
  </r>
  <r>
    <n v="1038"/>
    <s v="spotify:track:5aIEFCKhVUM5sKkwOSdFiM"/>
    <x v="53"/>
    <s v="CRYING IN CHANEL"/>
    <s v="OVO Sound"/>
    <n v="147"/>
    <n v="1"/>
    <s v="03:18:00"/>
    <b v="1"/>
    <n v="73"/>
    <n v="50"/>
    <n v="70"/>
    <n v="36"/>
    <n v="47"/>
    <n v="0"/>
    <n v="12"/>
    <n v="32"/>
    <n v="120"/>
    <s v="Hip-Hop/Rap"/>
    <s v="22/5/2026"/>
    <s v="https://image-cdn-ak.spotifycdn.com/image/ab67616d00001e02b5a28a256eae6dc0424fef59"/>
    <b v="0"/>
  </r>
  <r>
    <n v="1039"/>
    <s v="spotify:track:5aIVCx5tnk0ntmdiinnYvw"/>
    <x v="217"/>
    <s v="Water"/>
    <s v="FAX Records/Epic"/>
    <n v="12"/>
    <n v="62"/>
    <d v="1899-12-30T03:20:00"/>
    <b v="0"/>
    <n v="67"/>
    <n v="72"/>
    <n v="94"/>
    <n v="8"/>
    <n v="9"/>
    <n v="0"/>
    <n v="14"/>
    <n v="52"/>
    <n v="117"/>
    <s v="Afrobeat"/>
    <d v="2023-07-28T00:00:00"/>
    <s v="https://image-cdn-ak.spotifycdn.com/image/ab67616d00001e02d20231861e86a6f74ef2393e"/>
    <b v="0"/>
  </r>
  <r>
    <n v="1040"/>
    <s v="spotify:track:5ahJTs5f6GAAFOYhK3ojP8"/>
    <x v="102"/>
    <s v="Polvo Rosita"/>
    <s v="DEL Records"/>
    <n v="196"/>
    <n v="1"/>
    <s v="03:05:00"/>
    <b v="1"/>
    <n v="72"/>
    <n v="60"/>
    <n v="73"/>
    <n v="6"/>
    <n v="35"/>
    <n v="0"/>
    <n v="14"/>
    <n v="82"/>
    <n v="145"/>
    <s v="Regional Mexicano"/>
    <s v="19/6/2026"/>
    <s v="https://image-cdn-ak.spotifycdn.com/image/ab67616d00001e0234fc9cf3365e3e9d5f86ffe3"/>
    <b v="0"/>
  </r>
  <r>
    <n v="1041"/>
    <s v="spotify:track:5b5cPscqVEMChvDqscVw26"/>
    <x v="512"/>
    <s v="Training Season"/>
    <s v="Warner Records"/>
    <n v="15"/>
    <n v="32"/>
    <d v="1899-12-30T03:29:00"/>
    <b v="0"/>
    <n v="81"/>
    <n v="59"/>
    <n v="93"/>
    <n v="5"/>
    <n v="3"/>
    <n v="0"/>
    <n v="12"/>
    <n v="66"/>
    <n v="123"/>
    <s v="Dance Pop"/>
    <d v="2024-02-15T00:00:00"/>
    <s v="https://image-cdn-ak.spotifycdn.com/image/ab67616d00001e022f8790ed72296c2614607575"/>
    <b v="0"/>
  </r>
  <r>
    <n v="1042"/>
    <s v="spotify:track:5cF0dROlMOK5uNZtivgu50"/>
    <x v="650"/>
    <s v="Attention"/>
    <s v="Artist Partner"/>
    <n v="5"/>
    <n v="89"/>
    <d v="1899-12-30T03:28:00"/>
    <b v="0"/>
    <n v="78"/>
    <n v="61"/>
    <n v="92"/>
    <n v="5"/>
    <n v="11"/>
    <n v="0"/>
    <n v="13"/>
    <n v="80"/>
    <n v="100"/>
    <s v="Pop"/>
    <d v="2017-04-21T00:00:00"/>
    <s v="https://image-cdn-ak.spotifycdn.com/image/ab67616d00001e02897f73256b9128a9d70eaf66"/>
    <b v="0"/>
  </r>
  <r>
    <n v="1044"/>
    <s v="spotify:track:5cfsQZEFf1IpQr8F9vI9le"/>
    <x v="2"/>
    <s v="BUTTERFLIES"/>
    <s v="JRC Entertainment, LLC / ILH Production Co. LLC / Def Jam Recordings"/>
    <n v="47"/>
    <n v="1"/>
    <s v="03:18:00"/>
    <b v="0"/>
    <n v="75"/>
    <n v="61"/>
    <n v="73"/>
    <n v="6"/>
    <n v="25"/>
    <n v="0"/>
    <n v="11"/>
    <n v="64"/>
    <n v="116"/>
    <s v="Pop"/>
    <s v="12/9/2025"/>
    <s v="https://image-cdn-ak.spotifycdn.com/image/ab67616d00001e02d65c4773bc5061fd27facc5b"/>
    <b v="0"/>
  </r>
  <r>
    <n v="1045"/>
    <s v="spotify:track:5dgREmLlxVJn6h8U0CofEo"/>
    <x v="534"/>
    <s v="De Lejitos - Remix"/>
    <s v="Linked Music / Dynamic Records / EMPIRE"/>
    <n v="109"/>
    <n v="17"/>
    <s v="03:05:00"/>
    <b v="1"/>
    <n v="80"/>
    <n v="67"/>
    <n v="73"/>
    <n v="8"/>
    <n v="19"/>
    <n v="0"/>
    <n v="14"/>
    <n v="72"/>
    <n v="94"/>
    <s v="Reggaeton"/>
    <s v="27/3/2026"/>
    <s v="https://image-cdn-ak.spotifycdn.com/image/ab67616d00001e02c132fb4ba462a3859c4f2ff3"/>
    <b v="0"/>
  </r>
  <r>
    <n v="1045"/>
    <s v="spotify:track:5dgREmLlxVJn6h8U0CofEo"/>
    <x v="105"/>
    <s v="De Lejitos - Remix"/>
    <s v="Linked Music / Dynamic Records / EMPIRE"/>
    <n v="109"/>
    <n v="17"/>
    <s v="03:05:00"/>
    <b v="1"/>
    <n v="80"/>
    <n v="67"/>
    <n v="73"/>
    <n v="8"/>
    <n v="19"/>
    <n v="0"/>
    <n v="14"/>
    <n v="72"/>
    <n v="94"/>
    <s v="Reggaeton"/>
    <s v="27/3/2026"/>
    <s v="https://image-cdn-ak.spotifycdn.com/image/ab67616d00001e02c132fb4ba462a3859c4f2ff3"/>
    <b v="0"/>
  </r>
  <r>
    <n v="1046"/>
    <s v="spotify:track:5e0b9LgOfi3aJSKXFcOWRe"/>
    <x v="686"/>
    <s v="Beanie"/>
    <s v="Chezile / 10K Projects"/>
    <n v="58"/>
    <n v="21"/>
    <d v="1899-12-30T02:48:00"/>
    <b v="0"/>
    <n v="53"/>
    <n v="56"/>
    <n v="90"/>
    <n v="3"/>
    <n v="41"/>
    <n v="1"/>
    <n v="32"/>
    <n v="16"/>
    <n v="139"/>
    <s v="Indie Pop"/>
    <d v="2024-09-13T00:00:00"/>
    <s v="https://image-cdn-ak.spotifycdn.com/image/ab67616d00001e029d181176cafa856a3c8b5537"/>
    <b v="0"/>
  </r>
  <r>
    <n v="1047"/>
    <s v="spotify:track:5e9TFTbltYBg2xThimr0rU"/>
    <x v="163"/>
    <s v="The Chain - 2004 Remaster"/>
    <s v="Rhino/Warner Records"/>
    <n v="119"/>
    <n v="33"/>
    <d v="1899-12-30T04:28:00"/>
    <b v="0"/>
    <n v="55"/>
    <n v="67"/>
    <n v="85"/>
    <n v="5"/>
    <n v="1"/>
    <n v="0"/>
    <n v="5"/>
    <n v="48"/>
    <n v="152"/>
    <s v="Rock"/>
    <d v="1977-02-04T00:00:00"/>
    <s v="https://image-cdn-ak.spotifycdn.com/image/ab67616d00001e02e52a59a28efa4773dd2bfe1b"/>
    <b v="0"/>
  </r>
  <r>
    <n v="1048"/>
    <s v="spotify:track:5eXgqtg3T8Av0m1FUaGHex"/>
    <x v="124"/>
    <s v="The Life of a Showgirl (feat. Sabrina Carpenter)"/>
    <s v="Taylor Swift"/>
    <n v="7"/>
    <n v="7"/>
    <s v="03:38:00"/>
    <b v="0"/>
    <n v="66"/>
    <n v="58"/>
    <n v="72"/>
    <n v="5"/>
    <n v="40"/>
    <n v="0"/>
    <n v="13"/>
    <n v="49"/>
    <n v="112"/>
    <s v="Pop"/>
    <s v="3/10/2025"/>
    <s v="https://image-cdn-ak.spotifycdn.com/image/ab67616d00001e02d7812467811a7da6e6a44902"/>
    <b v="0"/>
  </r>
  <r>
    <n v="1048"/>
    <s v="spotify:track:5eXgqtg3T8Av0m1FUaGHex"/>
    <x v="19"/>
    <s v="The Life of a Showgirl (feat. Sabrina Carpenter)"/>
    <s v="Taylor Swift"/>
    <n v="7"/>
    <n v="7"/>
    <s v="03:38:00"/>
    <b v="0"/>
    <n v="66"/>
    <n v="58"/>
    <n v="72"/>
    <n v="5"/>
    <n v="40"/>
    <n v="0"/>
    <n v="13"/>
    <n v="49"/>
    <n v="112"/>
    <s v="Pop"/>
    <s v="3/10/2025"/>
    <s v="https://image-cdn-ak.spotifycdn.com/image/ab67616d00001e02d7812467811a7da6e6a44902"/>
    <b v="0"/>
  </r>
  <r>
    <n v="1049"/>
    <s v="spotify:track:5ehXToeJ8Tgc4wMhY42Oul"/>
    <x v="687"/>
    <s v="Wake Me Up (feat. Justice)"/>
    <s v="XO / Republic Records"/>
    <n v="37"/>
    <n v="1"/>
    <d v="1899-12-30T04:12:00"/>
    <b v="0"/>
    <n v="60"/>
    <n v="51"/>
    <n v="85"/>
    <n v="3"/>
    <n v="0"/>
    <n v="0"/>
    <n v="51"/>
    <n v="18"/>
    <n v="111"/>
    <s v="R&amp;B"/>
    <d v="2025-01-31T00:00:00"/>
    <s v="https://image-cdn-ak.spotifycdn.com/image/ab67616d00001e02460b137f921b16041901104a"/>
    <b v="0"/>
  </r>
  <r>
    <n v="1049"/>
    <s v="spotify:track:5ehXToeJ8Tgc4wMhY42Oul"/>
    <x v="55"/>
    <s v="Wake Me Up (feat. Justice)"/>
    <s v="XO / Republic Records"/>
    <n v="37"/>
    <n v="1"/>
    <d v="1899-12-30T04:12:00"/>
    <b v="0"/>
    <n v="60"/>
    <n v="51"/>
    <n v="85"/>
    <n v="3"/>
    <n v="0"/>
    <n v="0"/>
    <n v="51"/>
    <n v="18"/>
    <n v="111"/>
    <s v="R&amp;B"/>
    <d v="2025-01-31T00:00:00"/>
    <s v="https://image-cdn-ak.spotifycdn.com/image/ab67616d00001e02460b137f921b16041901104a"/>
    <b v="0"/>
  </r>
  <r>
    <n v="1051"/>
    <s v="spotify:track:5fZJQrFKWQLb7FpJXZ1g7K"/>
    <x v="688"/>
    <s v="A Bar Song (Tipsy)"/>
    <s v="American Dogwood / EMPIRE"/>
    <n v="6"/>
    <n v="76"/>
    <d v="1899-12-30T02:51:00"/>
    <b v="1"/>
    <n v="72"/>
    <n v="71"/>
    <n v="92"/>
    <n v="3"/>
    <n v="6"/>
    <n v="0"/>
    <n v="8"/>
    <n v="60"/>
    <n v="81"/>
    <s v="Country"/>
    <d v="2024-04-12T00:00:00"/>
    <s v="https://image-cdn-ak.spotifycdn.com/image/ab67616d00001e02efa97e80fdb012456a40532c"/>
    <b v="0"/>
  </r>
  <r>
    <n v="1052"/>
    <s v="spotify:track:5fdhThPDe6jQQDqCyWrdAn"/>
    <x v="483"/>
    <s v="Jolene"/>
    <s v="RLG/Legacy"/>
    <n v="53"/>
    <n v="3"/>
    <d v="1899-12-30T02:41:00"/>
    <b v="0"/>
    <n v="67"/>
    <n v="54"/>
    <n v="82"/>
    <n v="4"/>
    <n v="57"/>
    <n v="0"/>
    <n v="13"/>
    <n v="81"/>
    <n v="111"/>
    <s v="Country"/>
    <d v="1973-10-15T00:00:00"/>
    <s v="https://image-cdn-ak.spotifycdn.com/image/ab67616d00001e0214021e9ab9da5813bc6791cb"/>
    <b v="0"/>
  </r>
  <r>
    <n v="1053"/>
    <s v="spotify:track:5g7sDjBhZ4I3gcFIpkrLuI"/>
    <x v="39"/>
    <s v="Locked out of Heaven"/>
    <s v="Atlantic Records"/>
    <n v="18"/>
    <n v="217"/>
    <d v="1899-12-30T03:53:00"/>
    <b v="0"/>
    <n v="73"/>
    <n v="70"/>
    <n v="93"/>
    <n v="4"/>
    <n v="5"/>
    <n v="0"/>
    <n v="31"/>
    <n v="87"/>
    <n v="144"/>
    <s v="Pop"/>
    <d v="2012-10-01T00:00:00"/>
    <s v="https://image-cdn-ak.spotifycdn.com/image/ab67616d00001e0249055dce3554e72e82082980"/>
    <b v="0"/>
  </r>
  <r>
    <n v="1054"/>
    <s v="spotify:track:5humEOJehpAwMJEJmb0JJ2"/>
    <x v="171"/>
    <s v="The Christmas Song (Merry Christmas To You)"/>
    <s v="Capitol Records"/>
    <n v="16"/>
    <n v="42"/>
    <d v="1899-12-30T03:12:00"/>
    <b v="0"/>
    <n v="52"/>
    <n v="48"/>
    <n v="72"/>
    <n v="3"/>
    <n v="55"/>
    <n v="0"/>
    <n v="15"/>
    <n v="72"/>
    <n v="120"/>
    <s v="Christmas"/>
    <d v="1946-11-01T00:00:00"/>
    <s v="https://image-cdn-ak.spotifycdn.com/image/ab67616d00001e02deac5adf07affb5fec422701"/>
    <b v="1"/>
  </r>
  <r>
    <n v="1055"/>
    <s v="spotify:track:5ihS6UUlyQAfmp48eSkxuQ"/>
    <x v="163"/>
    <s v="Landslide"/>
    <s v="Warner Records"/>
    <n v="135"/>
    <n v="1"/>
    <d v="1899-12-30T03:19:00"/>
    <b v="0"/>
    <n v="41"/>
    <n v="16"/>
    <n v="63"/>
    <n v="3"/>
    <n v="88"/>
    <n v="0"/>
    <n v="12"/>
    <n v="42"/>
    <n v="159"/>
    <s v="Soft Rock"/>
    <d v="1975-07-11T00:00:00"/>
    <s v="https://image-cdn-ak.spotifycdn.com/image/ab67616d00001e024fb043195e8d07e72edc7226"/>
    <b v="0"/>
  </r>
  <r>
    <n v="1056"/>
    <s v="spotify:track:5jHozZMWbrExAFni95mvvH"/>
    <x v="256"/>
    <s v="Por Esos Ojos"/>
    <s v="Rancho Humilde/Street Mob Records/Sony Music Latin"/>
    <n v="41"/>
    <n v="11"/>
    <d v="1899-12-30T03:05:00"/>
    <b v="1"/>
    <n v="51"/>
    <n v="68"/>
    <n v="88"/>
    <n v="11"/>
    <n v="29"/>
    <n v="0"/>
    <n v="19"/>
    <n v="51"/>
    <n v="102"/>
    <s v="Regional Mexicano"/>
    <d v="2025-04-25T00:00:00"/>
    <s v="https://image-cdn-fa.spotifycdn.com/image/ab67616d00001e028822719df05ca7708cc9abe8"/>
    <b v="0"/>
  </r>
  <r>
    <n v="1057"/>
    <s v="spotify:track:5jsw9uXEGuKyJzs0boZ1bT"/>
    <x v="488"/>
    <s v="Stitches"/>
    <s v="Island Records"/>
    <n v="137"/>
    <n v="13"/>
    <d v="1899-12-30T03:26:00"/>
    <b v="0"/>
    <n v="75"/>
    <n v="75"/>
    <n v="89"/>
    <n v="6"/>
    <n v="2"/>
    <n v="0"/>
    <n v="5"/>
    <n v="76"/>
    <n v="150"/>
    <s v="Pop"/>
    <d v="2015-03-20T00:00:00"/>
    <s v="https://image-cdn-ak.spotifycdn.com/image/ab67616d00001e02d26246b23c8bfa8ce543b3bb"/>
    <b v="0"/>
  </r>
  <r>
    <n v="1058"/>
    <s v="spotify:track:5lCk0ZeN8h76QxNqHEGMZJ"/>
    <x v="410"/>
    <s v="Vamo a Bailotear"/>
    <s v="SONAR LLC."/>
    <n v="24"/>
    <n v="5"/>
    <d v="1899-12-30T02:48:00"/>
    <b v="1"/>
    <n v="85"/>
    <n v="80"/>
    <n v="82"/>
    <n v="14"/>
    <n v="5"/>
    <n v="0"/>
    <n v="13"/>
    <n v="72"/>
    <n v="96"/>
    <s v="Reggaeton"/>
    <d v="2025-04-18T00:00:00"/>
    <s v="https://image-cdn-ak.spotifycdn.com/image/ab67616d00001e02107025b080982019270451f9"/>
    <b v="0"/>
  </r>
  <r>
    <n v="1059"/>
    <s v="spotify:track:5lKFO0PrOC9jmOlPEdjHsL"/>
    <x v="61"/>
    <s v="DOS DÍAS"/>
    <s v="2024 Double P Records"/>
    <n v="31"/>
    <n v="35"/>
    <d v="1899-12-30T03:05:00"/>
    <b v="1"/>
    <n v="74"/>
    <n v="51"/>
    <n v="85"/>
    <n v="9"/>
    <n v="78"/>
    <n v="0"/>
    <n v="22"/>
    <n v="93"/>
    <n v="110"/>
    <s v="Regional Mexicano"/>
    <d v="2025-02-14T00:00:00"/>
    <s v="https://image-cdn-ak.spotifycdn.com/image/ab67616d00001e0247e9618ef7411438f9c9478b"/>
    <b v="0"/>
  </r>
  <r>
    <n v="1059"/>
    <s v="spotify:track:5lKFO0PrOC9jmOlPEdjHsL"/>
    <x v="31"/>
    <s v="DOS DÍAS"/>
    <s v="2024 Double P Records"/>
    <n v="31"/>
    <n v="35"/>
    <d v="1899-12-30T03:05:00"/>
    <b v="1"/>
    <n v="74"/>
    <n v="51"/>
    <n v="85"/>
    <n v="9"/>
    <n v="78"/>
    <n v="0"/>
    <n v="22"/>
    <n v="93"/>
    <n v="110"/>
    <s v="Regional Mexicano"/>
    <d v="2025-02-14T00:00:00"/>
    <s v="https://image-cdn-ak.spotifycdn.com/image/ab67616d00001e0247e9618ef7411438f9c9478b"/>
    <b v="0"/>
  </r>
  <r>
    <n v="1060"/>
    <s v="spotify:track:5mAGsieQbw180sYdL3RMKk"/>
    <x v="11"/>
    <s v="Love Somebody"/>
    <s v="Big Loud Records / Mercury Records / Republic Records"/>
    <n v="31"/>
    <n v="9"/>
    <d v="1899-12-30T03:18:00"/>
    <b v="0"/>
    <n v="62"/>
    <n v="84"/>
    <n v="91"/>
    <n v="3"/>
    <n v="1"/>
    <n v="0"/>
    <n v="16"/>
    <n v="75"/>
    <n v="122"/>
    <s v="Country"/>
    <d v="2025-03-21T00:00:00"/>
    <s v="https://image-cdn-ak.spotifycdn.com/image/ab67616d00001e0235ea219ce47813b5e2dc3745"/>
    <b v="0"/>
  </r>
  <r>
    <n v="1061"/>
    <s v="spotify:track:5mCPDVBb16L4XQwDdbRUpz"/>
    <x v="53"/>
    <s v="Passionfruit"/>
    <s v="Cash Money Records/Young Money Ent./Universal Rec."/>
    <n v="2"/>
    <n v="65"/>
    <d v="1899-12-30T04:59:00"/>
    <b v="1"/>
    <n v="81"/>
    <n v="46"/>
    <n v="81"/>
    <n v="4"/>
    <n v="26"/>
    <n v="8"/>
    <n v="11"/>
    <n v="36"/>
    <n v="112"/>
    <s v="R&amp;B"/>
    <d v="2017-03-17T00:00:00"/>
    <s v="https://image-cdn-ak.spotifycdn.com/image/ab67616d00001e024f0fd9dad63977146e685700"/>
    <b v="0"/>
  </r>
  <r>
    <n v="1063"/>
    <s v="spotify:track:5nEdwtSv0qqeE0l4o1lR4q"/>
    <x v="689"/>
    <s v="(When You Gonna) Give It Up to Me - Radio Version"/>
    <s v="VP Records"/>
    <n v="36"/>
    <n v="33"/>
    <d v="1899-12-30T03:38:00"/>
    <b v="0"/>
    <n v="82"/>
    <n v="78"/>
    <n v="81"/>
    <n v="8"/>
    <n v="10"/>
    <n v="0"/>
    <n v="13"/>
    <n v="72"/>
    <n v="102"/>
    <s v="Dancehall"/>
    <d v="2006-08-15T00:00:00"/>
    <s v="https://image-cdn-ak.spotifycdn.com/image/ab67616d00001e02a539563b3d77bd3ba17d016e"/>
    <b v="0"/>
  </r>
  <r>
    <n v="1063"/>
    <s v="spotify:track:5nEdwtSv0qqeE0l4o1lR4q"/>
    <x v="565"/>
    <s v="(When You Gonna) Give It Up to Me - Radio Version"/>
    <s v="VP Records"/>
    <n v="36"/>
    <n v="33"/>
    <d v="1899-12-30T03:38:00"/>
    <b v="0"/>
    <n v="82"/>
    <n v="78"/>
    <n v="81"/>
    <n v="8"/>
    <n v="10"/>
    <n v="0"/>
    <n v="13"/>
    <n v="72"/>
    <n v="102"/>
    <s v="Dancehall"/>
    <d v="2006-08-15T00:00:00"/>
    <s v="https://image-cdn-ak.spotifycdn.com/image/ab67616d00001e02a539563b3d77bd3ba17d016e"/>
    <b v="0"/>
  </r>
  <r>
    <n v="1064"/>
    <s v="spotify:track:5nPbKG04fhLkIAjcPFaZq7"/>
    <x v="690"/>
    <s v="I Adore You (feat. Daecolm)"/>
    <s v="Intercord"/>
    <n v="114"/>
    <n v="16"/>
    <d v="1899-12-30T03:05:00"/>
    <b v="0"/>
    <n v="70"/>
    <n v="79"/>
    <n v="89"/>
    <n v="5"/>
    <n v="1"/>
    <n v="1"/>
    <n v="16"/>
    <n v="31"/>
    <n v="120"/>
    <s v="House"/>
    <d v="2024-06-14T00:00:00"/>
    <s v="https://image-cdn-ak.spotifycdn.com/image/ab67616d00001e0205005dc483e9f8a73ccc6d3d"/>
    <b v="0"/>
  </r>
  <r>
    <n v="1064"/>
    <s v="spotify:track:5nPbKG04fhLkIAjcPFaZq7"/>
    <x v="691"/>
    <s v="I Adore You (feat. Daecolm)"/>
    <s v="Intercord"/>
    <n v="114"/>
    <n v="16"/>
    <d v="1899-12-30T03:05:00"/>
    <b v="0"/>
    <n v="70"/>
    <n v="79"/>
    <n v="89"/>
    <n v="5"/>
    <n v="1"/>
    <n v="1"/>
    <n v="16"/>
    <n v="31"/>
    <n v="120"/>
    <s v="House"/>
    <d v="2024-06-14T00:00:00"/>
    <s v="https://image-cdn-ak.spotifycdn.com/image/ab67616d00001e0205005dc483e9f8a73ccc6d3d"/>
    <b v="0"/>
  </r>
  <r>
    <n v="1064"/>
    <s v="spotify:track:5nPbKG04fhLkIAjcPFaZq7"/>
    <x v="112"/>
    <s v="I Adore You (feat. Daecolm)"/>
    <s v="Intercord"/>
    <n v="114"/>
    <n v="16"/>
    <d v="1899-12-30T03:05:00"/>
    <b v="0"/>
    <n v="70"/>
    <n v="79"/>
    <n v="89"/>
    <n v="5"/>
    <n v="1"/>
    <n v="1"/>
    <n v="16"/>
    <n v="31"/>
    <n v="120"/>
    <s v="House"/>
    <d v="2024-06-14T00:00:00"/>
    <s v="https://image-cdn-ak.spotifycdn.com/image/ab67616d00001e0205005dc483e9f8a73ccc6d3d"/>
    <b v="0"/>
  </r>
  <r>
    <n v="1064"/>
    <s v="spotify:track:5nPbKG04fhLkIAjcPFaZq7"/>
    <x v="692"/>
    <s v="I Adore You (feat. Daecolm)"/>
    <s v="Intercord"/>
    <n v="114"/>
    <n v="16"/>
    <d v="1899-12-30T03:05:00"/>
    <b v="0"/>
    <n v="70"/>
    <n v="79"/>
    <n v="89"/>
    <n v="5"/>
    <n v="1"/>
    <n v="1"/>
    <n v="16"/>
    <n v="31"/>
    <n v="120"/>
    <s v="House"/>
    <d v="2024-06-14T00:00:00"/>
    <s v="https://image-cdn-ak.spotifycdn.com/image/ab67616d00001e0205005dc483e9f8a73ccc6d3d"/>
    <b v="0"/>
  </r>
  <r>
    <n v="1065"/>
    <s v="spotify:track:5nk6BxN9bM5rLNkA3pMOzn"/>
    <x v="693"/>
    <s v="Tweaker"/>
    <s v="LiAngelo Ball (G3) PS/Def Jam"/>
    <n v="98"/>
    <n v="2"/>
    <d v="1899-12-30T03:18:00"/>
    <b v="1"/>
    <n v="58"/>
    <n v="82"/>
    <n v="89"/>
    <n v="38"/>
    <n v="16"/>
    <n v="0"/>
    <n v="7"/>
    <n v="81"/>
    <n v="111"/>
    <s v="Hip-Hop/Rap"/>
    <d v="2025-01-03T00:00:00"/>
    <s v="https://image-cdn-ak.spotifycdn.com/image/ab67616d00001e02e9de80682fe4907050ada1ff"/>
    <b v="0"/>
  </r>
  <r>
    <n v="1066"/>
    <s v="spotify:track:5o0hD6Bs6RdyZxfYBoEEc8"/>
    <x v="694"/>
    <s v="No Good Deed"/>
    <s v="Wicked Soundtrack"/>
    <n v="170"/>
    <n v="1"/>
    <d v="1899-12-30T03:48:00"/>
    <b v="0"/>
    <n v="58"/>
    <n v="62"/>
    <n v="76"/>
    <n v="6"/>
    <n v="30"/>
    <n v="0"/>
    <n v="11"/>
    <n v="48"/>
    <n v="100"/>
    <s v="Soundtrack"/>
    <d v="2024-11-22T00:00:00"/>
    <s v="https://image-cdn-fa.spotifycdn.com/image/ab67616d00001e023a81e76442b1aa620895a211"/>
    <b v="0"/>
  </r>
  <r>
    <n v="1068"/>
    <s v="spotify:track:5oO3drDxtziYU2H1X23ZIp"/>
    <x v="110"/>
    <s v="Love On The Brain"/>
    <s v="Roc Nation / Rihanna"/>
    <n v="68"/>
    <n v="45"/>
    <d v="1899-12-30T03:44:00"/>
    <b v="1"/>
    <n v="51"/>
    <n v="64"/>
    <n v="92"/>
    <n v="5"/>
    <n v="7"/>
    <n v="0"/>
    <n v="8"/>
    <n v="38"/>
    <n v="172"/>
    <s v="R&amp;B"/>
    <d v="2016-01-28T00:00:00"/>
    <s v="https://image-cdn-fa.spotifycdn.com/image/ab67616d00001e026be9bac15995f089579074de"/>
    <b v="0"/>
  </r>
  <r>
    <n v="1069"/>
    <s v="spotify:track:5pNm9cYzWaAtoihxILG3cw"/>
    <x v="695"/>
    <s v="Balorda nostalgia"/>
    <s v="Epic"/>
    <n v="43"/>
    <n v="2"/>
    <d v="1899-12-30T03:18:00"/>
    <b v="0"/>
    <n v="54"/>
    <n v="56"/>
    <n v="88"/>
    <n v="5"/>
    <n v="10"/>
    <n v="0"/>
    <n v="12"/>
    <n v="16"/>
    <n v="110"/>
    <s v="Italian Pop"/>
    <d v="2025-02-14T00:00:00"/>
    <s v="https://image-cdn-ak.spotifycdn.com/image/ab67616d00001e02bfbde8580c3d38599bee65af"/>
    <b v="0"/>
  </r>
  <r>
    <n v="1069"/>
    <s v="spotify:track:5pNm9cYzWaAtoihxILG3cw"/>
    <x v="696"/>
    <s v="Balorda nostalgia"/>
    <s v="Epic"/>
    <n v="43"/>
    <n v="2"/>
    <d v="1899-12-30T03:18:00"/>
    <b v="0"/>
    <n v="54"/>
    <n v="56"/>
    <n v="88"/>
    <n v="5"/>
    <n v="10"/>
    <n v="0"/>
    <n v="12"/>
    <n v="16"/>
    <n v="110"/>
    <s v="Italian Pop"/>
    <d v="2025-02-14T00:00:00"/>
    <s v="https://image-cdn-ak.spotifycdn.com/image/ab67616d00001e02bfbde8580c3d38599bee65af"/>
    <b v="0"/>
  </r>
  <r>
    <n v="1070"/>
    <s v="spotify:track:5pfn68duSmBKo4FhYknOms"/>
    <x v="387"/>
    <s v="FATHER (feat. Travis Scott)"/>
    <s v="YZY/gamma."/>
    <n v="37"/>
    <n v="3"/>
    <s v="03:18:00"/>
    <b v="1"/>
    <n v="75"/>
    <n v="72"/>
    <n v="74"/>
    <n v="8"/>
    <n v="14"/>
    <n v="0"/>
    <n v="21"/>
    <n v="50"/>
    <n v="130"/>
    <s v="Hip-Hop/Rap"/>
    <s v="3/4/2026"/>
    <s v="https://image-cdn-fa.spotifycdn.com/image/ab67616d00001e0295184f6a953569b683ca9a0d"/>
    <b v="0"/>
  </r>
  <r>
    <n v="1070"/>
    <s v="spotify:track:5pfn68duSmBKo4FhYknOms"/>
    <x v="186"/>
    <s v="FATHER (feat. Travis Scott)"/>
    <s v="YZY/gamma."/>
    <n v="37"/>
    <n v="3"/>
    <s v="03:18:00"/>
    <b v="1"/>
    <n v="75"/>
    <n v="72"/>
    <n v="74"/>
    <n v="8"/>
    <n v="14"/>
    <n v="0"/>
    <n v="21"/>
    <n v="50"/>
    <n v="130"/>
    <s v="Hip-Hop/Rap"/>
    <s v="3/4/2026"/>
    <s v="https://image-cdn-fa.spotifycdn.com/image/ab67616d00001e0295184f6a953569b683ca9a0d"/>
    <b v="0"/>
  </r>
  <r>
    <n v="1070"/>
    <s v="spotify:track:5pfn68duSmBKo4FhYknOms"/>
    <x v="388"/>
    <s v="FATHER (feat. Travis Scott)"/>
    <s v="YZY/gamma."/>
    <n v="37"/>
    <n v="3"/>
    <s v="03:18:00"/>
    <b v="1"/>
    <n v="75"/>
    <n v="72"/>
    <n v="74"/>
    <n v="8"/>
    <n v="14"/>
    <n v="0"/>
    <n v="21"/>
    <n v="50"/>
    <n v="130"/>
    <s v="Hip-Hop/Rap"/>
    <s v="3/4/2026"/>
    <s v="https://image-cdn-fa.spotifycdn.com/image/ab67616d00001e0295184f6a953569b683ca9a0d"/>
    <b v="0"/>
  </r>
  <r>
    <n v="1071"/>
    <s v="spotify:track:5pobX21I8uZdHM8YOWItU7"/>
    <x v="10"/>
    <s v="The Dead Dance"/>
    <s v="Interscope Records"/>
    <n v="29"/>
    <n v="9"/>
    <d v="1899-12-30T03:05:00"/>
    <b v="0"/>
    <n v="72"/>
    <n v="80"/>
    <n v="81"/>
    <n v="7"/>
    <n v="8"/>
    <n v="0"/>
    <n v="12"/>
    <n v="55"/>
    <n v="120"/>
    <s v="Pop"/>
    <d v="2025-03-07T00:00:00"/>
    <s v="https://image-cdn-ak.spotifycdn.com/image/ab67616d00001e028d1cf82837651f08ac1ca1ca"/>
    <b v="0"/>
  </r>
  <r>
    <n v="1072"/>
    <s v="spotify:track:5qqabIl2vWzo9ApSC317sa"/>
    <x v="697"/>
    <s v="Wonderwall - Remastered"/>
    <s v="Big Brother"/>
    <n v="4"/>
    <n v="157"/>
    <d v="1899-12-30T04:18:00"/>
    <b v="0"/>
    <n v="38"/>
    <n v="89"/>
    <n v="93"/>
    <n v="4"/>
    <n v="0"/>
    <n v="0"/>
    <n v="19"/>
    <n v="43"/>
    <n v="174"/>
    <s v="Rock"/>
    <d v="1995-10-30T00:00:00"/>
    <s v="https://image-cdn-ak.spotifycdn.com/image/ab67616d00001e0285e5dcc05cc216a10f141480"/>
    <b v="0"/>
  </r>
  <r>
    <n v="1073"/>
    <s v="spotify:track:5sBDrrtLGbV64QJnEqfjer"/>
    <x v="73"/>
    <s v="What It Sounds Like"/>
    <s v="K-Pop Demon Hunters"/>
    <n v="9"/>
    <n v="26"/>
    <s v="03:05:00"/>
    <b v="0"/>
    <n v="78"/>
    <n v="74"/>
    <n v="75"/>
    <n v="7"/>
    <n v="15"/>
    <n v="0"/>
    <n v="14"/>
    <n v="69"/>
    <n v="120"/>
    <s v="K-Pop"/>
    <s v="20/6/2025"/>
    <s v="https://image-cdn-ak.spotifycdn.com/image/ab67616d00001e024dcb6c5df15cf74596ab25a4"/>
    <b v="0"/>
  </r>
  <r>
    <n v="1073"/>
    <s v="spotify:track:5sBDrrtLGbV64QJnEqfjer"/>
    <x v="74"/>
    <s v="What It Sounds Like"/>
    <s v="K-Pop Demon Hunters"/>
    <n v="9"/>
    <n v="26"/>
    <s v="03:05:00"/>
    <b v="0"/>
    <n v="78"/>
    <n v="74"/>
    <n v="75"/>
    <n v="7"/>
    <n v="15"/>
    <n v="0"/>
    <n v="14"/>
    <n v="69"/>
    <n v="120"/>
    <s v="K-Pop"/>
    <s v="20/6/2025"/>
    <s v="https://image-cdn-ak.spotifycdn.com/image/ab67616d00001e024dcb6c5df15cf74596ab25a4"/>
    <b v="0"/>
  </r>
  <r>
    <n v="1073"/>
    <s v="spotify:track:5sBDrrtLGbV64QJnEqfjer"/>
    <x v="75"/>
    <s v="What It Sounds Like"/>
    <s v="K-Pop Demon Hunters"/>
    <n v="9"/>
    <n v="26"/>
    <s v="03:05:00"/>
    <b v="0"/>
    <n v="78"/>
    <n v="74"/>
    <n v="75"/>
    <n v="7"/>
    <n v="15"/>
    <n v="0"/>
    <n v="14"/>
    <n v="69"/>
    <n v="120"/>
    <s v="K-Pop"/>
    <s v="20/6/2025"/>
    <s v="https://image-cdn-ak.spotifycdn.com/image/ab67616d00001e024dcb6c5df15cf74596ab25a4"/>
    <b v="0"/>
  </r>
  <r>
    <n v="1073"/>
    <s v="spotify:track:5sBDrrtLGbV64QJnEqfjer"/>
    <x v="15"/>
    <s v="What It Sounds Like"/>
    <s v="K-Pop Demon Hunters"/>
    <n v="9"/>
    <n v="26"/>
    <s v="03:05:00"/>
    <b v="0"/>
    <n v="78"/>
    <n v="74"/>
    <n v="75"/>
    <n v="7"/>
    <n v="15"/>
    <n v="0"/>
    <n v="14"/>
    <n v="69"/>
    <n v="120"/>
    <s v="K-Pop"/>
    <s v="20/6/2025"/>
    <s v="https://image-cdn-ak.spotifycdn.com/image/ab67616d00001e024dcb6c5df15cf74596ab25a4"/>
    <b v="0"/>
  </r>
  <r>
    <n v="1073"/>
    <s v="spotify:track:5sBDrrtLGbV64QJnEqfjer"/>
    <x v="76"/>
    <s v="What It Sounds Like"/>
    <s v="K-Pop Demon Hunters"/>
    <n v="9"/>
    <n v="26"/>
    <s v="03:05:00"/>
    <b v="0"/>
    <n v="78"/>
    <n v="74"/>
    <n v="75"/>
    <n v="7"/>
    <n v="15"/>
    <n v="0"/>
    <n v="14"/>
    <n v="69"/>
    <n v="120"/>
    <s v="K-Pop"/>
    <s v="20/6/2025"/>
    <s v="https://image-cdn-ak.spotifycdn.com/image/ab67616d00001e024dcb6c5df15cf74596ab25a4"/>
    <b v="0"/>
  </r>
  <r>
    <n v="1074"/>
    <s v="spotify:track:5sFbAYktReH4AJbATsGAw8"/>
    <x v="698"/>
    <s v="Volevo essere un duro"/>
    <s v="Universal Music Italia srL. (Sugar)"/>
    <n v="155"/>
    <n v="1"/>
    <d v="1899-12-30T03:18:00"/>
    <b v="0"/>
    <n v="47"/>
    <n v="68"/>
    <n v="90"/>
    <n v="5"/>
    <n v="18"/>
    <n v="0"/>
    <n v="22"/>
    <n v="49"/>
    <n v="79"/>
    <s v="Italian Pop"/>
    <d v="2025-02-14T00:00:00"/>
    <s v="https://image-cdn-fa.spotifycdn.com/image/ab67616d00001e026b1f7d7354646107b39b4b8d"/>
    <b v="0"/>
  </r>
  <r>
    <n v="1077"/>
    <s v="spotify:track:5tGnphp8D9Doa2ZULhJSMx"/>
    <x v="37"/>
    <s v="Downfall"/>
    <s v="Mercury Records"/>
    <n v="74"/>
    <n v="1"/>
    <s v="03:48:00"/>
    <b v="0"/>
    <n v="55"/>
    <n v="52"/>
    <n v="71"/>
    <n v="5"/>
    <n v="45"/>
    <n v="0"/>
    <n v="13"/>
    <n v="43"/>
    <n v="128"/>
    <s v="Indie Folk"/>
    <s v="3/4/2026"/>
    <s v="https://image-cdn-ak.spotifycdn.com/image/ab67616d00001e02d879855b819250d3d00a1a38"/>
    <b v="0"/>
  </r>
  <r>
    <n v="1078"/>
    <s v="spotify:track:5tOBPD3zL9kWpeELqkzwJC"/>
    <x v="699"/>
    <s v="LA CURA PER ME"/>
    <s v="Epic"/>
    <n v="189"/>
    <n v="1"/>
    <d v="1899-12-30T03:18:00"/>
    <b v="0"/>
    <n v="60"/>
    <n v="57"/>
    <n v="93"/>
    <n v="3"/>
    <n v="50"/>
    <n v="0"/>
    <n v="10"/>
    <n v="49"/>
    <n v="143"/>
    <s v="Italian Pop"/>
    <d v="2025-02-14T00:00:00"/>
    <s v="https://image-cdn-ak.spotifycdn.com/image/ab67616d00001e023f83c329a5df6edcf9ba4b9c"/>
    <b v="0"/>
  </r>
  <r>
    <n v="1079"/>
    <s v="spotify:track:5tZaKZPJtiHh6teQfVEHB5"/>
    <x v="700"/>
    <s v="Bahagia Lagi"/>
    <s v="PT. Universal Music Indonesia"/>
    <n v="89"/>
    <n v="14"/>
    <s v="03:05:00"/>
    <b v="0"/>
    <n v="65"/>
    <n v="54"/>
    <n v="70"/>
    <n v="4"/>
    <n v="51"/>
    <n v="0"/>
    <n v="12"/>
    <n v="56"/>
    <n v="100"/>
    <s v="Indie Pop"/>
    <s v="9/1/2026"/>
    <s v="https://image-cdn-ak.spotifycdn.com/image/ab67616d00001e025bd00b369e89c5cbc74d827b"/>
    <b v="0"/>
  </r>
  <r>
    <n v="1080"/>
    <s v="spotify:track:5tg21NdePCn5m8F9BXOEeJ"/>
    <x v="69"/>
    <s v="Aliens"/>
    <s v="BIGHIT MUSIC"/>
    <n v="7"/>
    <n v="13"/>
    <s v="03:18:00"/>
    <b v="0"/>
    <n v="74"/>
    <n v="66"/>
    <n v="73"/>
    <n v="7"/>
    <n v="22"/>
    <n v="0"/>
    <n v="15"/>
    <n v="60"/>
    <n v="125"/>
    <s v="K-Pop"/>
    <s v="20/3/2026"/>
    <s v="https://image-cdn-ak.spotifycdn.com/image/ab67616d00001e02dfa17fad7f190c901603270e"/>
    <b v="0"/>
  </r>
  <r>
    <n v="1081"/>
    <s v="spotify:track:5tgSjvWO685Z0mYKefArMI"/>
    <x v="622"/>
    <s v="CRG (feat. Dave)"/>
    <s v="Columbia"/>
    <n v="158"/>
    <n v="1"/>
    <d v="1899-12-30T03:18:00"/>
    <b v="1"/>
    <n v="95"/>
    <n v="77"/>
    <n v="91"/>
    <n v="27"/>
    <n v="19"/>
    <n v="0"/>
    <n v="10"/>
    <n v="90"/>
    <n v="130"/>
    <s v="Hip-Hop/Rap"/>
    <d v="2025-01-24T00:00:00"/>
    <s v="https://image-cdn-ak.spotifycdn.com/image/ab67616d00001e0258513cbc1bba4cd4c5f472ce"/>
    <b v="0"/>
  </r>
  <r>
    <n v="1081"/>
    <s v="spotify:track:5tgSjvWO685Z0mYKefArMI"/>
    <x v="529"/>
    <s v="CRG (feat. Dave)"/>
    <s v="Columbia"/>
    <n v="158"/>
    <n v="1"/>
    <d v="1899-12-30T03:18:00"/>
    <b v="1"/>
    <n v="95"/>
    <n v="77"/>
    <n v="91"/>
    <n v="27"/>
    <n v="19"/>
    <n v="0"/>
    <n v="10"/>
    <n v="90"/>
    <n v="130"/>
    <s v="Hip-Hop/Rap"/>
    <d v="2025-01-24T00:00:00"/>
    <s v="https://image-cdn-ak.spotifycdn.com/image/ab67616d00001e0258513cbc1bba4cd4c5f472ce"/>
    <b v="0"/>
  </r>
  <r>
    <n v="1082"/>
    <s v="spotify:track:5tlb0AxuzsMWL2GtEppXGX"/>
    <x v="701"/>
    <s v="Multo"/>
    <s v="Viva Records"/>
    <n v="30"/>
    <n v="32"/>
    <d v="1899-12-30T03:48:00"/>
    <b v="0"/>
    <n v="47"/>
    <n v="56"/>
    <n v="87"/>
    <n v="4"/>
    <n v="43"/>
    <n v="0"/>
    <n v="10"/>
    <n v="44"/>
    <n v="208"/>
    <s v="Indie Pop"/>
    <d v="2024-08-16T00:00:00"/>
    <s v="https://image-cdn-ak.spotifycdn.com/image/ab67616d00001e0285a7fd707d00e5d255807add"/>
    <b v="0"/>
  </r>
  <r>
    <n v="1083"/>
    <s v="spotify:track:5uCax9HTNlzGybIStD3vDh"/>
    <x v="702"/>
    <s v="Say You Won't Let Go"/>
    <s v="Columbia"/>
    <n v="7"/>
    <n v="338"/>
    <d v="1899-12-30T03:31:00"/>
    <b v="0"/>
    <n v="36"/>
    <n v="56"/>
    <n v="88"/>
    <n v="6"/>
    <n v="70"/>
    <n v="0"/>
    <n v="9"/>
    <n v="49"/>
    <n v="85"/>
    <s v="Pop"/>
    <d v="2016-09-09T00:00:00"/>
    <s v="https://image-cdn-fa.spotifycdn.com/image/ab67616d00001e028d34e1fc21441df43571faaa"/>
    <b v="0"/>
  </r>
  <r>
    <n v="1084"/>
    <s v="spotify:track:5uPaqMMt59KGrdKIitDRqa"/>
    <x v="19"/>
    <s v="I Knew It, I Knew You - From &quot;Toy Story 5&quot;"/>
    <s v="Walt Disney Records / Pixar"/>
    <n v="5"/>
    <n v="12"/>
    <s v="03:18:00"/>
    <b v="0"/>
    <n v="68"/>
    <n v="56"/>
    <n v="74"/>
    <n v="4"/>
    <n v="44"/>
    <n v="0"/>
    <n v="12"/>
    <n v="52"/>
    <n v="93"/>
    <s v="Pop"/>
    <s v="19/6/2026"/>
    <s v="https://image-cdn-fa.spotifycdn.com/image/ab67616d00001e02a35a1d4983e2b4fd0094f910"/>
    <b v="0"/>
  </r>
  <r>
    <n v="1085"/>
    <s v="spotify:track:5vlnF0r5xACeurZwjgn0Ij"/>
    <x v="109"/>
    <s v="Bloody Paradise"/>
    <s v="BELIFT LAB"/>
    <n v="59"/>
    <n v="2"/>
    <s v="02:48:00"/>
    <b v="0"/>
    <n v="76"/>
    <n v="82"/>
    <n v="79"/>
    <n v="6"/>
    <n v="11"/>
    <n v="0"/>
    <n v="18"/>
    <n v="61"/>
    <n v="130"/>
    <s v="K-Pop"/>
    <s v="14/8/2026"/>
    <s v="https://image-cdn-ak.spotifycdn.com/image/ab67616d00001e02c5908e60eccb7af47cd2df0b"/>
    <b v="0"/>
  </r>
  <r>
    <n v="1086"/>
    <s v="spotify:track:5xDrO9DEDJGUQGfyoHvgDJ"/>
    <x v="98"/>
    <s v="Last Christmas"/>
    <s v="Universal Records"/>
    <n v="99"/>
    <n v="4"/>
    <d v="1899-12-30T03:05:00"/>
    <b v="0"/>
    <n v="62"/>
    <n v="62"/>
    <n v="77"/>
    <n v="5"/>
    <n v="30"/>
    <n v="0"/>
    <n v="14"/>
    <n v="78"/>
    <n v="120"/>
    <s v="Christmas"/>
    <d v="2013-11-19T00:00:00"/>
    <s v="https://image-cdn-ak.spotifycdn.com/image/ab67616d00001e020c053ee476f7ce576369241e"/>
    <b v="1"/>
  </r>
  <r>
    <n v="1087"/>
    <s v="spotify:track:5xHgo5JN0wfsV41HnRaos5"/>
    <x v="115"/>
    <s v="The Giver"/>
    <s v="Chappell Roan PS/ Island"/>
    <n v="19"/>
    <n v="4"/>
    <s v="03:18:00"/>
    <b v="0"/>
    <n v="74"/>
    <n v="68"/>
    <n v="73"/>
    <n v="5"/>
    <n v="22"/>
    <n v="0"/>
    <n v="13"/>
    <n v="71"/>
    <n v="122"/>
    <s v="Pop"/>
    <s v="1/8/2025"/>
    <s v="https://image-cdn-ak.spotifycdn.com/image/ab67616d00001e023f56ecc22a0a63f3e9a80f5f"/>
    <b v="0"/>
  </r>
  <r>
    <n v="1088"/>
    <s v="spotify:track:5xKr4HfdnYLMDmAJZkOuBc"/>
    <x v="703"/>
    <s v="Dhurandhar - Title Track"/>
    <s v="Saregama India Ltd"/>
    <n v="156"/>
    <n v="1"/>
    <s v="03:48:00"/>
    <b v="1"/>
    <n v="72"/>
    <n v="85"/>
    <n v="77"/>
    <n v="14"/>
    <n v="10"/>
    <n v="0"/>
    <n v="33"/>
    <n v="64"/>
    <n v="150"/>
    <s v="Bollywood"/>
    <s v="13/3/2026"/>
    <s v="https://image-cdn-ak.spotifycdn.com/image/ab67616d00001e027838ccbef3fb712228e23fc5"/>
    <b v="0"/>
  </r>
  <r>
    <n v="1088"/>
    <s v="spotify:track:5xKr4HfdnYLMDmAJZkOuBc"/>
    <x v="704"/>
    <s v="Dhurandhar - Title Track"/>
    <s v="Saregama India Ltd"/>
    <n v="156"/>
    <n v="1"/>
    <s v="03:48:00"/>
    <b v="1"/>
    <n v="72"/>
    <n v="85"/>
    <n v="77"/>
    <n v="14"/>
    <n v="10"/>
    <n v="0"/>
    <n v="33"/>
    <n v="64"/>
    <n v="150"/>
    <s v="Bollywood"/>
    <s v="13/3/2026"/>
    <s v="https://image-cdn-ak.spotifycdn.com/image/ab67616d00001e027838ccbef3fb712228e23fc5"/>
    <b v="0"/>
  </r>
  <r>
    <n v="1088"/>
    <s v="spotify:track:5xKr4HfdnYLMDmAJZkOuBc"/>
    <x v="705"/>
    <s v="Dhurandhar - Title Track"/>
    <s v="Saregama India Ltd"/>
    <n v="156"/>
    <n v="1"/>
    <s v="03:48:00"/>
    <b v="1"/>
    <n v="72"/>
    <n v="85"/>
    <n v="77"/>
    <n v="14"/>
    <n v="10"/>
    <n v="0"/>
    <n v="33"/>
    <n v="64"/>
    <n v="150"/>
    <s v="Bollywood"/>
    <s v="13/3/2026"/>
    <s v="https://image-cdn-ak.spotifycdn.com/image/ab67616d00001e027838ccbef3fb712228e23fc5"/>
    <b v="0"/>
  </r>
  <r>
    <n v="1088"/>
    <s v="spotify:track:5xKr4HfdnYLMDmAJZkOuBc"/>
    <x v="192"/>
    <s v="Dhurandhar - Title Track"/>
    <s v="Saregama India Ltd"/>
    <n v="156"/>
    <n v="1"/>
    <s v="03:48:00"/>
    <b v="1"/>
    <n v="72"/>
    <n v="85"/>
    <n v="77"/>
    <n v="14"/>
    <n v="10"/>
    <n v="0"/>
    <n v="33"/>
    <n v="64"/>
    <n v="150"/>
    <s v="Bollywood"/>
    <s v="13/3/2026"/>
    <s v="https://image-cdn-ak.spotifycdn.com/image/ab67616d00001e027838ccbef3fb712228e23fc5"/>
    <b v="0"/>
  </r>
  <r>
    <n v="1088"/>
    <s v="spotify:track:5xKr4HfdnYLMDmAJZkOuBc"/>
    <x v="706"/>
    <s v="Dhurandhar - Title Track"/>
    <s v="Saregama India Ltd"/>
    <n v="156"/>
    <n v="1"/>
    <s v="03:48:00"/>
    <b v="1"/>
    <n v="72"/>
    <n v="85"/>
    <n v="77"/>
    <n v="14"/>
    <n v="10"/>
    <n v="0"/>
    <n v="33"/>
    <n v="64"/>
    <n v="150"/>
    <s v="Bollywood"/>
    <s v="13/3/2026"/>
    <s v="https://image-cdn-ak.spotifycdn.com/image/ab67616d00001e027838ccbef3fb712228e23fc5"/>
    <b v="0"/>
  </r>
  <r>
    <n v="1088"/>
    <s v="spotify:track:5xKr4HfdnYLMDmAJZkOuBc"/>
    <x v="707"/>
    <s v="Dhurandhar - Title Track"/>
    <s v="Saregama India Ltd"/>
    <n v="156"/>
    <n v="1"/>
    <s v="03:48:00"/>
    <b v="1"/>
    <n v="72"/>
    <n v="85"/>
    <n v="77"/>
    <n v="14"/>
    <n v="10"/>
    <n v="0"/>
    <n v="33"/>
    <n v="64"/>
    <n v="150"/>
    <s v="Bollywood"/>
    <s v="13/3/2026"/>
    <s v="https://image-cdn-ak.spotifycdn.com/image/ab67616d00001e027838ccbef3fb712228e23fc5"/>
    <b v="0"/>
  </r>
  <r>
    <n v="1088"/>
    <s v="spotify:track:5xKr4HfdnYLMDmAJZkOuBc"/>
    <x v="195"/>
    <s v="Dhurandhar - Title Track"/>
    <s v="Saregama India Ltd"/>
    <n v="156"/>
    <n v="1"/>
    <s v="03:48:00"/>
    <b v="1"/>
    <n v="72"/>
    <n v="85"/>
    <n v="77"/>
    <n v="14"/>
    <n v="10"/>
    <n v="0"/>
    <n v="33"/>
    <n v="64"/>
    <n v="150"/>
    <s v="Bollywood"/>
    <s v="13/3/2026"/>
    <s v="https://image-cdn-ak.spotifycdn.com/image/ab67616d00001e027838ccbef3fb712228e23fc5"/>
    <b v="0"/>
  </r>
  <r>
    <n v="1088"/>
    <s v="spotify:track:5xKr4HfdnYLMDmAJZkOuBc"/>
    <x v="196"/>
    <s v="Dhurandhar - Title Track"/>
    <s v="Saregama India Ltd"/>
    <n v="156"/>
    <n v="1"/>
    <s v="03:48:00"/>
    <b v="1"/>
    <n v="72"/>
    <n v="85"/>
    <n v="77"/>
    <n v="14"/>
    <n v="10"/>
    <n v="0"/>
    <n v="33"/>
    <n v="64"/>
    <n v="150"/>
    <s v="Bollywood"/>
    <s v="13/3/2026"/>
    <s v="https://image-cdn-ak.spotifycdn.com/image/ab67616d00001e027838ccbef3fb712228e23fc5"/>
    <b v="0"/>
  </r>
  <r>
    <n v="1089"/>
    <s v="spotify:track:5xeSd4HgzrYpNLEf3LfYLK"/>
    <x v="369"/>
    <s v="WHATCHU KNO ABOUT ME (feat. Sexyy Red)"/>
    <s v="CMG/Interscope Records"/>
    <n v="132"/>
    <n v="3"/>
    <d v="1899-12-30T03:05:00"/>
    <b v="1"/>
    <n v="83"/>
    <n v="68"/>
    <n v="92"/>
    <n v="36"/>
    <n v="0"/>
    <n v="0"/>
    <n v="23"/>
    <n v="68"/>
    <n v="167"/>
    <s v="Hip-Hop/Rap"/>
    <d v="2025-04-11T00:00:00"/>
    <s v="https://image-cdn-ak.spotifycdn.com/image/ab67616d00001e02083fbaed50f66e8849b264cc"/>
    <b v="0"/>
  </r>
  <r>
    <n v="1089"/>
    <s v="spotify:track:5xeSd4HgzrYpNLEf3LfYLK"/>
    <x v="537"/>
    <s v="WHATCHU KNO ABOUT ME (feat. Sexyy Red)"/>
    <s v="CMG/Interscope Records"/>
    <n v="132"/>
    <n v="3"/>
    <d v="1899-12-30T03:05:00"/>
    <b v="1"/>
    <n v="83"/>
    <n v="68"/>
    <n v="92"/>
    <n v="36"/>
    <n v="0"/>
    <n v="0"/>
    <n v="23"/>
    <n v="68"/>
    <n v="167"/>
    <s v="Hip-Hop/Rap"/>
    <d v="2025-04-11T00:00:00"/>
    <s v="https://image-cdn-ak.spotifycdn.com/image/ab67616d00001e02083fbaed50f66e8849b264cc"/>
    <b v="0"/>
  </r>
  <r>
    <n v="1090"/>
    <s v="spotify:track:5xlS0QkVrSH7ssEbBgBzbM"/>
    <x v="708"/>
    <s v="Little Saint Nick - 1991 Remix"/>
    <s v="Capitol Records"/>
    <n v="48"/>
    <n v="17"/>
    <d v="1899-12-30T02:02:00"/>
    <b v="0"/>
    <n v="58"/>
    <n v="55"/>
    <n v="74"/>
    <n v="4"/>
    <n v="55"/>
    <n v="0"/>
    <n v="15"/>
    <n v="78"/>
    <n v="120"/>
    <s v="Christmas"/>
    <d v="1963-12-09T00:00:00"/>
    <s v="https://image-cdn-ak.spotifycdn.com/image/ab67616d00001e0208c270b3ef1602ff84ed2c05"/>
    <b v="1"/>
  </r>
  <r>
    <n v="1091"/>
    <s v="spotify:track:5y2ijHECwFYWqcAHKTZgzD"/>
    <x v="39"/>
    <s v="Risk It All"/>
    <s v="Atlantic Records"/>
    <n v="3"/>
    <n v="31"/>
    <s v="03:05:00"/>
    <b v="0"/>
    <n v="66"/>
    <n v="54"/>
    <n v="71"/>
    <n v="4"/>
    <n v="44"/>
    <n v="0"/>
    <n v="13"/>
    <n v="49"/>
    <n v="124"/>
    <s v="Pop"/>
    <s v="12/9/2025"/>
    <s v="https://image-cdn-ak.spotifycdn.com/image/ab67616d00001e023eb8dc748f7efb1470f74395"/>
    <b v="0"/>
  </r>
  <r>
    <n v="1093"/>
    <s v="spotify:track:5ylJtmaWPJ33cW3En7WOu0"/>
    <x v="19"/>
    <s v="Wood"/>
    <s v="Taylor Swift"/>
    <n v="5"/>
    <n v="6"/>
    <s v="03:18:00"/>
    <b v="0"/>
    <n v="55"/>
    <n v="42"/>
    <n v="70"/>
    <n v="4"/>
    <n v="66"/>
    <n v="0"/>
    <n v="11"/>
    <n v="33"/>
    <n v="94"/>
    <s v="Pop"/>
    <s v="3/10/2025"/>
    <s v="https://image-cdn-fa.spotifycdn.com/image/ab67616d00001e02d7812467811a7da6e6a44902"/>
    <b v="0"/>
  </r>
  <r>
    <n v="1094"/>
    <s v="spotify:track:5yvVYFDUpbnjcnRBgjwTzM"/>
    <x v="141"/>
    <s v="Dracula (with JENNIE)"/>
    <s v="Columbia"/>
    <n v="8"/>
    <n v="33"/>
    <s v="04:05:00"/>
    <b v="0"/>
    <n v="74"/>
    <n v="68"/>
    <n v="73"/>
    <n v="6"/>
    <n v="25"/>
    <n v="1"/>
    <n v="12"/>
    <n v="65"/>
    <n v="120"/>
    <s v="Psychedelic Pop"/>
    <s v="22/8/2025"/>
    <s v="https://image-cdn-ak.spotifycdn.com/image/ab67616d00001e02c7c031ce9d06b131f8563676"/>
    <b v="0"/>
  </r>
  <r>
    <n v="1094"/>
    <s v="spotify:track:5yvVYFDUpbnjcnRBgjwTzM"/>
    <x v="254"/>
    <s v="Dracula (with JENNIE)"/>
    <s v="Columbia"/>
    <n v="8"/>
    <n v="33"/>
    <s v="04:05:00"/>
    <b v="0"/>
    <n v="74"/>
    <n v="68"/>
    <n v="73"/>
    <n v="6"/>
    <n v="25"/>
    <n v="1"/>
    <n v="12"/>
    <n v="65"/>
    <n v="120"/>
    <s v="Psychedelic Pop"/>
    <s v="22/8/2025"/>
    <s v="https://image-cdn-ak.spotifycdn.com/image/ab67616d00001e02c7c031ce9d06b131f8563676"/>
    <b v="0"/>
  </r>
  <r>
    <n v="1097"/>
    <s v="spotify:track:60a0Rd6pjrkxjPbaKzXjfq"/>
    <x v="227"/>
    <s v="In the End"/>
    <s v="Warner Records"/>
    <n v="22"/>
    <n v="163"/>
    <d v="1899-12-30T03:36:00"/>
    <b v="0"/>
    <n v="56"/>
    <n v="86"/>
    <n v="90"/>
    <n v="6"/>
    <n v="1"/>
    <n v="0"/>
    <n v="21"/>
    <n v="40"/>
    <n v="105"/>
    <s v="Nu Metal"/>
    <d v="2001-10-09T00:00:00"/>
    <s v="https://image-cdn-ak.spotifycdn.com/image/ab67616d00001e02e2f039481babe23658fc719a"/>
    <b v="0"/>
  </r>
  <r>
    <n v="1098"/>
    <s v="spotify:track:61rwYQu9An4QWrcCUyFUyq"/>
    <x v="190"/>
    <s v="I Can't Love You Anymore"/>
    <s v="SAWGOD/Columbia"/>
    <n v="170"/>
    <n v="1"/>
    <s v="03:05:00"/>
    <b v="0"/>
    <n v="58"/>
    <n v="64"/>
    <n v="72"/>
    <n v="4"/>
    <n v="33"/>
    <n v="0"/>
    <n v="12"/>
    <n v="48"/>
    <n v="132"/>
    <s v="Country"/>
    <s v="24/4/2026"/>
    <s v="https://image-cdn-ak.spotifycdn.com/image/ab67616d00001e020c20b697b7cc3bfe3eb954bc"/>
    <b v="0"/>
  </r>
  <r>
    <n v="1098"/>
    <s v="spotify:track:61rwYQu9An4QWrcCUyFUyq"/>
    <x v="11"/>
    <s v="I Can't Love You Anymore"/>
    <s v="SAWGOD/Columbia"/>
    <n v="170"/>
    <n v="1"/>
    <s v="03:05:00"/>
    <b v="0"/>
    <n v="58"/>
    <n v="64"/>
    <n v="72"/>
    <n v="4"/>
    <n v="33"/>
    <n v="0"/>
    <n v="12"/>
    <n v="48"/>
    <n v="132"/>
    <s v="Country"/>
    <s v="24/4/2026"/>
    <s v="https://image-cdn-ak.spotifycdn.com/image/ab67616d00001e020c20b697b7cc3bfe3eb954bc"/>
    <b v="0"/>
  </r>
  <r>
    <n v="1099"/>
    <s v="spotify:track:61uyGDPJ06MkxJtHgPmuyO"/>
    <x v="2"/>
    <s v="Company"/>
    <s v="RBMG/Def Jam"/>
    <n v="118"/>
    <n v="2"/>
    <d v="1899-12-30T03:28:00"/>
    <b v="0"/>
    <n v="56"/>
    <n v="80"/>
    <n v="92"/>
    <n v="6"/>
    <n v="13"/>
    <n v="0"/>
    <n v="8"/>
    <n v="42"/>
    <n v="95"/>
    <s v="Pop"/>
    <d v="2015-11-13T00:00:00"/>
    <s v="https://image-cdn-ak.spotifycdn.com/image/ab67616d00001e02f46b9d202509a8f7384b90de"/>
    <b v="0"/>
  </r>
  <r>
    <n v="1100"/>
    <s v="spotify:track:629DixmZGHc7ILtEntuiWE"/>
    <x v="65"/>
    <s v="LUNCH"/>
    <s v="Darkroom/Interscope Records"/>
    <n v="1"/>
    <n v="27"/>
    <d v="1899-12-30T02:59:00"/>
    <b v="0"/>
    <n v="89"/>
    <n v="40"/>
    <n v="87"/>
    <n v="6"/>
    <n v="5"/>
    <n v="8"/>
    <n v="6"/>
    <n v="94"/>
    <n v="125"/>
    <s v="Pop"/>
    <d v="2024-05-17T00:00:00"/>
    <s v="https://image-cdn-ak.spotifycdn.com/image/ab67616d00001e0271d62ea7ea8a5be92d3c1f62"/>
    <b v="0"/>
  </r>
  <r>
    <n v="1101"/>
    <s v="spotify:track:62HoDY1Km6lm47haFpUn9c"/>
    <x v="19"/>
    <s v="Eldest Daughter"/>
    <s v="Taylor Swift"/>
    <n v="10"/>
    <n v="5"/>
    <s v="03:18:00"/>
    <b v="0"/>
    <n v="62"/>
    <n v="50"/>
    <n v="71"/>
    <n v="5"/>
    <n v="49"/>
    <n v="0"/>
    <n v="12"/>
    <n v="41"/>
    <n v="128"/>
    <s v="Pop"/>
    <s v="3/10/2025"/>
    <s v="https://image-cdn-ak.spotifycdn.com/image/ab67616d00001e02d7812467811a7da6e6a44902"/>
    <b v="0"/>
  </r>
  <r>
    <n v="1102"/>
    <s v="spotify:track:62V2ZHslgQV98gH4AuVXnr"/>
    <x v="19"/>
    <s v="Ruin The Friendship"/>
    <s v="Taylor Swift"/>
    <n v="11"/>
    <n v="5"/>
    <s v="03:18:00"/>
    <b v="0"/>
    <n v="69"/>
    <n v="54"/>
    <n v="72"/>
    <n v="6"/>
    <n v="34"/>
    <n v="0"/>
    <n v="10"/>
    <n v="48"/>
    <n v="105"/>
    <s v="Pop"/>
    <s v="3/10/2025"/>
    <s v="https://image-cdn-ak.spotifycdn.com/image/ab67616d00001e02d7812467811a7da6e6a44902"/>
    <b v="0"/>
  </r>
  <r>
    <n v="1103"/>
    <s v="spotify:track:62bOmKYxYg7dhrC6gH9vFn"/>
    <x v="199"/>
    <s v="Bye Bye Bye"/>
    <s v="Jive"/>
    <n v="10"/>
    <n v="20"/>
    <d v="1899-12-30T03:20:00"/>
    <b v="0"/>
    <n v="61"/>
    <n v="93"/>
    <n v="92"/>
    <n v="5"/>
    <n v="3"/>
    <n v="0"/>
    <n v="8"/>
    <n v="86"/>
    <n v="173"/>
    <s v="Pop"/>
    <d v="2000-01-11T00:00:00"/>
    <s v="https://image-cdn-ak.spotifycdn.com/image/ab67616d00001e02a6cb8fab778e1efc406a5909"/>
    <b v="0"/>
  </r>
  <r>
    <n v="1104"/>
    <s v="spotify:track:637oNhilCI9UlkWkUW4Grt"/>
    <x v="329"/>
    <s v="Enjoy The Show (feat. Future)"/>
    <s v="XO / Republic Records"/>
    <n v="81"/>
    <n v="1"/>
    <d v="1899-12-30T04:12:00"/>
    <b v="1"/>
    <n v="63"/>
    <n v="62"/>
    <n v="88"/>
    <n v="5"/>
    <n v="18"/>
    <n v="0"/>
    <n v="33"/>
    <n v="24"/>
    <n v="120"/>
    <s v="R&amp;B"/>
    <d v="2025-01-31T00:00:00"/>
    <s v="https://image-cdn-ak.spotifycdn.com/image/ab67616d00001e02de79f330bc297af3fae736da"/>
    <b v="0"/>
  </r>
  <r>
    <n v="1104"/>
    <s v="spotify:track:637oNhilCI9UlkWkUW4Grt"/>
    <x v="55"/>
    <s v="Enjoy The Show (feat. Future)"/>
    <s v="XO / Republic Records"/>
    <n v="81"/>
    <n v="1"/>
    <d v="1899-12-30T04:12:00"/>
    <b v="1"/>
    <n v="63"/>
    <n v="62"/>
    <n v="88"/>
    <n v="5"/>
    <n v="18"/>
    <n v="0"/>
    <n v="33"/>
    <n v="24"/>
    <n v="120"/>
    <s v="R&amp;B"/>
    <d v="2025-01-31T00:00:00"/>
    <s v="https://image-cdn-ak.spotifycdn.com/image/ab67616d00001e02de79f330bc297af3fae736da"/>
    <b v="0"/>
  </r>
  <r>
    <n v="1107"/>
    <s v="spotify:track:63Pi2NAx5yCgeLhCTOrEou"/>
    <x v="522"/>
    <s v="Headlock"/>
    <s v="Megaphonic"/>
    <n v="69"/>
    <n v="24"/>
    <d v="1899-12-30T03:35:00"/>
    <b v="0"/>
    <n v="81"/>
    <n v="37"/>
    <n v="82"/>
    <n v="4"/>
    <n v="79"/>
    <n v="0"/>
    <n v="12"/>
    <n v="79"/>
    <n v="120"/>
    <s v="Indie Pop"/>
    <d v="2005-10-18T00:00:00"/>
    <s v="https://image-cdn-ak.spotifycdn.com/image/ab67616d00001e0296623f4784c88259592fb8a1"/>
    <b v="0"/>
  </r>
  <r>
    <n v="1108"/>
    <s v="spotify:track:63y2aL2dT6zzw8FOSLaNrp"/>
    <x v="709"/>
    <s v="This Is Halloween"/>
    <s v="Walt Disney Records"/>
    <n v="119"/>
    <n v="4"/>
    <d v="1899-12-30T03:14:00"/>
    <b v="0"/>
    <n v="62"/>
    <n v="62"/>
    <n v="76"/>
    <n v="6"/>
    <n v="30"/>
    <n v="0"/>
    <n v="11"/>
    <n v="48"/>
    <n v="140"/>
    <s v="Novelty"/>
    <d v="1993-10-01T00:00:00"/>
    <s v="https://image-cdn-ak.spotifycdn.com/image/ab67616d00001e02c7c4b70ceab165ca1d716467"/>
    <b v="0"/>
  </r>
  <r>
    <n v="1109"/>
    <s v="spotify:track:64qfw9JZl3RYCrq4Mn0WvT"/>
    <x v="710"/>
    <s v="Sedia Aku Sebelum Hujan"/>
    <s v="idgitaf musik"/>
    <n v="24"/>
    <n v="16"/>
    <d v="1899-12-30T03:48:00"/>
    <b v="0"/>
    <n v="55"/>
    <n v="55"/>
    <n v="74"/>
    <n v="5"/>
    <n v="45"/>
    <n v="0"/>
    <n v="10"/>
    <n v="50"/>
    <n v="90"/>
    <s v="Indie Pop"/>
    <d v="2025-02-14T00:00:00"/>
    <s v="https://image-cdn-ak.spotifycdn.com/image/ab67616d00001e028dc8c573565969d55f9f3477"/>
    <b v="0"/>
  </r>
  <r>
    <n v="1110"/>
    <s v="spotify:track:64zQbQTwu4ppBEfWyhst9t"/>
    <x v="22"/>
    <s v="Papasito"/>
    <s v="Bichota/Interscope Records"/>
    <n v="102"/>
    <n v="4"/>
    <s v="03:05:00"/>
    <b v="0"/>
    <n v="80"/>
    <n v="72"/>
    <n v="74"/>
    <n v="8"/>
    <n v="19"/>
    <n v="0"/>
    <n v="13"/>
    <n v="75"/>
    <n v="115"/>
    <s v="Reggaeton"/>
    <s v="6/6/2025"/>
    <s v="https://image-cdn-ak.spotifycdn.com/image/ab67616d00001e026c0294796e2ee5cf87a47b5f"/>
    <b v="0"/>
  </r>
  <r>
    <n v="1111"/>
    <s v="spotify:track:654ZF6YNWjQS2NhwR3QnX7"/>
    <x v="315"/>
    <s v="Komang"/>
    <s v="Raim Laode"/>
    <n v="61"/>
    <n v="15"/>
    <d v="1899-12-30T03:48:00"/>
    <b v="0"/>
    <n v="70"/>
    <n v="41"/>
    <n v="86"/>
    <n v="3"/>
    <n v="40"/>
    <n v="0"/>
    <n v="10"/>
    <n v="34"/>
    <n v="134"/>
    <s v="Indie Pop"/>
    <d v="2024-06-14T00:00:00"/>
    <s v="https://image-cdn-ak.spotifycdn.com/image/ab67616d00001e02f662eb349994166696d578af"/>
    <b v="0"/>
  </r>
  <r>
    <n v="1112"/>
    <s v="spotify:track:65DbTqJKhbwqYbZ1Okr0rc"/>
    <x v="190"/>
    <s v="Choosin' Texas"/>
    <s v="SAWGOD/Columbia"/>
    <n v="32"/>
    <n v="14"/>
    <s v="03:12:00"/>
    <b v="0"/>
    <n v="56"/>
    <n v="62"/>
    <n v="72"/>
    <n v="4"/>
    <n v="35"/>
    <n v="0"/>
    <n v="12"/>
    <n v="51"/>
    <n v="112"/>
    <s v="Country"/>
    <s v="30/5/2025"/>
    <s v="https://image-cdn-ak.spotifycdn.com/image/ab67616d00001e0290958927fbba47a62c3e63f8"/>
    <b v="0"/>
  </r>
  <r>
    <n v="1114"/>
    <s v="spotify:track:65irrLqfCMRiO3p87P4C0D"/>
    <x v="629"/>
    <s v="Frosty The Snowman"/>
    <s v="Verve Reissues"/>
    <n v="128"/>
    <n v="4"/>
    <d v="1899-12-30T02:11:00"/>
    <b v="0"/>
    <n v="52"/>
    <n v="50"/>
    <n v="72"/>
    <n v="3"/>
    <n v="55"/>
    <n v="0"/>
    <n v="15"/>
    <n v="75"/>
    <n v="120"/>
    <s v="Christmas"/>
    <d v="1960-11-01T00:00:00"/>
    <s v="https://image-cdn-ak.spotifycdn.com/image/ab67616d00001e0256849c42c652a7e4025fd6eb"/>
    <b v="1"/>
  </r>
  <r>
    <n v="1115"/>
    <s v="spotify:track:66WPXyhXqMlkM1kZhyEXWK"/>
    <x v="58"/>
    <s v="Christmas (Baby Please Come Home)"/>
    <s v="Reprise"/>
    <n v="89"/>
    <n v="1"/>
    <d v="1899-12-30T03:05:00"/>
    <b v="0"/>
    <n v="55"/>
    <n v="50"/>
    <n v="73"/>
    <n v="4"/>
    <n v="55"/>
    <n v="0"/>
    <n v="15"/>
    <n v="75"/>
    <n v="120"/>
    <s v="Christmas"/>
    <d v="2011-10-24T00:00:00"/>
    <s v="https://image-cdn-ak.spotifycdn.com/image/ab67616d00001e0295517befb15ad5d63af701ab"/>
    <b v="1"/>
  </r>
  <r>
    <n v="1116"/>
    <s v="spotify:track:66hayvUbTotekKU3H4ta1f"/>
    <x v="711"/>
    <s v="Where Are Ü Now (with Justin Bieber)"/>
    <s v="OWSLA/Mad Decent"/>
    <n v="95"/>
    <n v="2"/>
    <d v="1899-12-30T04:10:00"/>
    <b v="0"/>
    <n v="43"/>
    <n v="78"/>
    <n v="93"/>
    <n v="6"/>
    <n v="4"/>
    <n v="0"/>
    <n v="8"/>
    <n v="20"/>
    <n v="139"/>
    <s v="EDM"/>
    <d v="2015-02-27T00:00:00"/>
    <s v="https://image-cdn-fa.spotifycdn.com/image/ab67616d00001e0257fc4730e06c9ab20c1e073b"/>
    <b v="0"/>
  </r>
  <r>
    <n v="1116"/>
    <s v="spotify:track:66hayvUbTotekKU3H4ta1f"/>
    <x v="712"/>
    <s v="Where Are Ü Now (with Justin Bieber)"/>
    <s v="OWSLA/Mad Decent"/>
    <n v="95"/>
    <n v="2"/>
    <d v="1899-12-30T04:10:00"/>
    <b v="0"/>
    <n v="43"/>
    <n v="78"/>
    <n v="93"/>
    <n v="6"/>
    <n v="4"/>
    <n v="0"/>
    <n v="8"/>
    <n v="20"/>
    <n v="139"/>
    <s v="EDM"/>
    <d v="2015-02-27T00:00:00"/>
    <s v="https://image-cdn-fa.spotifycdn.com/image/ab67616d00001e0257fc4730e06c9ab20c1e073b"/>
    <b v="0"/>
  </r>
  <r>
    <n v="1116"/>
    <s v="spotify:track:66hayvUbTotekKU3H4ta1f"/>
    <x v="2"/>
    <s v="Where Are Ü Now (with Justin Bieber)"/>
    <s v="OWSLA/Mad Decent"/>
    <n v="95"/>
    <n v="2"/>
    <d v="1899-12-30T04:10:00"/>
    <b v="0"/>
    <n v="43"/>
    <n v="78"/>
    <n v="93"/>
    <n v="6"/>
    <n v="4"/>
    <n v="0"/>
    <n v="8"/>
    <n v="20"/>
    <n v="139"/>
    <s v="EDM"/>
    <d v="2015-02-27T00:00:00"/>
    <s v="https://image-cdn-fa.spotifycdn.com/image/ab67616d00001e0257fc4730e06c9ab20c1e073b"/>
    <b v="0"/>
  </r>
  <r>
    <n v="1116"/>
    <s v="spotify:track:66hayvUbTotekKU3H4ta1f"/>
    <x v="713"/>
    <s v="Where Are Ü Now (with Justin Bieber)"/>
    <s v="OWSLA/Mad Decent"/>
    <n v="95"/>
    <n v="2"/>
    <d v="1899-12-30T04:10:00"/>
    <b v="0"/>
    <n v="43"/>
    <n v="78"/>
    <n v="93"/>
    <n v="6"/>
    <n v="4"/>
    <n v="0"/>
    <n v="8"/>
    <n v="20"/>
    <n v="139"/>
    <s v="EDM"/>
    <d v="2015-02-27T00:00:00"/>
    <s v="https://image-cdn-fa.spotifycdn.com/image/ab67616d00001e0257fc4730e06c9ab20c1e073b"/>
    <b v="0"/>
  </r>
  <r>
    <n v="1117"/>
    <s v="spotify:track:66tlRqExpkn4kRyuxelzs5"/>
    <x v="23"/>
    <s v="ANYTHING BUT LOVE"/>
    <s v="RCA Records Label"/>
    <n v="77"/>
    <n v="1"/>
    <d v="1899-12-30T03:05:00"/>
    <b v="0"/>
    <n v="72"/>
    <n v="72"/>
    <n v="79"/>
    <n v="8"/>
    <n v="18"/>
    <n v="0"/>
    <n v="11"/>
    <n v="58"/>
    <n v="105"/>
    <s v="Pop"/>
    <d v="2025-02-21T00:00:00"/>
    <s v="https://image-cdn-fa.spotifycdn.com/image/ab67616d00001e02c40dccc1952bb5ed96986869"/>
    <b v="0"/>
  </r>
  <r>
    <n v="1118"/>
    <s v="spotify:track:6756nr1dYiw5aNLSgIHNOI"/>
    <x v="80"/>
    <s v="OLIVIA LA FLAKA"/>
    <s v="Rancho Humilde/Sony Music Latin"/>
    <n v="39"/>
    <n v="1"/>
    <s v="03:05:00"/>
    <b v="1"/>
    <n v="76"/>
    <n v="70"/>
    <n v="73"/>
    <n v="6"/>
    <n v="21"/>
    <n v="0"/>
    <n v="13"/>
    <n v="85"/>
    <n v="138"/>
    <s v="Regional Mexicano"/>
    <s v="15/8/2025"/>
    <s v="https://image-cdn-ak.spotifycdn.com/image/ab67616d00001e02ac2975341ab46e756632bba9"/>
    <b v="0"/>
  </r>
  <r>
    <n v="1118"/>
    <s v="spotify:track:6756nr1dYiw5aNLSgIHNOI"/>
    <x v="714"/>
    <s v="OLIVIA LA FLAKA"/>
    <s v="Rancho Humilde/Sony Music Latin"/>
    <n v="39"/>
    <n v="1"/>
    <s v="03:05:00"/>
    <b v="1"/>
    <n v="76"/>
    <n v="70"/>
    <n v="73"/>
    <n v="6"/>
    <n v="21"/>
    <n v="0"/>
    <n v="13"/>
    <n v="85"/>
    <n v="138"/>
    <s v="Regional Mexicano"/>
    <s v="15/8/2025"/>
    <s v="https://image-cdn-ak.spotifycdn.com/image/ab67616d00001e02ac2975341ab46e756632bba9"/>
    <b v="0"/>
  </r>
  <r>
    <n v="1118"/>
    <s v="spotify:track:6756nr1dYiw5aNLSgIHNOI"/>
    <x v="31"/>
    <s v="OLIVIA LA FLAKA"/>
    <s v="Rancho Humilde/Sony Music Latin"/>
    <n v="39"/>
    <n v="1"/>
    <s v="03:05:00"/>
    <b v="1"/>
    <n v="76"/>
    <n v="70"/>
    <n v="73"/>
    <n v="6"/>
    <n v="21"/>
    <n v="0"/>
    <n v="13"/>
    <n v="85"/>
    <n v="138"/>
    <s v="Regional Mexicano"/>
    <s v="15/8/2025"/>
    <s v="https://image-cdn-ak.spotifycdn.com/image/ab67616d00001e02ac2975341ab46e756632bba9"/>
    <b v="0"/>
  </r>
  <r>
    <n v="1118"/>
    <s v="spotify:track:6756nr1dYiw5aNLSgIHNOI"/>
    <x v="139"/>
    <s v="OLIVIA LA FLAKA"/>
    <s v="Rancho Humilde/Sony Music Latin"/>
    <n v="39"/>
    <n v="1"/>
    <s v="03:05:00"/>
    <b v="1"/>
    <n v="76"/>
    <n v="70"/>
    <n v="73"/>
    <n v="6"/>
    <n v="21"/>
    <n v="0"/>
    <n v="13"/>
    <n v="85"/>
    <n v="138"/>
    <s v="Regional Mexicano"/>
    <s v="15/8/2025"/>
    <s v="https://image-cdn-ak.spotifycdn.com/image/ab67616d00001e02ac2975341ab46e756632bba9"/>
    <b v="0"/>
  </r>
  <r>
    <n v="1119"/>
    <s v="spotify:track:67jm6nWkkJUsiJ6zedlYng"/>
    <x v="30"/>
    <s v="Canasteo"/>
    <s v="Rico o Muerto Music"/>
    <n v="107"/>
    <n v="1"/>
    <s v="03:05:00"/>
    <b v="1"/>
    <n v="74"/>
    <n v="69"/>
    <n v="74"/>
    <n v="5"/>
    <n v="22"/>
    <n v="0"/>
    <n v="13"/>
    <n v="84"/>
    <n v="148"/>
    <s v="Regional Mexicano"/>
    <s v="23/1/2026"/>
    <s v="https://image-cdn-ak.spotifycdn.com/image/ab67616d00001e02fa1098648e3b35c7b6d2b36a"/>
    <b v="0"/>
  </r>
  <r>
    <n v="1119"/>
    <s v="spotify:track:67jm6nWkkJUsiJ6zedlYng"/>
    <x v="284"/>
    <s v="Canasteo"/>
    <s v="Rico o Muerto Music"/>
    <n v="107"/>
    <n v="1"/>
    <s v="03:05:00"/>
    <b v="1"/>
    <n v="74"/>
    <n v="69"/>
    <n v="74"/>
    <n v="5"/>
    <n v="22"/>
    <n v="0"/>
    <n v="13"/>
    <n v="84"/>
    <n v="148"/>
    <s v="Regional Mexicano"/>
    <s v="23/1/2026"/>
    <s v="https://image-cdn-ak.spotifycdn.com/image/ab67616d00001e02fa1098648e3b35c7b6d2b36a"/>
    <b v="0"/>
  </r>
  <r>
    <n v="1119"/>
    <s v="spotify:track:67jm6nWkkJUsiJ6zedlYng"/>
    <x v="715"/>
    <s v="Canasteo"/>
    <s v="Rico o Muerto Music"/>
    <n v="107"/>
    <n v="1"/>
    <s v="03:05:00"/>
    <b v="1"/>
    <n v="74"/>
    <n v="69"/>
    <n v="74"/>
    <n v="5"/>
    <n v="22"/>
    <n v="0"/>
    <n v="13"/>
    <n v="84"/>
    <n v="148"/>
    <s v="Regional Mexicano"/>
    <s v="23/1/2026"/>
    <s v="https://image-cdn-ak.spotifycdn.com/image/ab67616d00001e02fa1098648e3b35c7b6d2b36a"/>
    <b v="0"/>
  </r>
  <r>
    <n v="1120"/>
    <s v="spotify:track:67mgz7S5y7hnCE63YBjfO6"/>
    <x v="58"/>
    <s v="Holly Jolly Christmas"/>
    <s v="Reprise"/>
    <n v="12"/>
    <n v="45"/>
    <d v="1899-12-30T02:02:00"/>
    <b v="0"/>
    <n v="58"/>
    <n v="55"/>
    <n v="74"/>
    <n v="4"/>
    <n v="55"/>
    <n v="0"/>
    <n v="15"/>
    <n v="78"/>
    <n v="125"/>
    <s v="Christmas"/>
    <d v="2011-10-24T00:00:00"/>
    <s v="https://image-cdn-ak.spotifycdn.com/image/ab67616d00001e02b601df2f604eabf6f1302337"/>
    <b v="1"/>
  </r>
  <r>
    <n v="1121"/>
    <s v="spotify:track:68lbSrXDORS51pmyjZv712"/>
    <x v="69"/>
    <s v="SWIM"/>
    <s v="BIGHIT MUSIC"/>
    <n v="1"/>
    <n v="28"/>
    <s v="03:18:00"/>
    <b v="0"/>
    <n v="69"/>
    <n v="55"/>
    <n v="71"/>
    <n v="5"/>
    <n v="40"/>
    <n v="0"/>
    <n v="12"/>
    <n v="46"/>
    <n v="96"/>
    <s v="K-Pop"/>
    <s v="20/3/2026"/>
    <s v="https://image-cdn-fa.spotifycdn.com/image/ab67616d00001e02dfa17fad7f190c901603270e"/>
    <b v="0"/>
  </r>
  <r>
    <n v="1122"/>
    <s v="spotify:track:68qeaZhtMZ6abrJCYt6nQn"/>
    <x v="1"/>
    <s v="RATHER LIE (with The Weeknd)"/>
    <s v="AWGE/Interscope Records"/>
    <n v="7"/>
    <n v="6"/>
    <d v="1899-12-30T03:18:00"/>
    <b v="1"/>
    <n v="72"/>
    <n v="66"/>
    <n v="93"/>
    <n v="3"/>
    <n v="6"/>
    <n v="0"/>
    <n v="21"/>
    <n v="28"/>
    <n v="133"/>
    <s v="Hip-Hop/Rap"/>
    <d v="2025-03-14T00:00:00"/>
    <s v="https://image-cdn-fa.spotifycdn.com/image/ab67616d00001e026b219c8d8462bfe254a20469"/>
    <b v="0"/>
  </r>
  <r>
    <n v="1122"/>
    <s v="spotify:track:68qeaZhtMZ6abrJCYt6nQn"/>
    <x v="55"/>
    <s v="RATHER LIE (with The Weeknd)"/>
    <s v="AWGE/Interscope Records"/>
    <n v="7"/>
    <n v="6"/>
    <d v="1899-12-30T03:18:00"/>
    <b v="1"/>
    <n v="72"/>
    <n v="66"/>
    <n v="93"/>
    <n v="3"/>
    <n v="6"/>
    <n v="0"/>
    <n v="21"/>
    <n v="28"/>
    <n v="133"/>
    <s v="Hip-Hop/Rap"/>
    <d v="2025-03-14T00:00:00"/>
    <s v="https://image-cdn-fa.spotifycdn.com/image/ab67616d00001e026b219c8d8462bfe254a20469"/>
    <b v="0"/>
  </r>
  <r>
    <n v="1123"/>
    <s v="spotify:track:69ghzc538EQSVon2Gm3wrr"/>
    <x v="2"/>
    <s v="One Less Lonely Girl"/>
    <s v="RBMG/Def Jam"/>
    <n v="70"/>
    <n v="4"/>
    <d v="1899-12-30T03:50:00"/>
    <b v="0"/>
    <n v="56"/>
    <n v="75"/>
    <n v="93"/>
    <n v="20"/>
    <n v="16"/>
    <n v="0"/>
    <n v="27"/>
    <n v="73"/>
    <n v="87"/>
    <s v="Pop"/>
    <d v="2009-10-06T00:00:00"/>
    <s v="https://image-cdn-ak.spotifycdn.com/image/ab67616d00001e027c3bb9f74a98f60bdda6c9a7"/>
    <b v="0"/>
  </r>
  <r>
    <n v="1124"/>
    <s v="spotify:track:6AI3ezQ4o3HUoP6Dhudph3"/>
    <x v="121"/>
    <s v="Not Like Us"/>
    <s v="Kendrick Lamar, under exclusive license to Interscope Records"/>
    <n v="2"/>
    <n v="78"/>
    <d v="1899-12-30T04:34:00"/>
    <b v="1"/>
    <n v="90"/>
    <n v="47"/>
    <n v="88"/>
    <n v="8"/>
    <n v="1"/>
    <n v="0"/>
    <n v="14"/>
    <n v="21"/>
    <n v="101"/>
    <s v="Hip-Hop/Rap"/>
    <d v="2024-05-04T00:00:00"/>
    <s v="https://image-cdn-fa.spotifycdn.com/image/ab67616d00001e021ea0c62b2339cbf493a999ad"/>
    <b v="0"/>
  </r>
  <r>
    <n v="1125"/>
    <s v="spotify:track:6AX3i1TluzbvpJpKrY7NoD"/>
    <x v="2"/>
    <s v="SWEET SPOT"/>
    <s v="JRC Entertainment, LLC / ILH Production Co. LLC / Def Jam Recordings"/>
    <n v="129"/>
    <n v="1"/>
    <s v="03:18:00"/>
    <b v="1"/>
    <n v="82"/>
    <n v="64"/>
    <n v="73"/>
    <n v="15"/>
    <n v="15"/>
    <n v="0"/>
    <n v="12"/>
    <n v="70"/>
    <n v="130"/>
    <s v="Hip-Hop/Rap"/>
    <s v="12/9/2025"/>
    <s v="https://image-cdn-fa.spotifycdn.com/image/ab67616d00001e02d65c4773bc5061fd27facc5b"/>
    <b v="0"/>
  </r>
  <r>
    <n v="1125"/>
    <s v="spotify:track:6AX3i1TluzbvpJpKrY7NoD"/>
    <x v="537"/>
    <s v="SWEET SPOT"/>
    <s v="JRC Entertainment, LLC / ILH Production Co. LLC / Def Jam Recordings"/>
    <n v="129"/>
    <n v="1"/>
    <s v="03:18:00"/>
    <b v="1"/>
    <n v="82"/>
    <n v="64"/>
    <n v="73"/>
    <n v="15"/>
    <n v="15"/>
    <n v="0"/>
    <n v="12"/>
    <n v="70"/>
    <n v="130"/>
    <s v="Hip-Hop/Rap"/>
    <s v="12/9/2025"/>
    <s v="https://image-cdn-fa.spotifycdn.com/image/ab67616d00001e02d65c4773bc5061fd27facc5b"/>
    <b v="0"/>
  </r>
  <r>
    <n v="1126"/>
    <s v="spotify:track:6Ab2trdJulkRRhaJ9zVGQa"/>
    <x v="716"/>
    <s v="Dichavate"/>
    <s v="JipMusic Global / Planet Records [Powered by Planet Distribution]"/>
    <n v="81"/>
    <n v="13"/>
    <s v="03:05:00"/>
    <b v="1"/>
    <n v="84"/>
    <n v="76"/>
    <n v="75"/>
    <n v="12"/>
    <n v="15"/>
    <n v="0"/>
    <n v="18"/>
    <n v="80"/>
    <n v="130"/>
    <s v="Reggaeton"/>
    <s v="30/5/2025"/>
    <s v="https://image-cdn-fa.spotifycdn.com/image/ab67616d00001e02b27ddff7799d494c71b6b308"/>
    <b v="0"/>
  </r>
  <r>
    <n v="1126"/>
    <s v="spotify:track:6Ab2trdJulkRRhaJ9zVGQa"/>
    <x v="717"/>
    <s v="Dichavate"/>
    <s v="JipMusic Global / Planet Records [Powered by Planet Distribution]"/>
    <n v="81"/>
    <n v="13"/>
    <s v="03:05:00"/>
    <b v="1"/>
    <n v="84"/>
    <n v="76"/>
    <n v="75"/>
    <n v="12"/>
    <n v="15"/>
    <n v="0"/>
    <n v="18"/>
    <n v="80"/>
    <n v="130"/>
    <s v="Reggaeton"/>
    <s v="30/5/2025"/>
    <s v="https://image-cdn-fa.spotifycdn.com/image/ab67616d00001e02b27ddff7799d494c71b6b308"/>
    <b v="0"/>
  </r>
  <r>
    <n v="1126"/>
    <s v="spotify:track:6Ab2trdJulkRRhaJ9zVGQa"/>
    <x v="718"/>
    <s v="Dichavate"/>
    <s v="JipMusic Global / Planet Records [Powered by Planet Distribution]"/>
    <n v="81"/>
    <n v="13"/>
    <s v="03:05:00"/>
    <b v="1"/>
    <n v="84"/>
    <n v="76"/>
    <n v="75"/>
    <n v="12"/>
    <n v="15"/>
    <n v="0"/>
    <n v="18"/>
    <n v="80"/>
    <n v="130"/>
    <s v="Reggaeton"/>
    <s v="30/5/2025"/>
    <s v="https://image-cdn-fa.spotifycdn.com/image/ab67616d00001e02b27ddff7799d494c71b6b308"/>
    <b v="0"/>
  </r>
  <r>
    <n v="1126"/>
    <s v="spotify:track:6Ab2trdJulkRRhaJ9zVGQa"/>
    <x v="719"/>
    <s v="Dichavate"/>
    <s v="JipMusic Global / Planet Records [Powered by Planet Distribution]"/>
    <n v="81"/>
    <n v="13"/>
    <s v="03:05:00"/>
    <b v="1"/>
    <n v="84"/>
    <n v="76"/>
    <n v="75"/>
    <n v="12"/>
    <n v="15"/>
    <n v="0"/>
    <n v="18"/>
    <n v="80"/>
    <n v="130"/>
    <s v="Reggaeton"/>
    <s v="30/5/2025"/>
    <s v="https://image-cdn-fa.spotifycdn.com/image/ab67616d00001e02b27ddff7799d494c71b6b308"/>
    <b v="0"/>
  </r>
  <r>
    <n v="1126"/>
    <s v="spotify:track:6Ab2trdJulkRRhaJ9zVGQa"/>
    <x v="720"/>
    <s v="Dichavate"/>
    <s v="JipMusic Global / Planet Records [Powered by Planet Distribution]"/>
    <n v="81"/>
    <n v="13"/>
    <s v="03:05:00"/>
    <b v="1"/>
    <n v="84"/>
    <n v="76"/>
    <n v="75"/>
    <n v="12"/>
    <n v="15"/>
    <n v="0"/>
    <n v="18"/>
    <n v="80"/>
    <n v="130"/>
    <s v="Reggaeton"/>
    <s v="30/5/2025"/>
    <s v="https://image-cdn-fa.spotifycdn.com/image/ab67616d00001e02b27ddff7799d494c71b6b308"/>
    <b v="0"/>
  </r>
  <r>
    <n v="1127"/>
    <s v="spotify:track:6Axf4FwBQvgcKzRwfm458N"/>
    <x v="98"/>
    <s v="For Good"/>
    <s v="Wicked Soundtrack"/>
    <n v="130"/>
    <n v="1"/>
    <d v="1899-12-30T04:12:00"/>
    <b v="0"/>
    <n v="55"/>
    <n v="55"/>
    <n v="74"/>
    <n v="4"/>
    <n v="50"/>
    <n v="0"/>
    <n v="11"/>
    <n v="48"/>
    <n v="100"/>
    <s v="Soundtrack"/>
    <d v="2024-11-22T00:00:00"/>
    <s v="https://image-cdn-fa.spotifycdn.com/image/ab67616d00001e02fca733bb1088d59588f69e21"/>
    <b v="0"/>
  </r>
  <r>
    <n v="1127"/>
    <s v="spotify:track:6Axf4FwBQvgcKzRwfm458N"/>
    <x v="694"/>
    <s v="For Good"/>
    <s v="Wicked Soundtrack"/>
    <n v="130"/>
    <n v="1"/>
    <d v="1899-12-30T04:12:00"/>
    <b v="0"/>
    <n v="55"/>
    <n v="55"/>
    <n v="74"/>
    <n v="4"/>
    <n v="50"/>
    <n v="0"/>
    <n v="11"/>
    <n v="48"/>
    <n v="100"/>
    <s v="Soundtrack"/>
    <d v="2024-11-22T00:00:00"/>
    <s v="https://image-cdn-fa.spotifycdn.com/image/ab67616d00001e02fca733bb1088d59588f69e21"/>
    <b v="0"/>
  </r>
  <r>
    <n v="1128"/>
    <s v="spotify:track:6B7ot6Wlqf7zt3FCkYl2FJ"/>
    <x v="464"/>
    <s v="Pela Última Vez - Ao Vivo"/>
    <s v="Som Livre"/>
    <n v="147"/>
    <n v="1"/>
    <s v="03:05:00"/>
    <b v="1"/>
    <n v="68"/>
    <n v="74"/>
    <n v="74"/>
    <n v="7"/>
    <n v="34"/>
    <n v="0"/>
    <n v="78"/>
    <n v="71"/>
    <n v="145"/>
    <s v="Sertanejo"/>
    <s v="27/2/2026"/>
    <s v="https://image-cdn-ak.spotifycdn.com/image/ab67616d00001e02c89ff3434d85f33354c929b8"/>
    <b v="0"/>
  </r>
  <r>
    <n v="1128"/>
    <s v="spotify:track:6B7ot6Wlqf7zt3FCkYl2FJ"/>
    <x v="721"/>
    <s v="Pela Última Vez - Ao Vivo"/>
    <s v="Som Livre"/>
    <n v="147"/>
    <n v="1"/>
    <s v="03:05:00"/>
    <b v="1"/>
    <n v="68"/>
    <n v="74"/>
    <n v="74"/>
    <n v="7"/>
    <n v="34"/>
    <n v="0"/>
    <n v="78"/>
    <n v="71"/>
    <n v="145"/>
    <s v="Sertanejo"/>
    <s v="27/2/2026"/>
    <s v="https://image-cdn-ak.spotifycdn.com/image/ab67616d00001e02c89ff3434d85f33354c929b8"/>
    <b v="0"/>
  </r>
  <r>
    <n v="1129"/>
    <s v="spotify:track:6BPcUXYERAahpunmb0AovH"/>
    <x v="722"/>
    <s v="Ma Meilleure Ennemie - from the series Arcane League of Legends"/>
    <s v="Riot Games"/>
    <n v="6"/>
    <n v="14"/>
    <d v="1899-12-30T03:18:00"/>
    <b v="0"/>
    <n v="68"/>
    <n v="60"/>
    <n v="87"/>
    <n v="10"/>
    <n v="0"/>
    <n v="0"/>
    <n v="28"/>
    <n v="37"/>
    <n v="88"/>
    <s v="Pop"/>
    <d v="2024-11-09T00:00:00"/>
    <s v="https://image-cdn-ak.spotifycdn.com/image/ab67616d00001e02952d1767885a9f1ae6dcf0b0"/>
    <b v="0"/>
  </r>
  <r>
    <n v="1129"/>
    <s v="spotify:track:6BPcUXYERAahpunmb0AovH"/>
    <x v="723"/>
    <s v="Ma Meilleure Ennemie - from the series Arcane League of Legends"/>
    <s v="Riot Games"/>
    <n v="6"/>
    <n v="14"/>
    <d v="1899-12-30T03:18:00"/>
    <b v="0"/>
    <n v="68"/>
    <n v="60"/>
    <n v="87"/>
    <n v="10"/>
    <n v="0"/>
    <n v="0"/>
    <n v="28"/>
    <n v="37"/>
    <n v="88"/>
    <s v="Pop"/>
    <d v="2024-11-09T00:00:00"/>
    <s v="https://image-cdn-ak.spotifycdn.com/image/ab67616d00001e02952d1767885a9f1ae6dcf0b0"/>
    <b v="0"/>
  </r>
  <r>
    <n v="1129"/>
    <s v="spotify:track:6BPcUXYERAahpunmb0AovH"/>
    <x v="724"/>
    <s v="Ma Meilleure Ennemie - from the series Arcane League of Legends"/>
    <s v="Riot Games"/>
    <n v="6"/>
    <n v="14"/>
    <d v="1899-12-30T03:18:00"/>
    <b v="0"/>
    <n v="68"/>
    <n v="60"/>
    <n v="87"/>
    <n v="10"/>
    <n v="0"/>
    <n v="0"/>
    <n v="28"/>
    <n v="37"/>
    <n v="88"/>
    <s v="Pop"/>
    <d v="2024-11-09T00:00:00"/>
    <s v="https://image-cdn-ak.spotifycdn.com/image/ab67616d00001e02952d1767885a9f1ae6dcf0b0"/>
    <b v="0"/>
  </r>
  <r>
    <n v="1130"/>
    <s v="spotify:track:6C1RD7YQVvt3YQj0CmuTeu"/>
    <x v="725"/>
    <s v="Diles"/>
    <s v="Rimas Entertainment LLC."/>
    <n v="57"/>
    <n v="5"/>
    <d v="1899-12-30T04:36:00"/>
    <b v="1"/>
    <n v="81"/>
    <n v="56"/>
    <n v="90"/>
    <n v="6"/>
    <n v="11"/>
    <n v="0"/>
    <n v="27"/>
    <n v="29"/>
    <n v="118"/>
    <s v="Reggaeton"/>
    <d v="2016-08-26T00:00:00"/>
    <s v="https://image-cdn-ak.spotifycdn.com/image/ab67616d00001e02f62aa1dd0b43f583418cd018"/>
    <b v="0"/>
  </r>
  <r>
    <n v="1130"/>
    <s v="spotify:track:6C1RD7YQVvt3YQj0CmuTeu"/>
    <x v="103"/>
    <s v="Diles"/>
    <s v="Rimas Entertainment LLC."/>
    <n v="57"/>
    <n v="5"/>
    <d v="1899-12-30T04:36:00"/>
    <b v="1"/>
    <n v="81"/>
    <n v="56"/>
    <n v="90"/>
    <n v="6"/>
    <n v="11"/>
    <n v="0"/>
    <n v="27"/>
    <n v="29"/>
    <n v="118"/>
    <s v="Reggaeton"/>
    <d v="2016-08-26T00:00:00"/>
    <s v="https://image-cdn-ak.spotifycdn.com/image/ab67616d00001e02f62aa1dd0b43f583418cd018"/>
    <b v="0"/>
  </r>
  <r>
    <n v="1130"/>
    <s v="spotify:track:6C1RD7YQVvt3YQj0CmuTeu"/>
    <x v="726"/>
    <s v="Diles"/>
    <s v="Rimas Entertainment LLC."/>
    <n v="57"/>
    <n v="5"/>
    <d v="1899-12-30T04:36:00"/>
    <b v="1"/>
    <n v="81"/>
    <n v="56"/>
    <n v="90"/>
    <n v="6"/>
    <n v="11"/>
    <n v="0"/>
    <n v="27"/>
    <n v="29"/>
    <n v="118"/>
    <s v="Reggaeton"/>
    <d v="2016-08-26T00:00:00"/>
    <s v="https://image-cdn-ak.spotifycdn.com/image/ab67616d00001e02f62aa1dd0b43f583418cd018"/>
    <b v="0"/>
  </r>
  <r>
    <n v="1130"/>
    <s v="spotify:track:6C1RD7YQVvt3YQj0CmuTeu"/>
    <x v="727"/>
    <s v="Diles"/>
    <s v="Rimas Entertainment LLC."/>
    <n v="57"/>
    <n v="5"/>
    <d v="1899-12-30T04:36:00"/>
    <b v="1"/>
    <n v="81"/>
    <n v="56"/>
    <n v="90"/>
    <n v="6"/>
    <n v="11"/>
    <n v="0"/>
    <n v="27"/>
    <n v="29"/>
    <n v="118"/>
    <s v="Reggaeton"/>
    <d v="2016-08-26T00:00:00"/>
    <s v="https://image-cdn-ak.spotifycdn.com/image/ab67616d00001e02f62aa1dd0b43f583418cd018"/>
    <b v="0"/>
  </r>
  <r>
    <n v="1130"/>
    <s v="spotify:track:6C1RD7YQVvt3YQj0CmuTeu"/>
    <x v="728"/>
    <s v="Diles"/>
    <s v="Rimas Entertainment LLC."/>
    <n v="57"/>
    <n v="5"/>
    <d v="1899-12-30T04:36:00"/>
    <b v="1"/>
    <n v="81"/>
    <n v="56"/>
    <n v="90"/>
    <n v="6"/>
    <n v="11"/>
    <n v="0"/>
    <n v="27"/>
    <n v="29"/>
    <n v="118"/>
    <s v="Reggaeton"/>
    <d v="2016-08-26T00:00:00"/>
    <s v="https://image-cdn-ak.spotifycdn.com/image/ab67616d00001e02f62aa1dd0b43f583418cd018"/>
    <b v="0"/>
  </r>
  <r>
    <n v="1130"/>
    <s v="spotify:track:6C1RD7YQVvt3YQj0CmuTeu"/>
    <x v="281"/>
    <s v="Diles"/>
    <s v="Rimas Entertainment LLC."/>
    <n v="57"/>
    <n v="5"/>
    <d v="1899-12-30T04:36:00"/>
    <b v="1"/>
    <n v="81"/>
    <n v="56"/>
    <n v="90"/>
    <n v="6"/>
    <n v="11"/>
    <n v="0"/>
    <n v="27"/>
    <n v="29"/>
    <n v="118"/>
    <s v="Reggaeton"/>
    <d v="2016-08-26T00:00:00"/>
    <s v="https://image-cdn-ak.spotifycdn.com/image/ab67616d00001e02f62aa1dd0b43f583418cd018"/>
    <b v="0"/>
  </r>
  <r>
    <n v="1130"/>
    <s v="spotify:track:6C1RD7YQVvt3YQj0CmuTeu"/>
    <x v="662"/>
    <s v="Diles"/>
    <s v="Rimas Entertainment LLC."/>
    <n v="57"/>
    <n v="5"/>
    <d v="1899-12-30T04:36:00"/>
    <b v="1"/>
    <n v="81"/>
    <n v="56"/>
    <n v="90"/>
    <n v="6"/>
    <n v="11"/>
    <n v="0"/>
    <n v="27"/>
    <n v="29"/>
    <n v="118"/>
    <s v="Reggaeton"/>
    <d v="2016-08-26T00:00:00"/>
    <s v="https://image-cdn-ak.spotifycdn.com/image/ab67616d00001e02f62aa1dd0b43f583418cd018"/>
    <b v="0"/>
  </r>
  <r>
    <n v="1131"/>
    <s v="spotify:track:6CYldrsUPBsiPtfLW4xZCl"/>
    <x v="228"/>
    <s v="Henry, come on"/>
    <s v="Polydor Records"/>
    <n v="85"/>
    <n v="1"/>
    <s v="03:18:00"/>
    <b v="0"/>
    <n v="48"/>
    <n v="32"/>
    <n v="67"/>
    <n v="4"/>
    <n v="85"/>
    <n v="1"/>
    <n v="14"/>
    <n v="22"/>
    <n v="82"/>
    <s v="Dream Pop"/>
    <s v="24/4/2026"/>
    <s v="https://image-cdn-ak.spotifycdn.com/image/ab67616d00001e024fb0b47e965f62951205cc5a"/>
    <b v="0"/>
  </r>
  <r>
    <n v="1132"/>
    <s v="spotify:track:6DDEfqOoLlasIbPdzboOu4"/>
    <x v="23"/>
    <s v="Signs"/>
    <s v="RCA Records Label"/>
    <n v="142"/>
    <n v="1"/>
    <d v="1899-12-30T03:05:00"/>
    <b v="1"/>
    <n v="66"/>
    <n v="58"/>
    <n v="91"/>
    <n v="4"/>
    <n v="39"/>
    <n v="0"/>
    <n v="9"/>
    <n v="66"/>
    <n v="112"/>
    <s v="Pop"/>
    <d v="2025-02-21T00:00:00"/>
    <s v="https://image-cdn-ak.spotifycdn.com/image/ab67616d00001e0230420759f1a2cd4923c5c65b"/>
    <b v="0"/>
  </r>
  <r>
    <n v="1133"/>
    <s v="spotify:track:6DH13QYXK7lKkYHSU88N48"/>
    <x v="258"/>
    <s v="Who Knows"/>
    <s v="Republic Records"/>
    <n v="58"/>
    <n v="34"/>
    <d v="1899-12-30T03:18:00"/>
    <b v="0"/>
    <n v="58"/>
    <n v="58"/>
    <n v="75"/>
    <n v="6"/>
    <n v="35"/>
    <n v="0"/>
    <n v="10"/>
    <n v="52"/>
    <n v="95"/>
    <s v="R&amp;B"/>
    <d v="2025-04-25T00:00:00"/>
    <s v="https://image-cdn-ak.spotifycdn.com/image/ab67616d00001e022bad6e56e77d5bef0aa3f2dc"/>
    <b v="0"/>
  </r>
  <r>
    <n v="1134"/>
    <s v="spotify:track:6De8sirPzVyAoBDlQpcutY"/>
    <x v="729"/>
    <s v="misery."/>
    <s v="Norgates"/>
    <n v="55"/>
    <n v="10"/>
    <s v="02:48:00"/>
    <b v="1"/>
    <n v="56"/>
    <n v="48"/>
    <n v="69"/>
    <n v="5"/>
    <n v="58"/>
    <n v="0"/>
    <n v="11"/>
    <n v="39"/>
    <n v="135"/>
    <s v="Emo Rap"/>
    <s v="9/1/2026"/>
    <s v="https://image-cdn-ak.spotifycdn.com/image/ab67616d00001e02316b7fde50dfbf4be72735c2"/>
    <b v="0"/>
  </r>
  <r>
    <n v="1135"/>
    <s v="spotify:track:6DzXaIgVIH7oLA1pkUtFaG"/>
    <x v="68"/>
    <s v="The Contract"/>
    <s v="Fueled By Ramen"/>
    <n v="194"/>
    <n v="1"/>
    <s v="03:18:00"/>
    <b v="0"/>
    <n v="64"/>
    <n v="70"/>
    <n v="74"/>
    <n v="5"/>
    <n v="16"/>
    <n v="0"/>
    <n v="15"/>
    <n v="50"/>
    <n v="138"/>
    <s v="Alternative"/>
    <s v="27/3/2026"/>
    <s v="https://image-cdn-ak.spotifycdn.com/image/ab67616d00001e02b31e1391eee9f695a6ba929d"/>
    <b v="0"/>
  </r>
  <r>
    <n v="1136"/>
    <s v="spotify:track:6EUcP55GlbmsmCzfL2vxtZ"/>
    <x v="314"/>
    <s v="on one tonight"/>
    <s v="300 Entertainment"/>
    <n v="139"/>
    <n v="8"/>
    <s v="03:18:00"/>
    <b v="1"/>
    <n v="84"/>
    <n v="58"/>
    <n v="71"/>
    <n v="21"/>
    <n v="16"/>
    <n v="0"/>
    <n v="10"/>
    <n v="54"/>
    <n v="122"/>
    <s v="Hip-Hop/Rap"/>
    <s v="13/6/2025"/>
    <s v="https://image-cdn-ak.spotifycdn.com/image/ab67616d00001e029a0cbe7c93bc691f48f356ed"/>
    <b v="0"/>
  </r>
  <r>
    <n v="1137"/>
    <s v="spotify:track:6Emsu0BaMpG0ilZCRT8KHZ"/>
    <x v="730"/>
    <s v="Tubarões - Ao Vivo"/>
    <s v="Sony Music Entertainment"/>
    <n v="179"/>
    <n v="2"/>
    <s v="03:05:00"/>
    <b v="0"/>
    <n v="64"/>
    <n v="76"/>
    <n v="75"/>
    <n v="8"/>
    <n v="28"/>
    <n v="0"/>
    <n v="85"/>
    <n v="67"/>
    <n v="136"/>
    <s v="Sertanejo"/>
    <s v="19/6/2026"/>
    <s v="https://image-cdn-ak.spotifycdn.com/image/ab67616d00001e0219253d686d90dda9f8da689f"/>
    <b v="0"/>
  </r>
  <r>
    <n v="1138"/>
    <s v="spotify:track:6FdOGTRYvLCJ79d55YtGgZ"/>
    <x v="147"/>
    <s v="Dios Es Un Stalker"/>
    <s v="Columbia"/>
    <n v="79"/>
    <n v="1"/>
    <s v="03:18:00"/>
    <b v="0"/>
    <n v="79"/>
    <n v="63"/>
    <n v="73"/>
    <n v="15"/>
    <n v="18"/>
    <n v="0"/>
    <n v="12"/>
    <n v="67"/>
    <n v="120"/>
    <s v="Flamenco"/>
    <s v="7/11/2025"/>
    <s v="https://image-cdn-ak.spotifycdn.com/image/ab67616d00001e0293ee2e2f2dfb7de9befcc164"/>
    <b v="0"/>
  </r>
  <r>
    <n v="1139"/>
    <s v="spotify:track:6G8vN5EUtcDxOXOXadF6kp"/>
    <x v="731"/>
    <s v="Tum Ho Toh (From &quot;Saiyaara&quot;)"/>
    <s v="YRF Music"/>
    <n v="137"/>
    <n v="2"/>
    <s v="03:48:00"/>
    <b v="0"/>
    <n v="56"/>
    <n v="45"/>
    <n v="69"/>
    <n v="4"/>
    <n v="66"/>
    <n v="0"/>
    <n v="13"/>
    <n v="37"/>
    <n v="118"/>
    <s v="Bollywood"/>
    <s v="18/7/2025"/>
    <s v="https://image-cdn-ak.spotifycdn.com/image/ab67616d00001e02d998c880f085f08c7ddeeafc"/>
    <b v="0"/>
  </r>
  <r>
    <n v="1139"/>
    <s v="spotify:track:6G8vN5EUtcDxOXOXadF6kp"/>
    <x v="542"/>
    <s v="Tum Ho Toh (From &quot;Saiyaara&quot;)"/>
    <s v="YRF Music"/>
    <n v="137"/>
    <n v="2"/>
    <s v="03:48:00"/>
    <b v="0"/>
    <n v="56"/>
    <n v="45"/>
    <n v="69"/>
    <n v="4"/>
    <n v="66"/>
    <n v="0"/>
    <n v="13"/>
    <n v="37"/>
    <n v="118"/>
    <s v="Bollywood"/>
    <s v="18/7/2025"/>
    <s v="https://image-cdn-ak.spotifycdn.com/image/ab67616d00001e02d998c880f085f08c7ddeeafc"/>
    <b v="0"/>
  </r>
  <r>
    <n v="1139"/>
    <s v="spotify:track:6G8vN5EUtcDxOXOXadF6kp"/>
    <x v="732"/>
    <s v="Tum Ho Toh (From &quot;Saiyaara&quot;)"/>
    <s v="YRF Music"/>
    <n v="137"/>
    <n v="2"/>
    <s v="03:48:00"/>
    <b v="0"/>
    <n v="56"/>
    <n v="45"/>
    <n v="69"/>
    <n v="4"/>
    <n v="66"/>
    <n v="0"/>
    <n v="13"/>
    <n v="37"/>
    <n v="118"/>
    <s v="Bollywood"/>
    <s v="18/7/2025"/>
    <s v="https://image-cdn-ak.spotifycdn.com/image/ab67616d00001e02d998c880f085f08c7ddeeafc"/>
    <b v="0"/>
  </r>
  <r>
    <n v="1140"/>
    <s v="spotify:track:6Gp3pYkydEOkl8EHHJxa9s"/>
    <x v="7"/>
    <s v="2000 EXCURSION"/>
    <s v="Cactus Jack / Epic"/>
    <n v="145"/>
    <n v="1"/>
    <s v="03:18:00"/>
    <b v="1"/>
    <n v="76"/>
    <n v="74"/>
    <n v="74"/>
    <n v="11"/>
    <n v="13"/>
    <n v="0"/>
    <n v="18"/>
    <n v="55"/>
    <n v="130"/>
    <s v="Hip-Hop/Rap"/>
    <s v="27/6/2025"/>
    <s v="https://image-cdn-ak.spotifycdn.com/image/ab67616d00001e025d0f8a4c3623e02a79928288"/>
    <b v="0"/>
  </r>
  <r>
    <n v="1140"/>
    <s v="spotify:track:6Gp3pYkydEOkl8EHHJxa9s"/>
    <x v="733"/>
    <s v="2000 EXCURSION"/>
    <s v="Cactus Jack / Epic"/>
    <n v="145"/>
    <n v="1"/>
    <s v="03:18:00"/>
    <b v="1"/>
    <n v="76"/>
    <n v="74"/>
    <n v="74"/>
    <n v="11"/>
    <n v="13"/>
    <n v="0"/>
    <n v="18"/>
    <n v="55"/>
    <n v="130"/>
    <s v="Hip-Hop/Rap"/>
    <s v="27/6/2025"/>
    <s v="https://image-cdn-ak.spotifycdn.com/image/ab67616d00001e025d0f8a4c3623e02a79928288"/>
    <b v="0"/>
  </r>
  <r>
    <n v="1140"/>
    <s v="spotify:track:6Gp3pYkydEOkl8EHHJxa9s"/>
    <x v="186"/>
    <s v="2000 EXCURSION"/>
    <s v="Cactus Jack / Epic"/>
    <n v="145"/>
    <n v="1"/>
    <s v="03:18:00"/>
    <b v="1"/>
    <n v="76"/>
    <n v="74"/>
    <n v="74"/>
    <n v="11"/>
    <n v="13"/>
    <n v="0"/>
    <n v="18"/>
    <n v="55"/>
    <n v="130"/>
    <s v="Hip-Hop/Rap"/>
    <s v="27/6/2025"/>
    <s v="https://image-cdn-ak.spotifycdn.com/image/ab67616d00001e025d0f8a4c3623e02a79928288"/>
    <b v="0"/>
  </r>
  <r>
    <n v="1141"/>
    <s v="spotify:track:6GteP2UCnpHRWSZTL63QHe"/>
    <x v="5"/>
    <s v="Season 2 Weight Loss"/>
    <s v="Columbia"/>
    <n v="32"/>
    <n v="2"/>
    <s v="03:18:00"/>
    <b v="0"/>
    <n v="54"/>
    <n v="40"/>
    <n v="68"/>
    <n v="4"/>
    <n v="72"/>
    <n v="0"/>
    <n v="11"/>
    <n v="33"/>
    <n v="92"/>
    <s v="Pop"/>
    <s v="6/3/2026"/>
    <s v="https://image-cdn-ak.spotifycdn.com/image/ab67616d00001e0274959140f550b11049c18a38"/>
    <b v="0"/>
  </r>
  <r>
    <n v="1142"/>
    <s v="spotify:track:6HU7h9RYOaPRFeh0R3UeAr"/>
    <x v="133"/>
    <s v="deja vu"/>
    <s v="Olivia Rodrigo PS"/>
    <n v="3"/>
    <n v="90"/>
    <d v="1899-12-30T03:35:00"/>
    <b v="1"/>
    <n v="44"/>
    <n v="61"/>
    <n v="88"/>
    <n v="11"/>
    <n v="58"/>
    <n v="0"/>
    <n v="37"/>
    <n v="18"/>
    <n v="181"/>
    <s v="Indie Pop"/>
    <d v="2021-05-21T00:00:00"/>
    <s v="https://image-cdn-ak.spotifycdn.com/image/ab67616d00001e02a91c10fe9472d9bd89802e5a"/>
    <b v="0"/>
  </r>
  <r>
    <n v="1143"/>
    <s v="spotify:track:6Hdc3IQeyCxG5d14uAcwQW"/>
    <x v="133"/>
    <s v="u + me = &lt;3"/>
    <s v="Olivia Rodrigo PS"/>
    <n v="13"/>
    <n v="5"/>
    <s v="02:48:00"/>
    <b v="0"/>
    <n v="73"/>
    <n v="64"/>
    <n v="74"/>
    <n v="6"/>
    <n v="29"/>
    <n v="0"/>
    <n v="13"/>
    <n v="63"/>
    <n v="143"/>
    <s v="Indie Pop"/>
    <s v="12/6/2026"/>
    <s v="https://image-cdn-ak.spotifycdn.com/image/ab67616d00001e025cf234eeb7a2edf44bf64a46"/>
    <b v="0"/>
  </r>
  <r>
    <n v="1144"/>
    <s v="spotify:track:6HjYE79OOCGEhkIRfXLqrz"/>
    <x v="734"/>
    <s v="Damn Right (feat. Childish Gambino &amp; Kali Uchis)"/>
    <s v="OA Entertainment/Columbia"/>
    <n v="177"/>
    <n v="1"/>
    <d v="1899-12-30T02:48:00"/>
    <b v="1"/>
    <n v="85"/>
    <n v="42"/>
    <n v="86"/>
    <n v="3"/>
    <n v="21"/>
    <n v="0"/>
    <n v="10"/>
    <n v="38"/>
    <n v="117"/>
    <s v="K-Pop"/>
    <d v="2025-03-07T00:00:00"/>
    <s v="https://image-cdn-ak.spotifycdn.com/image/ab67616d00001e02dcf27dec5e479b2e39c4c993"/>
    <b v="0"/>
  </r>
  <r>
    <n v="1144"/>
    <s v="spotify:track:6HjYE79OOCGEhkIRfXLqrz"/>
    <x v="141"/>
    <s v="Damn Right (feat. Childish Gambino &amp; Kali Uchis)"/>
    <s v="OA Entertainment/Columbia"/>
    <n v="177"/>
    <n v="1"/>
    <d v="1899-12-30T02:48:00"/>
    <b v="1"/>
    <n v="85"/>
    <n v="42"/>
    <n v="86"/>
    <n v="3"/>
    <n v="21"/>
    <n v="0"/>
    <n v="10"/>
    <n v="38"/>
    <n v="117"/>
    <s v="K-Pop"/>
    <d v="2025-03-07T00:00:00"/>
    <s v="https://image-cdn-ak.spotifycdn.com/image/ab67616d00001e02dcf27dec5e479b2e39c4c993"/>
    <b v="0"/>
  </r>
  <r>
    <n v="1144"/>
    <s v="spotify:track:6HjYE79OOCGEhkIRfXLqrz"/>
    <x v="442"/>
    <s v="Damn Right (feat. Childish Gambino &amp; Kali Uchis)"/>
    <s v="OA Entertainment/Columbia"/>
    <n v="177"/>
    <n v="1"/>
    <d v="1899-12-30T02:48:00"/>
    <b v="1"/>
    <n v="85"/>
    <n v="42"/>
    <n v="86"/>
    <n v="3"/>
    <n v="21"/>
    <n v="0"/>
    <n v="10"/>
    <n v="38"/>
    <n v="117"/>
    <s v="K-Pop"/>
    <d v="2025-03-07T00:00:00"/>
    <s v="https://image-cdn-ak.spotifycdn.com/image/ab67616d00001e02dcf27dec5e479b2e39c4c993"/>
    <b v="0"/>
  </r>
  <r>
    <n v="1145"/>
    <s v="spotify:track:6HrALJOMsfPCCbUo5cJCON"/>
    <x v="84"/>
    <s v="ESCAPATE"/>
    <s v="2024 Double P Records"/>
    <n v="39"/>
    <n v="20"/>
    <d v="1899-12-30T03:05:00"/>
    <b v="1"/>
    <n v="82"/>
    <n v="45"/>
    <n v="83"/>
    <n v="5"/>
    <n v="51"/>
    <n v="0"/>
    <n v="19"/>
    <n v="69"/>
    <n v="120"/>
    <s v="Regional Mexicano"/>
    <d v="2025-04-18T00:00:00"/>
    <s v="https://image-cdn-ak.spotifycdn.com/image/ab67616d00001e0247e9618ef7411438f9c9478b"/>
    <b v="0"/>
  </r>
  <r>
    <n v="1145"/>
    <s v="spotify:track:6HrALJOMsfPCCbUo5cJCON"/>
    <x v="31"/>
    <s v="ESCAPATE"/>
    <s v="2024 Double P Records"/>
    <n v="39"/>
    <n v="20"/>
    <d v="1899-12-30T03:05:00"/>
    <b v="1"/>
    <n v="82"/>
    <n v="45"/>
    <n v="83"/>
    <n v="5"/>
    <n v="51"/>
    <n v="0"/>
    <n v="19"/>
    <n v="69"/>
    <n v="120"/>
    <s v="Regional Mexicano"/>
    <d v="2025-04-18T00:00:00"/>
    <s v="https://image-cdn-ak.spotifycdn.com/image/ab67616d00001e0247e9618ef7411438f9c9478b"/>
    <b v="0"/>
  </r>
  <r>
    <n v="1146"/>
    <s v="spotify:track:6I3mqTwhRpn34SLVafSH7G"/>
    <x v="2"/>
    <s v="Ghost"/>
    <s v="RBMG/Def Jam"/>
    <n v="11"/>
    <n v="139"/>
    <d v="1899-12-30T02:33:00"/>
    <b v="0"/>
    <n v="60"/>
    <n v="74"/>
    <n v="91"/>
    <n v="5"/>
    <n v="18"/>
    <n v="0"/>
    <n v="42"/>
    <n v="44"/>
    <n v="154"/>
    <s v="Pop"/>
    <d v="2021-03-19T00:00:00"/>
    <s v="https://image-cdn-ak.spotifycdn.com/image/ab67616d00001e02e6f407c7f3a0ec98845e4431"/>
    <b v="0"/>
  </r>
  <r>
    <n v="1147"/>
    <s v="spotify:track:6I9VzXrHxO9rA9A5euc8Ak"/>
    <x v="120"/>
    <s v="Toxic"/>
    <s v="Jive"/>
    <n v="188"/>
    <n v="2"/>
    <d v="1899-12-30T03:19:00"/>
    <b v="0"/>
    <n v="77"/>
    <n v="84"/>
    <n v="93"/>
    <n v="11"/>
    <n v="2"/>
    <n v="2"/>
    <n v="24"/>
    <n v="92"/>
    <n v="143"/>
    <s v="Dance Pop"/>
    <d v="2004-01-13T00:00:00"/>
    <s v="https://image-cdn-ak.spotifycdn.com/image/ab67616d00001e02efc6988972cb04105f002cd4"/>
    <b v="0"/>
  </r>
  <r>
    <n v="1148"/>
    <s v="spotify:track:6IPwKM3fUUzlElbvKw2sKl"/>
    <x v="735"/>
    <s v="we fell in love in october"/>
    <s v="world in red"/>
    <n v="51"/>
    <n v="31"/>
    <d v="1899-12-30T03:04:00"/>
    <b v="0"/>
    <n v="57"/>
    <n v="37"/>
    <n v="79"/>
    <n v="3"/>
    <n v="11"/>
    <n v="18"/>
    <n v="16"/>
    <n v="24"/>
    <n v="130"/>
    <s v="Indie Pop"/>
    <d v="2018-10-19T00:00:00"/>
    <s v="https://image-cdn-ak.spotifycdn.com/image/ab67616d00001e02deade9f354749841f09feca2"/>
    <b v="0"/>
  </r>
  <r>
    <n v="1149"/>
    <s v="spotify:track:6IZvVAP7VPPnsGX6bvgkqg"/>
    <x v="121"/>
    <s v="PRIDE."/>
    <s v="Aftermath"/>
    <n v="24"/>
    <n v="6"/>
    <d v="1899-12-30T04:35:00"/>
    <b v="1"/>
    <n v="66"/>
    <n v="54"/>
    <n v="88"/>
    <n v="6"/>
    <n v="8"/>
    <n v="0"/>
    <n v="15"/>
    <n v="37"/>
    <n v="139"/>
    <s v="Hip-Hop/Rap"/>
    <d v="2017-04-14T00:00:00"/>
    <s v="https://image-cdn-ak.spotifycdn.com/image/ab67616d00001e028b52c6b9bc4e43d873869699"/>
    <b v="0"/>
  </r>
  <r>
    <n v="1150"/>
    <s v="spotify:track:6IeK3Ap5m3HabwJxgI6eSE"/>
    <x v="736"/>
    <s v="It's Beginning to Look a Lot Like Christmas (with Mitchell Ayres &amp; His Orchestra)"/>
    <s v="RCA Records Label"/>
    <n v="23"/>
    <n v="39"/>
    <d v="1899-12-30T02:38:00"/>
    <b v="0"/>
    <n v="52"/>
    <n v="48"/>
    <n v="72"/>
    <n v="3"/>
    <n v="55"/>
    <n v="0"/>
    <n v="15"/>
    <n v="72"/>
    <n v="120"/>
    <s v="Christmas"/>
    <d v="1951-11-01T00:00:00"/>
    <s v="https://image-cdn-fa.spotifycdn.com/image/ab67616d00001e027a5e4ed28aeceac63ae4b043"/>
    <b v="1"/>
  </r>
  <r>
    <n v="1150"/>
    <s v="spotify:track:6IeK3Ap5m3HabwJxgI6eSE"/>
    <x v="737"/>
    <s v="It's Beginning to Look a Lot Like Christmas (with Mitchell Ayres &amp; His Orchestra)"/>
    <s v="RCA Records Label"/>
    <n v="23"/>
    <n v="39"/>
    <d v="1899-12-30T02:38:00"/>
    <b v="0"/>
    <n v="52"/>
    <n v="48"/>
    <n v="72"/>
    <n v="3"/>
    <n v="55"/>
    <n v="0"/>
    <n v="15"/>
    <n v="72"/>
    <n v="120"/>
    <s v="Christmas"/>
    <d v="1951-11-01T00:00:00"/>
    <s v="https://image-cdn-fa.spotifycdn.com/image/ab67616d00001e027a5e4ed28aeceac63ae4b043"/>
    <b v="1"/>
  </r>
  <r>
    <n v="1150"/>
    <s v="spotify:track:6IeK3Ap5m3HabwJxgI6eSE"/>
    <x v="738"/>
    <s v="It's Beginning to Look a Lot Like Christmas (with Mitchell Ayres &amp; His Orchestra)"/>
    <s v="RCA Records Label"/>
    <n v="23"/>
    <n v="39"/>
    <d v="1899-12-30T02:38:00"/>
    <b v="0"/>
    <n v="52"/>
    <n v="48"/>
    <n v="72"/>
    <n v="3"/>
    <n v="55"/>
    <n v="0"/>
    <n v="15"/>
    <n v="72"/>
    <n v="120"/>
    <s v="Christmas"/>
    <d v="1951-11-01T00:00:00"/>
    <s v="https://image-cdn-fa.spotifycdn.com/image/ab67616d00001e027a5e4ed28aeceac63ae4b043"/>
    <b v="1"/>
  </r>
  <r>
    <n v="1151"/>
    <s v="spotify:track:6J5kc12BW5HuP3d7C3vvx8"/>
    <x v="103"/>
    <s v="EoO"/>
    <s v="Rimas Entertainment LLC."/>
    <n v="4"/>
    <n v="91"/>
    <d v="1899-12-30T03:18:00"/>
    <b v="1"/>
    <n v="36"/>
    <n v="46"/>
    <n v="51"/>
    <n v="7"/>
    <n v="75"/>
    <n v="86"/>
    <n v="8"/>
    <n v="18"/>
    <n v="64"/>
    <s v="Reggaeton"/>
    <d v="2025-01-05T00:00:00"/>
    <s v="https://image-cdn-ak.spotifycdn.com/image/ab67616d00001e02bbd45c8d36e0e045ef640411"/>
    <b v="0"/>
  </r>
  <r>
    <n v="1152"/>
    <s v="spotify:track:6K4t31amVTZDgR3sKmwUJJ"/>
    <x v="254"/>
    <s v="The Less I Know The Better"/>
    <s v="Universal Music Australia Pty. Ltd."/>
    <n v="84"/>
    <n v="104"/>
    <d v="1899-12-30T03:36:00"/>
    <b v="1"/>
    <n v="64"/>
    <n v="74"/>
    <n v="93"/>
    <n v="3"/>
    <n v="1"/>
    <n v="1"/>
    <n v="17"/>
    <n v="78"/>
    <n v="117"/>
    <s v="Psychedelic Pop"/>
    <d v="2015-07-17T00:00:00"/>
    <s v="https://image-cdn-ak.spotifycdn.com/image/ab67616d00001e029e1cfc756886ac782e363d79"/>
    <b v="0"/>
  </r>
  <r>
    <n v="1153"/>
    <s v="spotify:track:6KFQdIB3njXBQNcg1xUh9U"/>
    <x v="462"/>
    <s v="One Thing"/>
    <s v="Universal-Island Records Ltd."/>
    <n v="172"/>
    <n v="1"/>
    <d v="1899-12-30T03:05:00"/>
    <b v="1"/>
    <n v="68"/>
    <n v="68"/>
    <n v="78"/>
    <n v="12"/>
    <n v="25"/>
    <n v="0"/>
    <n v="11"/>
    <n v="52"/>
    <n v="100"/>
    <s v="Pop"/>
    <d v="2024-11-29T00:00:00"/>
    <s v="https://image-cdn-ak.spotifycdn.com/image/ab67616d00001e0237aca5f6e9127cb9a469ec0f"/>
    <b v="0"/>
  </r>
  <r>
    <n v="1154"/>
    <s v="spotify:track:6KfugJFINWqA42k59hmjFr"/>
    <x v="739"/>
    <s v="TABOLA BALE"/>
    <s v="SILET OPEN UP"/>
    <n v="59"/>
    <n v="12"/>
    <s v="03:18:00"/>
    <b v="0"/>
    <n v="85"/>
    <n v="67"/>
    <n v="73"/>
    <n v="11"/>
    <n v="18"/>
    <n v="0"/>
    <n v="16"/>
    <n v="88"/>
    <n v="105"/>
    <s v="Indie Pop"/>
    <s v="20/6/2025"/>
    <s v="https://image-cdn-ak.spotifycdn.com/image/ab67616d00001e0210df7b8e9b3ed2588888a8ae"/>
    <b v="0"/>
  </r>
  <r>
    <n v="1154"/>
    <s v="spotify:track:6KfugJFINWqA42k59hmjFr"/>
    <x v="740"/>
    <s v="TABOLA BALE"/>
    <s v="SILET OPEN UP"/>
    <n v="59"/>
    <n v="12"/>
    <s v="03:18:00"/>
    <b v="0"/>
    <n v="85"/>
    <n v="67"/>
    <n v="73"/>
    <n v="11"/>
    <n v="18"/>
    <n v="0"/>
    <n v="16"/>
    <n v="88"/>
    <n v="105"/>
    <s v="Indie Pop"/>
    <s v="20/6/2025"/>
    <s v="https://image-cdn-ak.spotifycdn.com/image/ab67616d00001e0210df7b8e9b3ed2588888a8ae"/>
    <b v="0"/>
  </r>
  <r>
    <n v="1154"/>
    <s v="spotify:track:6KfugJFINWqA42k59hmjFr"/>
    <x v="741"/>
    <s v="TABOLA BALE"/>
    <s v="SILET OPEN UP"/>
    <n v="59"/>
    <n v="12"/>
    <s v="03:18:00"/>
    <b v="0"/>
    <n v="85"/>
    <n v="67"/>
    <n v="73"/>
    <n v="11"/>
    <n v="18"/>
    <n v="0"/>
    <n v="16"/>
    <n v="88"/>
    <n v="105"/>
    <s v="Indie Pop"/>
    <s v="20/6/2025"/>
    <s v="https://image-cdn-ak.spotifycdn.com/image/ab67616d00001e0210df7b8e9b3ed2588888a8ae"/>
    <b v="0"/>
  </r>
  <r>
    <n v="1154"/>
    <s v="spotify:track:6KfugJFINWqA42k59hmjFr"/>
    <x v="742"/>
    <s v="TABOLA BALE"/>
    <s v="SILET OPEN UP"/>
    <n v="59"/>
    <n v="12"/>
    <s v="03:18:00"/>
    <b v="0"/>
    <n v="85"/>
    <n v="67"/>
    <n v="73"/>
    <n v="11"/>
    <n v="18"/>
    <n v="0"/>
    <n v="16"/>
    <n v="88"/>
    <n v="105"/>
    <s v="Indie Pop"/>
    <s v="20/6/2025"/>
    <s v="https://image-cdn-ak.spotifycdn.com/image/ab67616d00001e0210df7b8e9b3ed2588888a8ae"/>
    <b v="0"/>
  </r>
  <r>
    <n v="1155"/>
    <s v="spotify:track:6Kyl2nFgU0J8WBlbBvDv6g"/>
    <x v="464"/>
    <s v="Coração Partido (Corazón Partío) - Ao Vivo"/>
    <s v="Som Livre"/>
    <n v="126"/>
    <n v="1"/>
    <s v="03:18:00"/>
    <b v="0"/>
    <n v="65"/>
    <n v="78"/>
    <n v="74"/>
    <n v="6"/>
    <n v="31"/>
    <n v="0"/>
    <n v="82"/>
    <n v="73"/>
    <n v="142"/>
    <s v="Sertanejo"/>
    <s v="14/11/2025"/>
    <s v="https://image-cdn-fa.spotifycdn.com/image/ab67616d00001e025645e61562deebdda78755b6"/>
    <b v="0"/>
  </r>
  <r>
    <n v="1156"/>
    <s v="spotify:track:6MFSqc8pzXlwfzXqWZEKd4"/>
    <x v="98"/>
    <s v="big feelings"/>
    <s v="Republic Records"/>
    <n v="23"/>
    <n v="1"/>
    <s v="03:05:00"/>
    <b v="0"/>
    <n v="75"/>
    <n v="62"/>
    <n v="74"/>
    <n v="8"/>
    <n v="22"/>
    <n v="0"/>
    <n v="12"/>
    <n v="65"/>
    <n v="122"/>
    <s v="Pop"/>
    <s v="7/8/2026"/>
    <s v="https://image-cdn-ak.spotifycdn.com/image/ab67616d00001e028baf677ee2d8dda6cc9fcbd7"/>
    <b v="0"/>
  </r>
  <r>
    <n v="1160"/>
    <s v="spotify:track:6OC87jHRiovNPEUrgaqFSu"/>
    <x v="10"/>
    <s v="Shadow Of A Man"/>
    <s v="Interscope Records"/>
    <n v="116"/>
    <n v="1"/>
    <d v="1899-12-30T03:05:00"/>
    <b v="0"/>
    <n v="69"/>
    <n v="84"/>
    <n v="93"/>
    <n v="3"/>
    <n v="0"/>
    <n v="0"/>
    <n v="15"/>
    <n v="77"/>
    <n v="118"/>
    <s v="Pop"/>
    <d v="2025-03-07T00:00:00"/>
    <s v="https://image-cdn-ak.spotifycdn.com/image/ab67616d00001e02b0860cf0a98e09663c82290c"/>
    <b v="0"/>
  </r>
  <r>
    <n v="1161"/>
    <s v="spotify:track:6OCNg7QchXJMww1LHMjIzb"/>
    <x v="215"/>
    <s v="Hiekka"/>
    <s v="Nicky Jam"/>
    <n v="172"/>
    <n v="2"/>
    <s v="03:05:00"/>
    <b v="1"/>
    <n v="79"/>
    <n v="68"/>
    <n v="73"/>
    <n v="8"/>
    <n v="21"/>
    <n v="0"/>
    <n v="11"/>
    <n v="74"/>
    <n v="98"/>
    <s v="Reggaeton"/>
    <s v="15/5/2026"/>
    <s v="https://image-cdn-ak.spotifycdn.com/image/ab67616d00001e02d39091f489e1433639d13a2a"/>
    <b v="0"/>
  </r>
  <r>
    <n v="1161"/>
    <s v="spotify:track:6OCNg7QchXJMww1LHMjIzb"/>
    <x v="743"/>
    <s v="Hiekka"/>
    <s v="Nicky Jam"/>
    <n v="172"/>
    <n v="2"/>
    <s v="03:05:00"/>
    <b v="1"/>
    <n v="79"/>
    <n v="68"/>
    <n v="73"/>
    <n v="8"/>
    <n v="21"/>
    <n v="0"/>
    <n v="11"/>
    <n v="74"/>
    <n v="98"/>
    <s v="Reggaeton"/>
    <s v="15/5/2026"/>
    <s v="https://image-cdn-ak.spotifycdn.com/image/ab67616d00001e02d39091f489e1433639d13a2a"/>
    <b v="0"/>
  </r>
  <r>
    <n v="1162"/>
    <s v="spotify:track:6OICC2Us0JVbUgGXFJJOzZ"/>
    <x v="37"/>
    <s v="Deny Deny Deny"/>
    <s v="Mercury Records"/>
    <n v="135"/>
    <n v="1"/>
    <s v="03:48:00"/>
    <b v="0"/>
    <n v="61"/>
    <n v="54"/>
    <n v="72"/>
    <n v="4"/>
    <n v="40"/>
    <n v="0"/>
    <n v="11"/>
    <n v="49"/>
    <n v="105"/>
    <s v="Indie Folk"/>
    <s v="3/4/2026"/>
    <s v="https://image-cdn-ak.spotifycdn.com/image/ab67616d00001e02d879855b819250d3d00a1a38"/>
    <b v="0"/>
  </r>
  <r>
    <n v="1163"/>
    <s v="spotify:track:6PGoSes0D9eUDeeAafB2As"/>
    <x v="121"/>
    <s v="LOVE. FEAT. ZACARI."/>
    <s v="Aftermath"/>
    <n v="14"/>
    <n v="55"/>
    <d v="1899-12-30T03:33:00"/>
    <b v="0"/>
    <n v="80"/>
    <n v="58"/>
    <n v="88"/>
    <n v="9"/>
    <n v="26"/>
    <n v="0"/>
    <n v="15"/>
    <n v="78"/>
    <n v="126"/>
    <s v="Hip-Hop/Rap"/>
    <d v="2017-04-14T00:00:00"/>
    <s v="https://image-cdn-fa.spotifycdn.com/image/ab67616d00001e028b52c6b9bc4e43d873869699"/>
    <b v="0"/>
  </r>
  <r>
    <n v="1163"/>
    <s v="spotify:track:6PGoSes0D9eUDeeAafB2As"/>
    <x v="744"/>
    <s v="LOVE. FEAT. ZACARI."/>
    <s v="Aftermath"/>
    <n v="14"/>
    <n v="55"/>
    <d v="1899-12-30T03:33:00"/>
    <b v="0"/>
    <n v="80"/>
    <n v="58"/>
    <n v="88"/>
    <n v="9"/>
    <n v="26"/>
    <n v="0"/>
    <n v="15"/>
    <n v="78"/>
    <n v="126"/>
    <s v="Hip-Hop/Rap"/>
    <d v="2017-04-14T00:00:00"/>
    <s v="https://image-cdn-fa.spotifycdn.com/image/ab67616d00001e028b52c6b9bc4e43d873869699"/>
    <b v="0"/>
  </r>
  <r>
    <n v="1164"/>
    <s v="spotify:track:6QFCMUUq1T2Vf5sFUXcuQ7"/>
    <x v="2"/>
    <s v="Beauty And A Beat"/>
    <s v="RBMG/Def Jam"/>
    <n v="1"/>
    <n v="30"/>
    <d v="1899-12-30T03:48:00"/>
    <b v="0"/>
    <n v="60"/>
    <n v="84"/>
    <n v="92"/>
    <n v="6"/>
    <n v="0"/>
    <n v="0"/>
    <n v="7"/>
    <n v="53"/>
    <n v="128"/>
    <s v="Dance Pop"/>
    <d v="2012-10-24T00:00:00"/>
    <s v="https://image-cdn-fa.spotifycdn.com/image/ab67616d00001e02f1d02a6cec967f8b6b78f76e"/>
    <b v="0"/>
  </r>
  <r>
    <n v="1164"/>
    <s v="spotify:track:6QFCMUUq1T2Vf5sFUXcuQ7"/>
    <x v="745"/>
    <s v="Beauty And A Beat"/>
    <s v="RBMG/Def Jam"/>
    <n v="1"/>
    <n v="30"/>
    <d v="1899-12-30T03:48:00"/>
    <b v="0"/>
    <n v="60"/>
    <n v="84"/>
    <n v="92"/>
    <n v="6"/>
    <n v="0"/>
    <n v="0"/>
    <n v="7"/>
    <n v="53"/>
    <n v="128"/>
    <s v="Dance Pop"/>
    <d v="2012-10-24T00:00:00"/>
    <s v="https://image-cdn-fa.spotifycdn.com/image/ab67616d00001e02f1d02a6cec967f8b6b78f76e"/>
    <b v="0"/>
  </r>
  <r>
    <n v="1165"/>
    <s v="spotify:track:6QhsCYcFdfyMbPWCiViI8K"/>
    <x v="98"/>
    <s v="freak"/>
    <s v="Republic Records"/>
    <n v="33"/>
    <n v="1"/>
    <s v="03:05:00"/>
    <b v="0"/>
    <n v="80"/>
    <n v="65"/>
    <n v="75"/>
    <n v="10"/>
    <n v="16"/>
    <n v="0"/>
    <n v="9"/>
    <n v="69"/>
    <n v="132"/>
    <s v="Pop"/>
    <s v="7/8/2026"/>
    <s v="https://image-cdn-ak.spotifycdn.com/image/ab67616d00001e028baf677ee2d8dda6cc9fcbd7"/>
    <b v="0"/>
  </r>
  <r>
    <n v="1166"/>
    <s v="spotify:track:6QletrrmpkUpeJkipX9pgf"/>
    <x v="39"/>
    <s v="Cha Cha Cha"/>
    <s v="Atlantic Records"/>
    <n v="46"/>
    <n v="2"/>
    <s v="03:05:00"/>
    <b v="0"/>
    <n v="80"/>
    <n v="72"/>
    <n v="74"/>
    <n v="8"/>
    <n v="14"/>
    <n v="0"/>
    <n v="16"/>
    <n v="85"/>
    <n v="125"/>
    <s v="Pop"/>
    <s v="12/9/2025"/>
    <s v="https://image-cdn-ak.spotifycdn.com/image/ab67616d00001e023eb8dc748f7efb1470f74395"/>
    <b v="0"/>
  </r>
  <r>
    <n v="1167"/>
    <s v="spotify:track:6Qyc6fS4DsZjB2mRW9DsQs"/>
    <x v="746"/>
    <s v="Iris"/>
    <s v="Warner Records"/>
    <n v="9"/>
    <n v="161"/>
    <d v="1899-12-30T04:49:00"/>
    <b v="0"/>
    <n v="32"/>
    <n v="72"/>
    <n v="87"/>
    <n v="4"/>
    <n v="0"/>
    <n v="0"/>
    <n v="9"/>
    <n v="50"/>
    <n v="156"/>
    <s v="Alternative"/>
    <d v="1998-04-07T00:00:00"/>
    <s v="https://image-cdn-fa.spotifycdn.com/image/ab67616d00001e02eda9478c39a21e1cdc6609ca"/>
    <b v="0"/>
  </r>
  <r>
    <n v="1168"/>
    <s v="spotify:track:6RUKPb4LETWmmr3iAEQktW"/>
    <x v="40"/>
    <s v="Something Just Like This"/>
    <s v="Disruptor Records/Columbia"/>
    <n v="2"/>
    <n v="305"/>
    <d v="1899-12-30T04:07:00"/>
    <b v="0"/>
    <n v="62"/>
    <n v="64"/>
    <n v="89"/>
    <n v="3"/>
    <n v="5"/>
    <n v="0"/>
    <n v="16"/>
    <n v="45"/>
    <n v="103"/>
    <s v="EDM"/>
    <d v="2017-02-22T00:00:00"/>
    <s v="https://image-cdn-ak.spotifycdn.com/image/ab67616d00001e020c13d3d5a503c84fcc60ae94"/>
    <b v="0"/>
  </r>
  <r>
    <n v="1168"/>
    <s v="spotify:track:6RUKPb4LETWmmr3iAEQktW"/>
    <x v="747"/>
    <s v="Something Just Like This"/>
    <s v="Disruptor Records/Columbia"/>
    <n v="2"/>
    <n v="305"/>
    <d v="1899-12-30T04:07:00"/>
    <b v="0"/>
    <n v="62"/>
    <n v="64"/>
    <n v="89"/>
    <n v="3"/>
    <n v="5"/>
    <n v="0"/>
    <n v="16"/>
    <n v="45"/>
    <n v="103"/>
    <s v="EDM"/>
    <d v="2017-02-22T00:00:00"/>
    <s v="https://image-cdn-ak.spotifycdn.com/image/ab67616d00001e020c13d3d5a503c84fcc60ae94"/>
    <b v="0"/>
  </r>
  <r>
    <n v="1169"/>
    <s v="spotify:track:6RzcNTnS02dnqoQMdTkQwi"/>
    <x v="748"/>
    <s v="Descer Pra BC"/>
    <s v="New Music"/>
    <n v="70"/>
    <n v="3"/>
    <s v="03:05:00"/>
    <b v="0"/>
    <n v="81"/>
    <n v="80"/>
    <n v="75"/>
    <n v="7"/>
    <n v="21"/>
    <n v="0"/>
    <n v="34"/>
    <n v="87"/>
    <n v="130"/>
    <s v="Sertanejo"/>
    <s v="13/6/2025"/>
    <s v="https://image-cdn-ak.spotifycdn.com/image/ab67616d00001e022e59972c9854a2e6f0ceec34"/>
    <b v="0"/>
  </r>
  <r>
    <n v="1169"/>
    <s v="spotify:track:6RzcNTnS02dnqoQMdTkQwi"/>
    <x v="749"/>
    <s v="Descer Pra BC"/>
    <s v="New Music"/>
    <n v="70"/>
    <n v="3"/>
    <s v="03:05:00"/>
    <b v="0"/>
    <n v="81"/>
    <n v="80"/>
    <n v="75"/>
    <n v="7"/>
    <n v="21"/>
    <n v="0"/>
    <n v="34"/>
    <n v="87"/>
    <n v="130"/>
    <s v="Sertanejo"/>
    <s v="13/6/2025"/>
    <s v="https://image-cdn-ak.spotifycdn.com/image/ab67616d00001e022e59972c9854a2e6f0ceec34"/>
    <b v="0"/>
  </r>
  <r>
    <n v="1170"/>
    <s v="spotify:track:6SKwQghsR8AISlxhcwyA9R"/>
    <x v="39"/>
    <s v="Marry You"/>
    <s v="Elektra (NEK)"/>
    <n v="161"/>
    <n v="1"/>
    <d v="1899-12-30T03:50:00"/>
    <b v="0"/>
    <n v="62"/>
    <n v="82"/>
    <n v="92"/>
    <n v="4"/>
    <n v="33"/>
    <n v="0"/>
    <n v="10"/>
    <n v="45"/>
    <n v="145"/>
    <s v="Pop"/>
    <d v="2010-10-01T00:00:00"/>
    <s v="https://image-cdn-fa.spotifycdn.com/image/ab67616d00001e028a9eb5a1f701d1d367a5ea10"/>
    <b v="0"/>
  </r>
  <r>
    <n v="1171"/>
    <s v="spotify:track:6SaSFVlIQC1L6Fh1QKLeFi"/>
    <x v="141"/>
    <s v="start a war"/>
    <s v="OA Entertainment/Columbia"/>
    <n v="183"/>
    <n v="1"/>
    <d v="1899-12-30T02:48:00"/>
    <b v="1"/>
    <n v="48"/>
    <n v="69"/>
    <n v="91"/>
    <n v="6"/>
    <n v="11"/>
    <n v="0"/>
    <n v="22"/>
    <n v="31"/>
    <n v="127"/>
    <s v="K-Pop"/>
    <d v="2025-03-07T00:00:00"/>
    <s v="https://image-cdn-ak.spotifycdn.com/image/ab67616d00001e02dcf27dec5e479b2e39c4c993"/>
    <b v="0"/>
  </r>
  <r>
    <n v="1172"/>
    <s v="spotify:track:6Sq7ltF9Qa7SNFBsV5Cogx"/>
    <x v="103"/>
    <s v="Me Porto Bonito"/>
    <s v="Rimas Entertainment LLC."/>
    <n v="2"/>
    <n v="82"/>
    <d v="1899-12-30T02:58:00"/>
    <b v="1"/>
    <n v="91"/>
    <n v="71"/>
    <n v="91"/>
    <n v="8"/>
    <n v="9"/>
    <n v="0"/>
    <n v="9"/>
    <n v="42"/>
    <n v="92"/>
    <s v="Reggaeton"/>
    <d v="2022-05-06T00:00:00"/>
    <s v="https://image-cdn-ak.spotifycdn.com/image/ab67616d00001e0249d694203245f241a1bcaa72"/>
    <b v="0"/>
  </r>
  <r>
    <n v="1172"/>
    <s v="spotify:track:6Sq7ltF9Qa7SNFBsV5Cogx"/>
    <x v="750"/>
    <s v="Me Porto Bonito"/>
    <s v="Rimas Entertainment LLC."/>
    <n v="2"/>
    <n v="82"/>
    <d v="1899-12-30T02:58:00"/>
    <b v="1"/>
    <n v="91"/>
    <n v="71"/>
    <n v="91"/>
    <n v="8"/>
    <n v="9"/>
    <n v="0"/>
    <n v="9"/>
    <n v="42"/>
    <n v="92"/>
    <s v="Reggaeton"/>
    <d v="2022-05-06T00:00:00"/>
    <s v="https://image-cdn-ak.spotifycdn.com/image/ab67616d00001e0249d694203245f241a1bcaa72"/>
    <b v="0"/>
  </r>
  <r>
    <n v="1173"/>
    <s v="spotify:track:6SuIUd8Wl5tZcyMFAV0EZJ"/>
    <x v="30"/>
    <s v="Nalguita y Teta"/>
    <s v="Josa Records"/>
    <n v="67"/>
    <n v="24"/>
    <d v="1899-12-30T03:05:00"/>
    <b v="1"/>
    <n v="80"/>
    <n v="75"/>
    <n v="80"/>
    <n v="10"/>
    <n v="12"/>
    <n v="0"/>
    <n v="12"/>
    <n v="60"/>
    <n v="108"/>
    <s v="Regional Mexicano"/>
    <d v="2025-03-14T00:00:00"/>
    <s v="https://image-cdn-fa.spotifycdn.com/image/ab67616d00001e026b0c57d574fae5bbb4f3c8de"/>
    <b v="0"/>
  </r>
  <r>
    <n v="1174"/>
    <s v="spotify:track:6Sv0CzVqzydd7NYQgAG70c"/>
    <x v="22"/>
    <s v="Ivonny Bonita"/>
    <s v="Bichota/Interscope Records"/>
    <n v="161"/>
    <n v="2"/>
    <s v="03:05:00"/>
    <b v="0"/>
    <n v="76"/>
    <n v="61"/>
    <n v="72"/>
    <n v="6"/>
    <n v="28"/>
    <n v="0"/>
    <n v="11"/>
    <n v="68"/>
    <n v="100"/>
    <s v="Reggaeton"/>
    <s v="6/6/2025"/>
    <s v="https://image-cdn-ak.spotifycdn.com/image/ab67616d00001e026c0294796e2ee5cf87a47b5f"/>
    <b v="0"/>
  </r>
  <r>
    <n v="1175"/>
    <s v="spotify:track:6SvlfrQYzUsW5UQUpUpy26"/>
    <x v="751"/>
    <s v="Bangaranga"/>
    <s v="K2ID PRODUCTION LIMITED"/>
    <n v="94"/>
    <n v="1"/>
    <s v="03:05:00"/>
    <b v="0"/>
    <n v="75"/>
    <n v="72"/>
    <n v="73"/>
    <n v="9"/>
    <n v="18"/>
    <n v="0"/>
    <n v="15"/>
    <n v="66"/>
    <n v="115"/>
    <s v="Pop"/>
    <s v="1/5/2026"/>
    <s v="https://image-cdn-ak.spotifycdn.com/image/ab67616d00001e02ee6ff14d338a2af1edc2f5d2"/>
    <b v="0"/>
  </r>
  <r>
    <n v="1177"/>
    <s v="spotify:track:6VNXmo59yDYgcwLS17UNAW"/>
    <x v="103"/>
    <s v="CAFé CON RON"/>
    <s v="Rimas Entertainment LLC."/>
    <n v="30"/>
    <n v="9"/>
    <d v="1899-12-30T03:18:00"/>
    <b v="0"/>
    <n v="33"/>
    <n v="15"/>
    <n v="55"/>
    <n v="6"/>
    <n v="15"/>
    <n v="0"/>
    <n v="40"/>
    <n v="4"/>
    <n v="96"/>
    <s v="Reggaeton"/>
    <d v="2025-01-05T00:00:00"/>
    <s v="https://image-cdn-fa.spotifycdn.com/image/ab67616d00001e02bbd45c8d36e0e045ef640411"/>
    <b v="0"/>
  </r>
  <r>
    <n v="1177"/>
    <s v="spotify:track:6VNXmo59yDYgcwLS17UNAW"/>
    <x v="752"/>
    <s v="CAFé CON RON"/>
    <s v="Rimas Entertainment LLC."/>
    <n v="30"/>
    <n v="9"/>
    <d v="1899-12-30T03:18:00"/>
    <b v="0"/>
    <n v="33"/>
    <n v="15"/>
    <n v="55"/>
    <n v="6"/>
    <n v="15"/>
    <n v="0"/>
    <n v="40"/>
    <n v="4"/>
    <n v="96"/>
    <s v="Reggaeton"/>
    <d v="2025-01-05T00:00:00"/>
    <s v="https://image-cdn-fa.spotifycdn.com/image/ab67616d00001e02bbd45c8d36e0e045ef640411"/>
    <b v="0"/>
  </r>
  <r>
    <n v="1178"/>
    <s v="spotify:track:6WatFBLVB0x077xWeoVc2k"/>
    <x v="22"/>
    <s v="Si Antes Te Hubiera Conocido"/>
    <s v="Bichota/Interscope Records"/>
    <n v="5"/>
    <n v="52"/>
    <d v="1899-12-30T03:12:00"/>
    <b v="0"/>
    <n v="92"/>
    <n v="67"/>
    <n v="89"/>
    <n v="5"/>
    <n v="45"/>
    <n v="0"/>
    <n v="7"/>
    <n v="79"/>
    <n v="128"/>
    <s v="Reggaeton"/>
    <d v="2024-06-20T00:00:00"/>
    <s v="https://image-cdn-ak.spotifycdn.com/image/ab67616d00001e02491678beaffcefac517a699e"/>
    <b v="0"/>
  </r>
  <r>
    <n v="1179"/>
    <s v="spotify:track:6WhwHYd38f4ZB2CefpDgLo"/>
    <x v="277"/>
    <s v="GIRLS"/>
    <s v="Columbia"/>
    <n v="83"/>
    <n v="10"/>
    <s v="02:48:00"/>
    <b v="1"/>
    <n v="76"/>
    <n v="69"/>
    <n v="74"/>
    <n v="5"/>
    <n v="14"/>
    <n v="0"/>
    <n v="11"/>
    <n v="60"/>
    <n v="120"/>
    <s v="Pop"/>
    <s v="1/5/2026"/>
    <s v="https://image-cdn-ak.spotifycdn.com/image/ab67616d00001e029454d875c64ae0376b4b59bb"/>
    <b v="0"/>
  </r>
  <r>
    <n v="1180"/>
    <s v="spotify:track:6Wobsw9uZ0D0xkfOjxXSq9"/>
    <x v="8"/>
    <s v="Messy (From F1® The Movie)"/>
    <s v="Atlantic Records"/>
    <n v="90"/>
    <n v="1"/>
    <s v="03:05:00"/>
    <b v="0"/>
    <n v="75"/>
    <n v="66"/>
    <n v="73"/>
    <n v="5"/>
    <n v="22"/>
    <n v="0"/>
    <n v="14"/>
    <n v="60"/>
    <n v="115"/>
    <s v="Pop"/>
    <s v="27/6/2025"/>
    <s v="https://image-cdn-ak.spotifycdn.com/image/ab67616d00001e0227303a68d325216fe413f62c"/>
    <b v="0"/>
  </r>
  <r>
    <n v="1180"/>
    <s v="spotify:track:6Wobsw9uZ0D0xkfOjxXSq9"/>
    <x v="305"/>
    <s v="Messy (From F1® The Movie)"/>
    <s v="Atlantic Records"/>
    <n v="90"/>
    <n v="1"/>
    <s v="03:05:00"/>
    <b v="0"/>
    <n v="75"/>
    <n v="66"/>
    <n v="73"/>
    <n v="5"/>
    <n v="22"/>
    <n v="0"/>
    <n v="14"/>
    <n v="60"/>
    <n v="115"/>
    <s v="Pop"/>
    <s v="27/6/2025"/>
    <s v="https://image-cdn-ak.spotifycdn.com/image/ab67616d00001e0227303a68d325216fe413f62c"/>
    <b v="0"/>
  </r>
  <r>
    <n v="1181"/>
    <s v="spotify:track:6X6m4xmdFcz31p1h7Qg68c"/>
    <x v="31"/>
    <s v="EL LOKERON"/>
    <s v="2024 Double P Records"/>
    <n v="21"/>
    <n v="26"/>
    <d v="1899-12-30T03:05:00"/>
    <b v="1"/>
    <n v="72"/>
    <n v="69"/>
    <n v="88"/>
    <n v="5"/>
    <n v="57"/>
    <n v="0"/>
    <n v="9"/>
    <n v="94"/>
    <n v="120"/>
    <s v="Regional Mexicano"/>
    <d v="2025-02-14T00:00:00"/>
    <s v="https://image-cdn-fa.spotifycdn.com/image/ab67616d00001e0247e9618ef7411438f9c9478b"/>
    <b v="0"/>
  </r>
  <r>
    <n v="1182"/>
    <s v="spotify:track:6Xom58OOXk2SoU711L2IXO"/>
    <x v="103"/>
    <s v="Moscow Mule"/>
    <s v="Rimas Entertainment LLC."/>
    <n v="2"/>
    <n v="45"/>
    <d v="1899-12-30T04:05:00"/>
    <b v="1"/>
    <n v="80"/>
    <n v="67"/>
    <n v="91"/>
    <n v="3"/>
    <n v="29"/>
    <n v="0"/>
    <n v="12"/>
    <n v="29"/>
    <n v="100"/>
    <s v="Reggaeton"/>
    <d v="2022-05-06T00:00:00"/>
    <s v="https://image-cdn-ak.spotifycdn.com/image/ab67616d00001e0249d694203245f241a1bcaa72"/>
    <b v="0"/>
  </r>
  <r>
    <n v="1183"/>
    <s v="spotify:track:6YOfGIE6iFxC7G8OlGGvzW"/>
    <x v="60"/>
    <s v="ROCKSTAR"/>
    <s v="WEA Latina"/>
    <n v="96"/>
    <n v="11"/>
    <d v="1899-12-30T03:05:00"/>
    <b v="1"/>
    <n v="76"/>
    <n v="66"/>
    <n v="88"/>
    <n v="4"/>
    <n v="29"/>
    <n v="0"/>
    <n v="14"/>
    <n v="90"/>
    <n v="125"/>
    <s v="Regional Mexicano"/>
    <d v="2025-04-18T00:00:00"/>
    <s v="https://image-cdn-ak.spotifycdn.com/image/ab67616d00001e02ef88ad49166e31598ff7d4d0"/>
    <b v="0"/>
  </r>
  <r>
    <n v="1184"/>
    <s v="spotify:track:6YUTL4dYpB9xZO5qExPf05"/>
    <x v="326"/>
    <s v="Summer"/>
    <s v="Columbia"/>
    <n v="158"/>
    <n v="7"/>
    <d v="1899-12-30T03:42:00"/>
    <b v="0"/>
    <n v="60"/>
    <n v="86"/>
    <n v="94"/>
    <n v="3"/>
    <n v="2"/>
    <n v="2"/>
    <n v="14"/>
    <n v="74"/>
    <n v="128"/>
    <s v="EDM"/>
    <d v="2014-03-14T00:00:00"/>
    <s v="https://image-cdn-ak.spotifycdn.com/image/ab67616d00001e028fba5806a323efd272677c4d"/>
    <b v="0"/>
  </r>
  <r>
    <n v="1185"/>
    <s v="spotify:track:6a1hzBiTkgqTsDA0Xgfh9z"/>
    <x v="525"/>
    <s v="Santa Claus Is Coming To Town"/>
    <s v="UNI/MOTOWN"/>
    <n v="59"/>
    <n v="20"/>
    <d v="1899-12-30T02:23:00"/>
    <b v="0"/>
    <n v="62"/>
    <n v="62"/>
    <n v="77"/>
    <n v="5"/>
    <n v="25"/>
    <n v="0"/>
    <n v="14"/>
    <n v="78"/>
    <n v="120"/>
    <s v="Christmas"/>
    <d v="1970-10-01T00:00:00"/>
    <s v="https://image-cdn-ak.spotifycdn.com/image/ab67616d00001e021dd221971daf25e034de40f8"/>
    <b v="1"/>
  </r>
  <r>
    <n v="1186"/>
    <s v="spotify:track:6aJn7Cst74cj4lNIiPRgav"/>
    <x v="298"/>
    <s v="Touch"/>
    <s v="HYBE/Geffen"/>
    <n v="78"/>
    <n v="21"/>
    <d v="1899-12-30T02:48:00"/>
    <b v="0"/>
    <n v="74"/>
    <n v="90"/>
    <n v="96"/>
    <n v="4"/>
    <n v="55"/>
    <n v="0"/>
    <n v="9"/>
    <n v="79"/>
    <n v="167"/>
    <s v="K-Pop"/>
    <d v="2024-08-16T00:00:00"/>
    <s v="https://image-cdn-ak.spotifycdn.com/image/ab67616d00001e027e76c17cfbc723800452a24f"/>
    <b v="0"/>
  </r>
  <r>
    <n v="1187"/>
    <s v="spotify:track:6bfy5e5jWNcNSFAJzsMPED"/>
    <x v="753"/>
    <s v="BATTITO"/>
    <s v="Warner Music"/>
    <n v="102"/>
    <n v="1"/>
    <d v="1899-12-30T03:18:00"/>
    <b v="0"/>
    <n v="64"/>
    <n v="74"/>
    <n v="93"/>
    <n v="30"/>
    <n v="10"/>
    <n v="0"/>
    <n v="24"/>
    <n v="55"/>
    <n v="141"/>
    <s v="Italian Pop"/>
    <d v="2025-02-14T00:00:00"/>
    <s v="https://image-cdn-ak.spotifycdn.com/image/ab67616d00001e02b4edd175d050465904719d89"/>
    <b v="0"/>
  </r>
  <r>
    <n v="1188"/>
    <s v="spotify:track:6cYGpGmnMeK9qWhRpaZOZ5"/>
    <x v="53"/>
    <s v="Don’t Worry"/>
    <s v="OVO/Republic"/>
    <n v="62"/>
    <n v="1"/>
    <s v="03:18:00"/>
    <b v="1"/>
    <n v="77"/>
    <n v="57"/>
    <n v="72"/>
    <n v="24"/>
    <n v="33"/>
    <n v="0"/>
    <n v="14"/>
    <n v="46"/>
    <n v="112"/>
    <s v="Hip-Hop/Rap"/>
    <s v="22/5/2026"/>
    <s v="https://image-cdn-ak.spotifycdn.com/image/ab67616d00001e02fe9d3ab9adb1d3b59835b81c"/>
    <b v="0"/>
  </r>
  <r>
    <n v="1189"/>
    <s v="spotify:track:6czM6UMQD9qE5GAUp68oud"/>
    <x v="754"/>
    <s v="Confident"/>
    <s v="RBMG/Def Jam"/>
    <n v="9"/>
    <n v="49"/>
    <d v="1899-12-30T04:07:00"/>
    <b v="0"/>
    <n v="74"/>
    <n v="56"/>
    <n v="91"/>
    <n v="11"/>
    <n v="11"/>
    <n v="0"/>
    <n v="20"/>
    <n v="89"/>
    <n v="134"/>
    <s v="Pop"/>
    <d v="2013-12-17T00:00:00"/>
    <s v="https://image-cdn-ak.spotifycdn.com/image/ab67616d00001e0286b35d0bfa6bbceed7541a3d"/>
    <b v="0"/>
  </r>
  <r>
    <n v="1189"/>
    <s v="spotify:track:6czM6UMQD9qE5GAUp68oud"/>
    <x v="2"/>
    <s v="Confident"/>
    <s v="RBMG/Def Jam"/>
    <n v="9"/>
    <n v="49"/>
    <d v="1899-12-30T04:07:00"/>
    <b v="0"/>
    <n v="74"/>
    <n v="56"/>
    <n v="91"/>
    <n v="11"/>
    <n v="11"/>
    <n v="0"/>
    <n v="20"/>
    <n v="89"/>
    <n v="134"/>
    <s v="Pop"/>
    <d v="2013-12-17T00:00:00"/>
    <s v="https://image-cdn-ak.spotifycdn.com/image/ab67616d00001e0286b35d0bfa6bbceed7541a3d"/>
    <b v="0"/>
  </r>
  <r>
    <n v="1190"/>
    <s v="spotify:track:6dBUzqjtbnIa1TwYbyw5CM"/>
    <x v="755"/>
    <s v="Lovers Rock"/>
    <s v="TV Girl"/>
    <n v="100"/>
    <n v="92"/>
    <d v="1899-12-30T03:22:00"/>
    <b v="0"/>
    <n v="56"/>
    <n v="87"/>
    <n v="91"/>
    <n v="4"/>
    <n v="0"/>
    <n v="1"/>
    <n v="10"/>
    <n v="57"/>
    <n v="105"/>
    <s v="Indie Pop"/>
    <d v="2014-06-10T00:00:00"/>
    <s v="https://image-cdn-ak.spotifycdn.com/image/ab67616d00001e02e1bc1af856b42dd7fdba9f84"/>
    <b v="0"/>
  </r>
  <r>
    <n v="1191"/>
    <s v="spotify:track:6dOtVTDdiauQNBQEDOtlAB"/>
    <x v="65"/>
    <s v="BIRDS OF A FEATHER"/>
    <s v="Darkroom/Interscope Records"/>
    <n v="1"/>
    <n v="124"/>
    <d v="1899-12-30T03:30:00"/>
    <b v="0"/>
    <n v="75"/>
    <n v="51"/>
    <n v="83"/>
    <n v="4"/>
    <n v="20"/>
    <n v="6"/>
    <n v="12"/>
    <n v="44"/>
    <n v="105"/>
    <s v="Pop"/>
    <d v="2024-05-17T00:00:00"/>
    <s v="https://image-cdn-ak.spotifycdn.com/image/ab67616d00001e0271d62ea7ea8a5be92d3c1f62"/>
    <b v="0"/>
  </r>
  <r>
    <n v="1192"/>
    <s v="spotify:track:6dgUya35uo964z7GZXM07g"/>
    <x v="124"/>
    <s v="Nonsense"/>
    <s v="Island Records"/>
    <n v="17"/>
    <n v="103"/>
    <d v="1899-12-30T02:44:00"/>
    <b v="0"/>
    <n v="74"/>
    <n v="70"/>
    <n v="92"/>
    <n v="3"/>
    <n v="3"/>
    <n v="0"/>
    <n v="22"/>
    <n v="73"/>
    <n v="139"/>
    <s v="Pop"/>
    <d v="2022-11-11T00:00:00"/>
    <s v="https://image-cdn-fa.spotifycdn.com/image/ab67616d00001e02700f7bf79c9f063ad0362bdf"/>
    <b v="0"/>
  </r>
  <r>
    <n v="1193"/>
    <s v="spotify:track:6eDApnV9Jdb1nYahOlbbUh"/>
    <x v="2"/>
    <s v="One Time"/>
    <s v="RBMG/Def Jam"/>
    <n v="108"/>
    <n v="1"/>
    <d v="1899-12-30T03:35:00"/>
    <b v="0"/>
    <n v="69"/>
    <n v="85"/>
    <n v="96"/>
    <n v="4"/>
    <n v="6"/>
    <n v="0"/>
    <n v="8"/>
    <n v="76"/>
    <n v="146"/>
    <s v="Pop"/>
    <d v="2009-05-18T00:00:00"/>
    <s v="https://image-cdn-ak.spotifycdn.com/image/ab67616d00001e027c3bb9f74a98f60bdda6c9a7"/>
    <b v="0"/>
  </r>
  <r>
    <n v="1194"/>
    <s v="spotify:track:6eIzQCYExfnNeM7KOlE3lE"/>
    <x v="756"/>
    <s v="Bara Bada Bastu"/>
    <s v="WM Sweden"/>
    <n v="88"/>
    <n v="1"/>
    <d v="1899-12-30T03:05:00"/>
    <b v="0"/>
    <n v="76"/>
    <n v="89"/>
    <n v="92"/>
    <n v="8"/>
    <n v="8"/>
    <n v="0"/>
    <n v="4"/>
    <n v="75"/>
    <n v="106"/>
    <s v="Pop"/>
    <d v="2025-02-14T00:00:00"/>
    <s v="https://image-cdn-ak.spotifycdn.com/image/ab67616d00001e0294a61362074a20e6dd69b59a"/>
    <b v="0"/>
  </r>
  <r>
    <n v="1195"/>
    <s v="spotify:track:6eLQXa6uk2EW8drsiKbABZ"/>
    <x v="256"/>
    <s v="TU SANCHO"/>
    <s v="Rancho Humilde/Street Mob Records/Sony Music Latin"/>
    <n v="11"/>
    <n v="55"/>
    <d v="1899-12-30T03:05:00"/>
    <b v="1"/>
    <n v="80"/>
    <n v="75"/>
    <n v="80"/>
    <n v="10"/>
    <n v="12"/>
    <n v="0"/>
    <n v="12"/>
    <n v="60"/>
    <n v="108"/>
    <s v="Regional Mexicano"/>
    <d v="2025-02-14T00:00:00"/>
    <s v="https://image-cdn-fa.spotifycdn.com/image/ab67616d00001e02a2e90fbdec84b25e46573469"/>
    <b v="0"/>
  </r>
  <r>
    <n v="1196"/>
    <s v="spotify:track:6eODMWDVi22dpEZJoqg5h7"/>
    <x v="375"/>
    <s v="Winter Wonderland"/>
    <s v="Vingolf Recordings"/>
    <n v="33"/>
    <n v="10"/>
    <d v="1899-12-30T02:48:00"/>
    <b v="0"/>
    <n v="52"/>
    <n v="50"/>
    <n v="73"/>
    <n v="3"/>
    <n v="55"/>
    <n v="0"/>
    <n v="15"/>
    <n v="72"/>
    <n v="120"/>
    <s v="Christmas"/>
    <d v="2024-11-01T00:00:00"/>
    <s v="https://image-cdn-ak.spotifycdn.com/image/ab67616d00001e02c6aea59379b5012bb5fae434"/>
    <b v="1"/>
  </r>
  <r>
    <n v="1197"/>
    <s v="spotify:track:6epn3r7S14KUqlReYr77hA"/>
    <x v="2"/>
    <s v="Baby"/>
    <s v="RBMG/Def Jam"/>
    <n v="6"/>
    <n v="22"/>
    <d v="1899-12-30T03:45:00"/>
    <b v="0"/>
    <n v="73"/>
    <n v="86"/>
    <n v="91"/>
    <n v="14"/>
    <n v="4"/>
    <n v="0"/>
    <n v="11"/>
    <n v="54"/>
    <n v="65"/>
    <s v="Pop"/>
    <d v="2010-01-18T00:00:00"/>
    <s v="https://image-cdn-ak.spotifycdn.com/image/ab67616d00001e02629dc9e2e3bc20bbd7d92e4a"/>
    <b v="0"/>
  </r>
  <r>
    <n v="1197"/>
    <s v="spotify:track:6epn3r7S14KUqlReYr77hA"/>
    <x v="757"/>
    <s v="Baby"/>
    <s v="RBMG/Def Jam"/>
    <n v="6"/>
    <n v="22"/>
    <d v="1899-12-30T03:45:00"/>
    <b v="0"/>
    <n v="73"/>
    <n v="86"/>
    <n v="91"/>
    <n v="14"/>
    <n v="4"/>
    <n v="0"/>
    <n v="11"/>
    <n v="54"/>
    <n v="65"/>
    <s v="Pop"/>
    <d v="2010-01-18T00:00:00"/>
    <s v="https://image-cdn-ak.spotifycdn.com/image/ab67616d00001e02629dc9e2e3bc20bbd7d92e4a"/>
    <b v="0"/>
  </r>
  <r>
    <n v="1199"/>
    <s v="spotify:track:6fl4Gu0lJm5hc8FM5JzCZD"/>
    <x v="299"/>
    <s v="ICONIC BY MISTAKE"/>
    <s v="BELIFT LAB"/>
    <n v="21"/>
    <n v="15"/>
    <s v="02:48:00"/>
    <b v="0"/>
    <n v="78"/>
    <n v="81"/>
    <n v="77"/>
    <n v="9"/>
    <n v="14"/>
    <n v="0"/>
    <n v="20"/>
    <n v="73"/>
    <n v="125"/>
    <s v="K-Pop"/>
    <s v="19/6/2026"/>
    <s v="https://image-cdn-ak.spotifycdn.com/image/ab67616d00001e0255886e2f0784a2b7b62b7fe7"/>
    <b v="0"/>
  </r>
  <r>
    <n v="1199"/>
    <s v="spotify:track:6fl4Gu0lJm5hc8FM5JzCZD"/>
    <x v="298"/>
    <s v="ICONIC BY MISTAKE"/>
    <s v="BELIFT LAB"/>
    <n v="21"/>
    <n v="15"/>
    <s v="02:48:00"/>
    <b v="0"/>
    <n v="78"/>
    <n v="81"/>
    <n v="77"/>
    <n v="9"/>
    <n v="14"/>
    <n v="0"/>
    <n v="20"/>
    <n v="73"/>
    <n v="125"/>
    <s v="K-Pop"/>
    <s v="19/6/2026"/>
    <s v="https://image-cdn-ak.spotifycdn.com/image/ab67616d00001e0255886e2f0784a2b7b62b7fe7"/>
    <b v="0"/>
  </r>
  <r>
    <n v="1199"/>
    <s v="spotify:track:6fl4Gu0lJm5hc8FM5JzCZD"/>
    <x v="340"/>
    <s v="ICONIC BY MISTAKE"/>
    <s v="BELIFT LAB"/>
    <n v="21"/>
    <n v="15"/>
    <s v="02:48:00"/>
    <b v="0"/>
    <n v="78"/>
    <n v="81"/>
    <n v="77"/>
    <n v="9"/>
    <n v="14"/>
    <n v="0"/>
    <n v="20"/>
    <n v="73"/>
    <n v="125"/>
    <s v="K-Pop"/>
    <s v="19/6/2026"/>
    <s v="https://image-cdn-ak.spotifycdn.com/image/ab67616d00001e0255886e2f0784a2b7b62b7fe7"/>
    <b v="0"/>
  </r>
  <r>
    <n v="1200"/>
    <s v="spotify:track:6fxVffaTuwjgEk5h9QyRjy"/>
    <x v="56"/>
    <s v="Photograph"/>
    <s v="Atlantic Records UK"/>
    <n v="41"/>
    <n v="223"/>
    <d v="1899-12-30T04:18:00"/>
    <b v="0"/>
    <n v="61"/>
    <n v="38"/>
    <n v="83"/>
    <n v="5"/>
    <n v="61"/>
    <n v="0"/>
    <n v="10"/>
    <n v="20"/>
    <n v="108"/>
    <s v="Pop"/>
    <d v="2014-06-20T00:00:00"/>
    <s v="https://image-cdn-ak.spotifycdn.com/image/ab67616d00001e02d08209944468440145f01524"/>
    <b v="0"/>
  </r>
  <r>
    <n v="1201"/>
    <s v="spotify:track:6gBFPUFcJLzWGx4lenP6h2"/>
    <x v="186"/>
    <s v="goosebumps"/>
    <s v="Cactus Jack / Epic"/>
    <n v="13"/>
    <n v="280"/>
    <d v="1899-12-30T04:03:00"/>
    <b v="1"/>
    <n v="84"/>
    <n v="73"/>
    <n v="94"/>
    <n v="5"/>
    <n v="8"/>
    <n v="0"/>
    <n v="15"/>
    <n v="43"/>
    <n v="130"/>
    <s v="Hip-Hop/Rap"/>
    <d v="2016-09-02T00:00:00"/>
    <s v="https://image-cdn-ak.spotifycdn.com/image/ab67616d00001e028752a7355996e64709247c53"/>
    <b v="0"/>
  </r>
  <r>
    <n v="1202"/>
    <s v="spotify:track:6gjkHuMOR0CrN7Vb2NoEdg"/>
    <x v="758"/>
    <s v="Anugerah Terindah"/>
    <s v="HITS Records"/>
    <n v="115"/>
    <n v="5"/>
    <d v="1899-12-30T03:48:00"/>
    <b v="0"/>
    <n v="59"/>
    <n v="34"/>
    <n v="87"/>
    <n v="3"/>
    <n v="75"/>
    <n v="0"/>
    <n v="10"/>
    <n v="21"/>
    <n v="110"/>
    <s v="Indie Pop"/>
    <d v="2024-08-16T00:00:00"/>
    <s v="https://image-cdn-ak.spotifycdn.com/image/ab67616d00001e023b83fd19945daf89d7cbfc00"/>
    <b v="0"/>
  </r>
  <r>
    <n v="1205"/>
    <s v="spotify:track:6hpuesKPNa3WhV48O7Fa47"/>
    <x v="759"/>
    <s v="SUPERESTRELLA"/>
    <s v="Universal Music Spain S.L."/>
    <n v="38"/>
    <n v="11"/>
    <s v="03:05:00"/>
    <b v="0"/>
    <n v="72"/>
    <n v="74"/>
    <n v="75"/>
    <n v="5"/>
    <n v="15"/>
    <n v="0"/>
    <n v="11"/>
    <n v="68"/>
    <n v="122"/>
    <s v="Pop"/>
    <s v="27/3/2026"/>
    <s v="https://image-cdn-fa.spotifycdn.com/image/ab67616d00001e02e9c382b5b9b3221428da47c2"/>
    <b v="0"/>
  </r>
  <r>
    <n v="1206"/>
    <s v="spotify:track:6iOndD4OFo7GkaDypWQIou"/>
    <x v="215"/>
    <s v="La Plena - W Sound 05"/>
    <s v="WEA Latina"/>
    <n v="5"/>
    <n v="75"/>
    <d v="1899-12-30T03:05:00"/>
    <b v="1"/>
    <n v="89"/>
    <n v="64"/>
    <n v="94"/>
    <n v="13"/>
    <n v="54"/>
    <n v="0"/>
    <n v="10"/>
    <n v="66"/>
    <n v="99"/>
    <s v="Reggaeton"/>
    <d v="2025-02-14T00:00:00"/>
    <s v="https://image-cdn-ak.spotifycdn.com/image/ab67616d00001e02c0353d023daf5ebda0eb003b"/>
    <b v="0"/>
  </r>
  <r>
    <n v="1206"/>
    <s v="spotify:track:6iOndD4OFo7GkaDypWQIou"/>
    <x v="144"/>
    <s v="La Plena - W Sound 05"/>
    <s v="WEA Latina"/>
    <n v="5"/>
    <n v="75"/>
    <d v="1899-12-30T03:05:00"/>
    <b v="1"/>
    <n v="89"/>
    <n v="64"/>
    <n v="94"/>
    <n v="13"/>
    <n v="54"/>
    <n v="0"/>
    <n v="10"/>
    <n v="66"/>
    <n v="99"/>
    <s v="Reggaeton"/>
    <d v="2025-02-14T00:00:00"/>
    <s v="https://image-cdn-ak.spotifycdn.com/image/ab67616d00001e02c0353d023daf5ebda0eb003b"/>
    <b v="0"/>
  </r>
  <r>
    <n v="1206"/>
    <s v="spotify:track:6iOndD4OFo7GkaDypWQIou"/>
    <x v="760"/>
    <s v="La Plena - W Sound 05"/>
    <s v="WEA Latina"/>
    <n v="5"/>
    <n v="75"/>
    <d v="1899-12-30T03:05:00"/>
    <b v="1"/>
    <n v="89"/>
    <n v="64"/>
    <n v="94"/>
    <n v="13"/>
    <n v="54"/>
    <n v="0"/>
    <n v="10"/>
    <n v="66"/>
    <n v="99"/>
    <s v="Reggaeton"/>
    <d v="2025-02-14T00:00:00"/>
    <s v="https://image-cdn-ak.spotifycdn.com/image/ab67616d00001e02c0353d023daf5ebda0eb003b"/>
    <b v="0"/>
  </r>
  <r>
    <n v="1207"/>
    <s v="spotify:track:6ifUES3keWjwXgae8pXI3o"/>
    <x v="648"/>
    <s v="Me Rehúso"/>
    <s v="Atlantic Records"/>
    <n v="20"/>
    <n v="116"/>
    <d v="1899-12-30T03:25:00"/>
    <b v="0"/>
    <n v="74"/>
    <n v="80"/>
    <n v="89"/>
    <n v="7"/>
    <n v="2"/>
    <n v="0"/>
    <n v="5"/>
    <n v="43"/>
    <n v="105"/>
    <s v="Reggaeton"/>
    <d v="2016-09-16T00:00:00"/>
    <s v="https://image-cdn-ak.spotifycdn.com/image/ab67616d00001e02d8243a13e6f41310a5fa7b96"/>
    <b v="0"/>
  </r>
  <r>
    <n v="1208"/>
    <s v="spotify:track:6iycYUk3oB0NPMdaDUrN1w"/>
    <x v="1"/>
    <s v="EVIL J0RDAN"/>
    <s v="AWGE/Interscope Records"/>
    <n v="2"/>
    <n v="5"/>
    <d v="1899-12-30T02:48:00"/>
    <b v="1"/>
    <n v="69"/>
    <n v="36"/>
    <n v="88"/>
    <n v="6"/>
    <n v="1"/>
    <n v="0"/>
    <n v="12"/>
    <n v="6"/>
    <n v="154"/>
    <s v="Hip-Hop/Rap"/>
    <d v="2025-03-14T00:00:00"/>
    <s v="https://image-cdn-fa.spotifycdn.com/image/ab67616d00001e026b219c8d8462bfe254a20469"/>
    <b v="0"/>
  </r>
  <r>
    <n v="1209"/>
    <s v="spotify:track:6jbYpRPTEFl1HFKHk1IC0m"/>
    <x v="462"/>
    <s v="Like Him (feat. Lola Young)"/>
    <s v="Columbia"/>
    <n v="27"/>
    <n v="35"/>
    <d v="1899-12-30T03:18:00"/>
    <b v="1"/>
    <n v="39"/>
    <n v="56"/>
    <n v="89"/>
    <n v="4"/>
    <n v="29"/>
    <n v="0"/>
    <n v="13"/>
    <n v="19"/>
    <n v="96"/>
    <s v="Hip-Hop/Rap"/>
    <d v="2024-10-28T00:00:00"/>
    <s v="https://image-cdn-ak.spotifycdn.com/image/ab67616d00001e02084a94988541c2402615d014"/>
    <b v="0"/>
  </r>
  <r>
    <n v="1209"/>
    <s v="spotify:track:6jbYpRPTEFl1HFKHk1IC0m"/>
    <x v="238"/>
    <s v="Like Him (feat. Lola Young)"/>
    <s v="Columbia"/>
    <n v="27"/>
    <n v="35"/>
    <d v="1899-12-30T03:18:00"/>
    <b v="1"/>
    <n v="39"/>
    <n v="56"/>
    <n v="89"/>
    <n v="4"/>
    <n v="29"/>
    <n v="0"/>
    <n v="13"/>
    <n v="19"/>
    <n v="96"/>
    <s v="Hip-Hop/Rap"/>
    <d v="2024-10-28T00:00:00"/>
    <s v="https://image-cdn-ak.spotifycdn.com/image/ab67616d00001e02084a94988541c2402615d014"/>
    <b v="0"/>
  </r>
  <r>
    <n v="1210"/>
    <s v="spotify:track:6jfiwkcwt8iYCdkbLukxeI"/>
    <x v="133"/>
    <s v="maggots for brains"/>
    <s v="Olivia Rodrigo PS"/>
    <n v="9"/>
    <n v="8"/>
    <s v="02:48:00"/>
    <b v="0"/>
    <n v="61"/>
    <n v="78"/>
    <n v="76"/>
    <n v="8"/>
    <n v="15"/>
    <n v="0"/>
    <n v="18"/>
    <n v="50"/>
    <n v="164"/>
    <s v="Indie Pop"/>
    <s v="12/6/2026"/>
    <s v="https://image-cdn-ak.spotifycdn.com/image/ab67616d00001e026949b83f85d782b21ce70583"/>
    <b v="0"/>
  </r>
  <r>
    <n v="1211"/>
    <s v="spotify:track:6koKhrBBcExADvWuOgceNZ"/>
    <x v="20"/>
    <s v="Open Arms (feat. Travis Scott)"/>
    <s v="Top Dawg Entertainment/RCA Records"/>
    <n v="82"/>
    <n v="11"/>
    <d v="1899-12-30T03:35:00"/>
    <b v="0"/>
    <n v="43"/>
    <n v="59"/>
    <n v="87"/>
    <n v="14"/>
    <n v="75"/>
    <n v="1"/>
    <n v="15"/>
    <n v="24"/>
    <n v="78"/>
    <s v="R&amp;B"/>
    <d v="2022-12-09T00:00:00"/>
    <s v="https://image-cdn-ak.spotifycdn.com/image/ab67616d00001e02c5276ed6cb0287df8d9be07f"/>
    <b v="0"/>
  </r>
  <r>
    <n v="1211"/>
    <s v="spotify:track:6koKhrBBcExADvWuOgceNZ"/>
    <x v="186"/>
    <s v="Open Arms (feat. Travis Scott)"/>
    <s v="Top Dawg Entertainment/RCA Records"/>
    <n v="82"/>
    <n v="11"/>
    <d v="1899-12-30T03:35:00"/>
    <b v="0"/>
    <n v="43"/>
    <n v="59"/>
    <n v="87"/>
    <n v="14"/>
    <n v="75"/>
    <n v="1"/>
    <n v="15"/>
    <n v="24"/>
    <n v="78"/>
    <s v="R&amp;B"/>
    <d v="2022-12-09T00:00:00"/>
    <s v="https://image-cdn-ak.spotifycdn.com/image/ab67616d00001e02c5276ed6cb0287df8d9be07f"/>
    <b v="0"/>
  </r>
  <r>
    <n v="1212"/>
    <s v="spotify:track:6lbhWl34Il0WXm5pX1fM9E"/>
    <x v="658"/>
    <s v="Up Down (Do This All Day) (feat. B.o.B)"/>
    <s v="Nappy Boy/Konvict Muzik/RCA Records"/>
    <n v="180"/>
    <n v="1"/>
    <d v="1899-12-30T04:03:00"/>
    <b v="1"/>
    <n v="78"/>
    <n v="50"/>
    <n v="89"/>
    <n v="6"/>
    <n v="26"/>
    <n v="0"/>
    <n v="30"/>
    <n v="46"/>
    <n v="97"/>
    <s v="Hip-Hop/Rap"/>
    <d v="2013-11-05T00:00:00"/>
    <s v="https://image-cdn-ak.spotifycdn.com/image/ab67616d00001e023d537424bb92aa2283f62595"/>
    <b v="0"/>
  </r>
  <r>
    <n v="1212"/>
    <s v="spotify:track:6lbhWl34Il0WXm5pX1fM9E"/>
    <x v="761"/>
    <s v="Up Down (Do This All Day) (feat. B.o.B)"/>
    <s v="Nappy Boy/Konvict Muzik/RCA Records"/>
    <n v="180"/>
    <n v="1"/>
    <d v="1899-12-30T04:03:00"/>
    <b v="1"/>
    <n v="78"/>
    <n v="50"/>
    <n v="89"/>
    <n v="6"/>
    <n v="26"/>
    <n v="0"/>
    <n v="30"/>
    <n v="46"/>
    <n v="97"/>
    <s v="Hip-Hop/Rap"/>
    <d v="2013-11-05T00:00:00"/>
    <s v="https://image-cdn-ak.spotifycdn.com/image/ab67616d00001e023d537424bb92aa2283f62595"/>
    <b v="0"/>
  </r>
  <r>
    <n v="1213"/>
    <s v="spotify:track:6me7F0aaZjwDo6RJ5MrfBD"/>
    <x v="762"/>
    <s v="Evergreen"/>
    <s v="Richy Mitch &amp; The Coal Miners"/>
    <n v="40"/>
    <n v="44"/>
    <d v="1899-12-30T04:05:00"/>
    <b v="0"/>
    <n v="56"/>
    <n v="22"/>
    <n v="81"/>
    <n v="7"/>
    <n v="56"/>
    <n v="0"/>
    <n v="11"/>
    <n v="50"/>
    <n v="79"/>
    <s v="Indie Folk"/>
    <d v="2017-08-11T00:00:00"/>
    <s v="https://image-cdn-ak.spotifycdn.com/image/ab67616d00001e021cc17bae5ee17cce117e198a"/>
    <b v="0"/>
  </r>
  <r>
    <n v="1214"/>
    <s v="spotify:track:6n9JMoXkXu4lDOu1k6MRpy"/>
    <x v="763"/>
    <s v="Reliquia do 2T"/>
    <s v="Sonar Music"/>
    <n v="167"/>
    <n v="2"/>
    <d v="1899-12-30T02:28:00"/>
    <b v="1"/>
    <n v="85"/>
    <n v="82"/>
    <n v="82"/>
    <n v="14"/>
    <n v="5"/>
    <n v="0"/>
    <n v="15"/>
    <n v="72"/>
    <n v="130"/>
    <s v="Funk Brasileiro"/>
    <d v="2025-05-16T00:00:00"/>
    <s v="https://image-cdn-ak.spotifycdn.com/image/ab67616d00001e02602f97feddd13e75029f2b8f"/>
    <b v="0"/>
  </r>
  <r>
    <n v="1214"/>
    <s v="spotify:track:6n9JMoXkXu4lDOu1k6MRpy"/>
    <x v="764"/>
    <s v="Reliquia do 2T"/>
    <s v="Sonar Music"/>
    <n v="167"/>
    <n v="2"/>
    <d v="1899-12-30T02:28:00"/>
    <b v="1"/>
    <n v="85"/>
    <n v="82"/>
    <n v="82"/>
    <n v="14"/>
    <n v="5"/>
    <n v="0"/>
    <n v="15"/>
    <n v="72"/>
    <n v="130"/>
    <s v="Funk Brasileiro"/>
    <d v="2025-05-16T00:00:00"/>
    <s v="https://image-cdn-ak.spotifycdn.com/image/ab67616d00001e02602f97feddd13e75029f2b8f"/>
    <b v="0"/>
  </r>
  <r>
    <n v="1214"/>
    <s v="spotify:track:6n9JMoXkXu4lDOu1k6MRpy"/>
    <x v="765"/>
    <s v="Reliquia do 2T"/>
    <s v="Sonar Music"/>
    <n v="167"/>
    <n v="2"/>
    <d v="1899-12-30T02:28:00"/>
    <b v="1"/>
    <n v="85"/>
    <n v="82"/>
    <n v="82"/>
    <n v="14"/>
    <n v="5"/>
    <n v="0"/>
    <n v="15"/>
    <n v="72"/>
    <n v="130"/>
    <s v="Funk Brasileiro"/>
    <d v="2025-05-16T00:00:00"/>
    <s v="https://image-cdn-ak.spotifycdn.com/image/ab67616d00001e02602f97feddd13e75029f2b8f"/>
    <b v="0"/>
  </r>
  <r>
    <n v="1214"/>
    <s v="spotify:track:6n9JMoXkXu4lDOu1k6MRpy"/>
    <x v="766"/>
    <s v="Reliquia do 2T"/>
    <s v="Sonar Music"/>
    <n v="167"/>
    <n v="2"/>
    <d v="1899-12-30T02:28:00"/>
    <b v="1"/>
    <n v="85"/>
    <n v="82"/>
    <n v="82"/>
    <n v="14"/>
    <n v="5"/>
    <n v="0"/>
    <n v="15"/>
    <n v="72"/>
    <n v="130"/>
    <s v="Funk Brasileiro"/>
    <d v="2025-05-16T00:00:00"/>
    <s v="https://image-cdn-ak.spotifycdn.com/image/ab67616d00001e02602f97feddd13e75029f2b8f"/>
    <b v="0"/>
  </r>
  <r>
    <n v="1214"/>
    <s v="spotify:track:6n9JMoXkXu4lDOu1k6MRpy"/>
    <x v="45"/>
    <s v="Reliquia do 2T"/>
    <s v="Sonar Music"/>
    <n v="167"/>
    <n v="2"/>
    <d v="1899-12-30T02:28:00"/>
    <b v="1"/>
    <n v="85"/>
    <n v="82"/>
    <n v="82"/>
    <n v="14"/>
    <n v="5"/>
    <n v="0"/>
    <n v="15"/>
    <n v="72"/>
    <n v="130"/>
    <s v="Funk Brasileiro"/>
    <d v="2025-05-16T00:00:00"/>
    <s v="https://image-cdn-ak.spotifycdn.com/image/ab67616d00001e02602f97feddd13e75029f2b8f"/>
    <b v="0"/>
  </r>
  <r>
    <n v="1214"/>
    <s v="spotify:track:6n9JMoXkXu4lDOu1k6MRpy"/>
    <x v="767"/>
    <s v="Reliquia do 2T"/>
    <s v="Sonar Music"/>
    <n v="167"/>
    <n v="2"/>
    <d v="1899-12-30T02:28:00"/>
    <b v="1"/>
    <n v="85"/>
    <n v="82"/>
    <n v="82"/>
    <n v="14"/>
    <n v="5"/>
    <n v="0"/>
    <n v="15"/>
    <n v="72"/>
    <n v="130"/>
    <s v="Funk Brasileiro"/>
    <d v="2025-05-16T00:00:00"/>
    <s v="https://image-cdn-ak.spotifycdn.com/image/ab67616d00001e02602f97feddd13e75029f2b8f"/>
    <b v="0"/>
  </r>
  <r>
    <n v="1216"/>
    <s v="spotify:track:6oVxXO5oQ4pTpO8RSnkzvv"/>
    <x v="19"/>
    <s v="Dress"/>
    <s v="Taylor Swift"/>
    <n v="136"/>
    <n v="1"/>
    <d v="1899-12-30T03:50:00"/>
    <b v="0"/>
    <n v="72"/>
    <n v="47"/>
    <n v="85"/>
    <n v="5"/>
    <n v="3"/>
    <n v="0"/>
    <n v="17"/>
    <n v="9"/>
    <n v="120"/>
    <s v="Pop"/>
    <d v="2017-11-10T00:00:00"/>
    <s v="https://image-cdn-fa.spotifycdn.com/image/ab67616d00001e02da5d5aeeabacacc1263c0f4b"/>
    <b v="0"/>
  </r>
  <r>
    <n v="1218"/>
    <s v="spotify:track:6ouhsRJ7gExB7LCYjITk4Y"/>
    <x v="289"/>
    <s v="Diet Pepsi"/>
    <s v="Columbia"/>
    <n v="32"/>
    <n v="26"/>
    <d v="1899-12-30T02:48:00"/>
    <b v="0"/>
    <n v="67"/>
    <n v="56"/>
    <n v="89"/>
    <n v="4"/>
    <n v="50"/>
    <n v="1"/>
    <n v="10"/>
    <n v="84"/>
    <n v="150"/>
    <s v="Pop"/>
    <d v="2024-08-16T00:00:00"/>
    <s v="https://image-cdn-ak.spotifycdn.com/image/ab67616d00001e02089511953028cbfeb095c593"/>
    <b v="0"/>
  </r>
  <r>
    <n v="1219"/>
    <s v="spotify:track:6p0Ai6wRjz9CmjqkhoKOwf"/>
    <x v="53"/>
    <s v="Road Trips"/>
    <s v="OVO/Republic"/>
    <n v="150"/>
    <n v="1"/>
    <s v="03:18:00"/>
    <b v="1"/>
    <n v="79"/>
    <n v="59"/>
    <n v="73"/>
    <n v="27"/>
    <n v="26"/>
    <n v="0"/>
    <n v="11"/>
    <n v="48"/>
    <n v="126"/>
    <s v="Hip-Hop/Rap"/>
    <s v="22/5/2026"/>
    <s v="https://image-cdn-ak.spotifycdn.com/image/ab67616d00001e02539bb112d7c970545dd971e3"/>
    <b v="0"/>
  </r>
  <r>
    <n v="1220"/>
    <s v="spotify:track:6pVW5LRWgeLaHudxauOTJU"/>
    <x v="768"/>
    <s v="Jingle Bell Rock - Daryl's Version"/>
    <s v="Legacy Recordings"/>
    <n v="44"/>
    <n v="21"/>
    <d v="1899-12-30T02:04:00"/>
    <b v="0"/>
    <n v="55"/>
    <n v="55"/>
    <n v="74"/>
    <n v="4"/>
    <n v="55"/>
    <n v="0"/>
    <n v="15"/>
    <n v="78"/>
    <n v="125"/>
    <s v="Christmas"/>
    <d v="1983-11-01T00:00:00"/>
    <s v="https://image-cdn-ak.spotifycdn.com/image/ab67616d00001e02758f7f6791ee819e6c2999b4"/>
    <b v="1"/>
  </r>
  <r>
    <n v="1221"/>
    <s v="spotify:track:6pheMGrfMwwnypqafU7d4k"/>
    <x v="174"/>
    <s v="Run Rudolph Run - Spotify Singles Holiday"/>
    <s v="Hundred Days Records, LLC"/>
    <n v="46"/>
    <n v="3"/>
    <d v="1899-12-30T02:38:00"/>
    <b v="0"/>
    <n v="62"/>
    <n v="62"/>
    <n v="77"/>
    <n v="5"/>
    <n v="30"/>
    <n v="0"/>
    <n v="14"/>
    <n v="78"/>
    <n v="130"/>
    <s v="Christmas"/>
    <d v="2023-11-10T00:00:00"/>
    <s v="https://image-cdn-ak.spotifycdn.com/image/ab67616d00001e02bd23af25b9cf738eb1abb755"/>
    <b v="1"/>
  </r>
  <r>
    <n v="1222"/>
    <s v="spotify:track:6pk6E0SZxILzfaAGFngxEs"/>
    <x v="37"/>
    <s v="Willing and Able"/>
    <s v="Mercury Records"/>
    <n v="95"/>
    <n v="2"/>
    <s v="03:48:00"/>
    <b v="0"/>
    <n v="63"/>
    <n v="47"/>
    <n v="70"/>
    <n v="4"/>
    <n v="53"/>
    <n v="0"/>
    <n v="10"/>
    <n v="38"/>
    <n v="116"/>
    <s v="Indie Folk"/>
    <s v="3/4/2026"/>
    <s v="https://image-cdn-ak.spotifycdn.com/image/ab67616d00001e02d879855b819250d3d00a1a38"/>
    <b v="0"/>
  </r>
  <r>
    <n v="1223"/>
    <s v="spotify:track:6q2PbvM9UEig4r8xku7VIb"/>
    <x v="1"/>
    <s v="HBA"/>
    <s v="AWGE/Interscope Records"/>
    <n v="59"/>
    <n v="1"/>
    <d v="1899-12-30T02:48:00"/>
    <b v="1"/>
    <n v="69"/>
    <n v="75"/>
    <n v="91"/>
    <n v="12"/>
    <n v="0"/>
    <n v="0"/>
    <n v="14"/>
    <n v="28"/>
    <n v="140"/>
    <s v="Hip-Hop/Rap"/>
    <d v="2025-03-14T00:00:00"/>
    <s v="https://image-cdn-ak.spotifycdn.com/image/ab67616d00001e026b219c8d8462bfe254a20469"/>
    <b v="0"/>
  </r>
  <r>
    <n v="1225"/>
    <s v="spotify:track:6r6IPuFvUX72kQGc9b46rk"/>
    <x v="769"/>
    <s v="Amor"/>
    <s v="RC Music"/>
    <n v="103"/>
    <n v="15"/>
    <s v="03:05:00"/>
    <b v="0"/>
    <n v="60"/>
    <n v="44"/>
    <n v="69"/>
    <n v="4"/>
    <n v="68"/>
    <n v="0"/>
    <n v="11"/>
    <n v="39"/>
    <n v="96"/>
    <s v="Indie Pop"/>
    <s v="13/6/2025"/>
    <s v="https://image-cdn-ak.spotifycdn.com/image/ab67616d00001e02c6c1db32c9b68f4659795763"/>
    <b v="0"/>
  </r>
  <r>
    <n v="1226"/>
    <s v="spotify:track:6rY5FAWxCdAGllYEOZMbjW"/>
    <x v="201"/>
    <s v="SLOW DANCING IN THE DARK"/>
    <s v="88rising Music"/>
    <n v="75"/>
    <n v="42"/>
    <d v="1899-12-30T03:29:00"/>
    <b v="1"/>
    <n v="52"/>
    <n v="48"/>
    <n v="88"/>
    <n v="3"/>
    <n v="54"/>
    <n v="1"/>
    <n v="19"/>
    <n v="28"/>
    <n v="89"/>
    <s v="R&amp;B"/>
    <d v="2018-09-12T00:00:00"/>
    <s v="https://image-cdn-ak.spotifycdn.com/image/ab67616d00001e024cc52cd7a712842234e4fce2"/>
    <b v="0"/>
  </r>
  <r>
    <n v="1227"/>
    <s v="spotify:track:6rlU0kRQNjMZ7t5I92yCIi"/>
    <x v="37"/>
    <s v="Dashboard"/>
    <s v="Mercury Records"/>
    <n v="52"/>
    <n v="2"/>
    <s v="03:48:00"/>
    <b v="0"/>
    <n v="60"/>
    <n v="51"/>
    <n v="71"/>
    <n v="5"/>
    <n v="48"/>
    <n v="0"/>
    <n v="12"/>
    <n v="46"/>
    <n v="132"/>
    <s v="Indie Folk"/>
    <s v="3/4/2026"/>
    <s v="https://image-cdn-ak.spotifycdn.com/image/ab67616d00001e02d879855b819250d3d00a1a38"/>
    <b v="0"/>
  </r>
  <r>
    <n v="1228"/>
    <s v="spotify:track:6s1kzj4EbhFLXbuAGJbhbn"/>
    <x v="770"/>
    <s v="Barbie"/>
    <s v="Sonar Music"/>
    <n v="39"/>
    <n v="11"/>
    <d v="1899-12-30T02:28:00"/>
    <b v="0"/>
    <n v="96"/>
    <n v="42"/>
    <n v="86"/>
    <n v="43"/>
    <n v="71"/>
    <n v="0"/>
    <n v="10"/>
    <n v="72"/>
    <n v="127"/>
    <s v="Funk Brasileiro"/>
    <d v="2025-03-14T00:00:00"/>
    <s v="https://image-cdn-ak.spotifycdn.com/image/ab67616d00001e02f412f43fad4c3ffab163287c"/>
    <b v="0"/>
  </r>
  <r>
    <n v="1228"/>
    <s v="spotify:track:6s1kzj4EbhFLXbuAGJbhbn"/>
    <x v="45"/>
    <s v="Barbie"/>
    <s v="Sonar Music"/>
    <n v="39"/>
    <n v="11"/>
    <d v="1899-12-30T02:28:00"/>
    <b v="0"/>
    <n v="96"/>
    <n v="42"/>
    <n v="86"/>
    <n v="43"/>
    <n v="71"/>
    <n v="0"/>
    <n v="10"/>
    <n v="72"/>
    <n v="127"/>
    <s v="Funk Brasileiro"/>
    <d v="2025-03-14T00:00:00"/>
    <s v="https://image-cdn-ak.spotifycdn.com/image/ab67616d00001e02f412f43fad4c3ffab163287c"/>
    <b v="0"/>
  </r>
  <r>
    <n v="1229"/>
    <s v="spotify:track:6s2wpWPFPAgKg2LXxi1Oee"/>
    <x v="771"/>
    <s v="Santa Claus Is Comin' to Town - Live at C.W. Post College, Greenvale, NY - December 1975"/>
    <s v="NITRON concepts"/>
    <n v="43"/>
    <n v="16"/>
    <d v="1899-12-30T04:35:00"/>
    <b v="0"/>
    <n v="58"/>
    <n v="68"/>
    <n v="78"/>
    <n v="4"/>
    <n v="25"/>
    <n v="0"/>
    <n v="14"/>
    <n v="78"/>
    <n v="120"/>
    <s v="Christmas"/>
    <d v="1981-11-01T00:00:00"/>
    <s v="https://image-cdn-ak.spotifycdn.com/image/ab67616d00001e026a68798b2ac41fde44823eb5"/>
    <b v="1"/>
  </r>
  <r>
    <n v="1230"/>
    <s v="spotify:track:6s3w7SUVtmm68Bw5KrKMh0"/>
    <x v="69"/>
    <s v="One More Night"/>
    <s v="BIGHIT MUSIC"/>
    <n v="14"/>
    <n v="8"/>
    <s v="03:18:00"/>
    <b v="0"/>
    <n v="72"/>
    <n v="63"/>
    <n v="73"/>
    <n v="5"/>
    <n v="27"/>
    <n v="0"/>
    <n v="10"/>
    <n v="57"/>
    <n v="110"/>
    <s v="K-Pop"/>
    <s v="20/3/2026"/>
    <s v="https://image-cdn-ak.spotifycdn.com/image/ab67616d00001e02dfa17fad7f190c901603270e"/>
    <b v="0"/>
  </r>
  <r>
    <n v="1231"/>
    <s v="spotify:track:6s8WSX1MxNThrot8ThI6fG"/>
    <x v="186"/>
    <s v="4X4"/>
    <s v="Cactus Jack / Epic"/>
    <n v="19"/>
    <n v="4"/>
    <d v="1899-12-30T03:18:00"/>
    <b v="1"/>
    <n v="62"/>
    <n v="85"/>
    <n v="95"/>
    <n v="5"/>
    <n v="4"/>
    <n v="0"/>
    <n v="79"/>
    <n v="22"/>
    <n v="143"/>
    <s v="Hip-Hop/Rap"/>
    <d v="2025-01-24T00:00:00"/>
    <s v="https://image-cdn-ak.spotifycdn.com/image/ab67616d00001e02b03d28fd5a76c2c30e7ac288"/>
    <b v="0"/>
  </r>
  <r>
    <n v="1232"/>
    <s v="spotify:track:6sGIMrtIzQjdzNndVxe397"/>
    <x v="77"/>
    <s v="So Easy (To Fall In Love)"/>
    <s v="PLG - Capitol"/>
    <n v="6"/>
    <n v="53"/>
    <d v="1899-12-30T03:05:00"/>
    <b v="0"/>
    <n v="62"/>
    <n v="65"/>
    <n v="76"/>
    <n v="5"/>
    <n v="35"/>
    <n v="0"/>
    <n v="10"/>
    <n v="52"/>
    <n v="95"/>
    <s v="Pop"/>
    <d v="2024-10-18T00:00:00"/>
    <s v="https://image-cdn-ak.spotifycdn.com/image/ab67616d00001e029a336bfb6d40bbd90a507417"/>
    <b v="0"/>
  </r>
  <r>
    <n v="1235"/>
    <s v="spotify:track:6uiQ0DqbXTBc8tl0AUKZkR"/>
    <x v="772"/>
    <s v="TU VAS SIN (fav)"/>
    <s v="DALE PLAY Records / Flakk Team"/>
    <n v="28"/>
    <n v="35"/>
    <d v="1899-12-30T03:18:00"/>
    <b v="0"/>
    <n v="62"/>
    <n v="62"/>
    <n v="76"/>
    <n v="6"/>
    <n v="30"/>
    <n v="0"/>
    <n v="10"/>
    <n v="52"/>
    <n v="95"/>
    <s v="Indie Pop"/>
    <d v="2024-11-15T00:00:00"/>
    <s v="https://image-cdn-ak.spotifycdn.com/image/ab67616d00001e020e409fad9527196e73e423ba"/>
    <b v="0"/>
  </r>
  <r>
    <n v="1236"/>
    <s v="spotify:track:6uroNiDEDd0xFLiri0aQNk"/>
    <x v="773"/>
    <s v="Triple Lavada"/>
    <s v="ESAU ORTIZ AZUARA/Sony Music Latin"/>
    <n v="64"/>
    <n v="10"/>
    <d v="1899-12-30T03:05:00"/>
    <b v="1"/>
    <n v="80"/>
    <n v="75"/>
    <n v="80"/>
    <n v="10"/>
    <n v="12"/>
    <n v="0"/>
    <n v="12"/>
    <n v="60"/>
    <n v="108"/>
    <s v="Regional Mexicano"/>
    <d v="2025-04-25T00:00:00"/>
    <s v="https://image-cdn-ak.spotifycdn.com/image/ab67616d00001e02c4bae404f4bbdd3272717a2b"/>
    <b v="0"/>
  </r>
  <r>
    <n v="1237"/>
    <s v="spotify:track:6uvw8GFIqdqaJ4Nr3kN8Rs"/>
    <x v="69"/>
    <s v="Come Over"/>
    <s v="BIGHIT MUSIC"/>
    <n v="20"/>
    <n v="5"/>
    <s v="03:18:00"/>
    <b v="0"/>
    <n v="76"/>
    <n v="58"/>
    <n v="72"/>
    <n v="6"/>
    <n v="31"/>
    <n v="0"/>
    <n v="13"/>
    <n v="64"/>
    <n v="102"/>
    <s v="K-Pop"/>
    <s v="20/3/2026"/>
    <s v="https://image-cdn-ak.spotifycdn.com/image/ab67616d00001e02df7118c4f396e50961cc0e74"/>
    <b v="0"/>
  </r>
  <r>
    <n v="1238"/>
    <s v="spotify:track:6v5qt5KPQHJt5ckWuhDGtM"/>
    <x v="774"/>
    <s v="El Mayor De Los Ranas"/>
    <s v="Vim Music"/>
    <n v="109"/>
    <n v="10"/>
    <d v="1899-12-30T03:05:00"/>
    <b v="1"/>
    <n v="84"/>
    <n v="76"/>
    <n v="92"/>
    <n v="7"/>
    <n v="30"/>
    <n v="0"/>
    <n v="4"/>
    <n v="89"/>
    <n v="91"/>
    <s v="Regional Mexicano"/>
    <d v="2025-05-16T00:00:00"/>
    <s v="https://image-cdn-ak.spotifycdn.com/image/ab67616d00001e02d9f261d933613dbfc199328a"/>
    <b v="0"/>
  </r>
  <r>
    <n v="1238"/>
    <s v="spotify:track:6v5qt5KPQHJt5ckWuhDGtM"/>
    <x v="775"/>
    <s v="El Mayor De Los Ranas"/>
    <s v="Vim Music"/>
    <n v="109"/>
    <n v="10"/>
    <d v="1899-12-30T03:05:00"/>
    <b v="1"/>
    <n v="84"/>
    <n v="76"/>
    <n v="92"/>
    <n v="7"/>
    <n v="30"/>
    <n v="0"/>
    <n v="4"/>
    <n v="89"/>
    <n v="91"/>
    <s v="Regional Mexicano"/>
    <d v="2025-05-16T00:00:00"/>
    <s v="https://image-cdn-ak.spotifycdn.com/image/ab67616d00001e02d9f261d933613dbfc199328a"/>
    <b v="0"/>
  </r>
  <r>
    <n v="1239"/>
    <s v="spotify:track:6vAg7qqbiIrQhQtxPegLw1"/>
    <x v="53"/>
    <s v="High Fives"/>
    <s v="OVO/Republic"/>
    <n v="190"/>
    <n v="1"/>
    <s v="03:18:00"/>
    <b v="1"/>
    <n v="82"/>
    <n v="62"/>
    <n v="74"/>
    <n v="19"/>
    <n v="21"/>
    <n v="0"/>
    <n v="13"/>
    <n v="57"/>
    <n v="118"/>
    <s v="Hip-Hop/Rap"/>
    <s v="22/5/2026"/>
    <s v="https://image-cdn-ak.spotifycdn.com/image/ab67616d00001e02b92879e45761d711016476df"/>
    <b v="0"/>
  </r>
  <r>
    <n v="1241"/>
    <s v="spotify:track:6vjpQIdABqntoe3zPazPec"/>
    <x v="53"/>
    <s v="Shabang"/>
    <s v="OVO/Republic"/>
    <n v="11"/>
    <n v="6"/>
    <s v="03:18:00"/>
    <b v="1"/>
    <n v="85"/>
    <n v="65"/>
    <n v="73"/>
    <n v="23"/>
    <n v="15"/>
    <n v="0"/>
    <n v="10"/>
    <n v="62"/>
    <n v="130"/>
    <s v="Hip-Hop/Rap"/>
    <s v="22/5/2026"/>
    <s v="https://image-cdn-ak.spotifycdn.com/image/ab67616d00001e02fe9d3ab9adb1d3b59835b81c"/>
    <b v="0"/>
  </r>
  <r>
    <n v="1242"/>
    <s v="spotify:track:6vjt2smGK75oc9r2OGFfgp"/>
    <x v="297"/>
    <s v="LEMONADE"/>
    <s v="SM Entertainment"/>
    <n v="64"/>
    <n v="2"/>
    <s v="02:48:00"/>
    <b v="0"/>
    <n v="79"/>
    <n v="78"/>
    <n v="75"/>
    <n v="8"/>
    <n v="12"/>
    <n v="0"/>
    <n v="16"/>
    <n v="76"/>
    <n v="125"/>
    <s v="K-Pop"/>
    <s v="27/2/2026"/>
    <s v="https://image-cdn-fa.spotifycdn.com/image/ab67616d00001e025f0171c63cceb32ccff8b9a9"/>
    <b v="0"/>
  </r>
  <r>
    <n v="1243"/>
    <s v="spotify:track:6vqyk3mbDBv3npTpctYoka"/>
    <x v="56"/>
    <s v="Camera"/>
    <s v="Gingerbread Man Records / Atlantic Records UK"/>
    <n v="165"/>
    <n v="1"/>
    <s v="03:05:00"/>
    <b v="0"/>
    <n v="56"/>
    <n v="38"/>
    <n v="68"/>
    <n v="4"/>
    <n v="73"/>
    <n v="0"/>
    <n v="10"/>
    <n v="33"/>
    <n v="82"/>
    <s v="Pop"/>
    <s v="12/9/2025"/>
    <s v="https://image-cdn-ak.spotifycdn.com/image/ab67616d00001e02b07c28bb3192bdfb585fb438"/>
    <b v="0"/>
  </r>
  <r>
    <n v="1244"/>
    <s v="spotify:track:6wHpLMmp98aHcV8L1JFrj8"/>
    <x v="169"/>
    <s v="Eternity"/>
    <s v="Atlantic Records"/>
    <n v="12"/>
    <n v="16"/>
    <d v="1899-12-30T03:08:00"/>
    <b v="0"/>
    <n v="62"/>
    <n v="60"/>
    <n v="75"/>
    <n v="5"/>
    <n v="40"/>
    <n v="0"/>
    <n v="10"/>
    <n v="52"/>
    <n v="95"/>
    <s v="Pop"/>
    <d v="2025-02-07T00:00:00"/>
    <s v="https://image-cdn-ak.spotifycdn.com/image/ab67616d00001e02d6371b93dc556ff52b4cd945"/>
    <b v="0"/>
  </r>
  <r>
    <n v="1245"/>
    <s v="spotify:track:6wf7Yu7cxBSPrRlWeSeK0Q"/>
    <x v="65"/>
    <s v="What Was I Made For? [From The Motion Picture &quot;Barbie&quot;]"/>
    <s v="Darkroom/Interscope Records"/>
    <n v="3"/>
    <n v="71"/>
    <d v="1899-12-30T03:42:00"/>
    <b v="0"/>
    <n v="39"/>
    <n v="8"/>
    <n v="70"/>
    <n v="3"/>
    <n v="95"/>
    <n v="0"/>
    <n v="10"/>
    <n v="11"/>
    <n v="79"/>
    <s v="Pop"/>
    <d v="2023-07-13T00:00:00"/>
    <s v="https://image-cdn-ak.spotifycdn.com/image/ab67616d00001e02ed317ec13d3de9e01fb99c9e"/>
    <b v="0"/>
  </r>
  <r>
    <n v="1246"/>
    <s v="spotify:track:6wkYQMrFfb0huLB5Qn19Iv"/>
    <x v="124"/>
    <s v="We Almost Broke Up Again Last Night"/>
    <s v="Island Records"/>
    <n v="27"/>
    <n v="2"/>
    <s v="03:05:00"/>
    <b v="0"/>
    <n v="59"/>
    <n v="46"/>
    <n v="70"/>
    <n v="4"/>
    <n v="62"/>
    <n v="0"/>
    <n v="13"/>
    <n v="38"/>
    <n v="96"/>
    <s v="Pop"/>
    <s v="29/8/2025"/>
    <s v="https://image-cdn-ak.spotifycdn.com/image/ab67616d00001e02b1863bf95557ea7f357c4947"/>
    <b v="0"/>
  </r>
  <r>
    <n v="1247"/>
    <s v="spotify:track:6x59lSlNU7TvsJZy7134uC"/>
    <x v="256"/>
    <s v="ROSONES"/>
    <s v="Street Mob Records"/>
    <n v="96"/>
    <n v="14"/>
    <d v="1899-12-30T03:05:00"/>
    <b v="1"/>
    <n v="75"/>
    <n v="87"/>
    <n v="93"/>
    <n v="3"/>
    <n v="16"/>
    <n v="0"/>
    <n v="30"/>
    <n v="83"/>
    <n v="120"/>
    <s v="Regional Mexicano"/>
    <d v="2025-05-16T00:00:00"/>
    <s v="https://image-cdn-fa.spotifycdn.com/image/ab67616d00001e023ad59c0dc625065abeef8bed"/>
    <b v="0"/>
  </r>
  <r>
    <n v="1247"/>
    <s v="spotify:track:6x59lSlNU7TvsJZy7134uC"/>
    <x v="670"/>
    <s v="ROSONES"/>
    <s v="Street Mob Records"/>
    <n v="96"/>
    <n v="14"/>
    <d v="1899-12-30T03:05:00"/>
    <b v="1"/>
    <n v="75"/>
    <n v="87"/>
    <n v="93"/>
    <n v="3"/>
    <n v="16"/>
    <n v="0"/>
    <n v="30"/>
    <n v="83"/>
    <n v="120"/>
    <s v="Regional Mexicano"/>
    <d v="2025-05-16T00:00:00"/>
    <s v="https://image-cdn-fa.spotifycdn.com/image/ab67616d00001e023ad59c0dc625065abeef8bed"/>
    <b v="0"/>
  </r>
  <r>
    <n v="1248"/>
    <s v="spotify:track:6xV7Be6XEvkSnighmh2Tzj"/>
    <x v="238"/>
    <s v="Sugar On My Tongue"/>
    <s v="Columbia"/>
    <n v="15"/>
    <n v="19"/>
    <s v="03:18:00"/>
    <b v="1"/>
    <n v="79"/>
    <n v="59"/>
    <n v="72"/>
    <n v="16"/>
    <n v="29"/>
    <n v="0"/>
    <n v="11"/>
    <n v="61"/>
    <n v="108"/>
    <s v="Hip-Hop/Rap"/>
    <s v="18/7/2025"/>
    <s v="https://image-cdn-ak.spotifycdn.com/image/ab67616d00001e024b7fbb849ed845ddedcce346"/>
    <b v="0"/>
  </r>
  <r>
    <n v="1250"/>
    <s v="spotify:track:6xwKNAUHeo2DbWNAPi8aEy"/>
    <x v="192"/>
    <s v="Jaiye Sajana"/>
    <s v="T-Series"/>
    <n v="75"/>
    <n v="3"/>
    <s v="03:48:00"/>
    <b v="0"/>
    <n v="64"/>
    <n v="55"/>
    <n v="71"/>
    <n v="5"/>
    <n v="52"/>
    <n v="0"/>
    <n v="12"/>
    <n v="48"/>
    <n v="96"/>
    <s v="Bollywood"/>
    <s v="13/3/2026"/>
    <s v="https://image-cdn-fa.spotifycdn.com/image/ab67616d00001e024c3eeb98521e02693a46d6db"/>
    <b v="0"/>
  </r>
  <r>
    <n v="1250"/>
    <s v="spotify:track:6xwKNAUHeo2DbWNAPi8aEy"/>
    <x v="776"/>
    <s v="Jaiye Sajana"/>
    <s v="T-Series"/>
    <n v="75"/>
    <n v="3"/>
    <s v="03:48:00"/>
    <b v="0"/>
    <n v="64"/>
    <n v="55"/>
    <n v="71"/>
    <n v="5"/>
    <n v="52"/>
    <n v="0"/>
    <n v="12"/>
    <n v="48"/>
    <n v="96"/>
    <s v="Bollywood"/>
    <s v="13/3/2026"/>
    <s v="https://image-cdn-fa.spotifycdn.com/image/ab67616d00001e024c3eeb98521e02693a46d6db"/>
    <b v="0"/>
  </r>
  <r>
    <n v="1250"/>
    <s v="spotify:track:6xwKNAUHeo2DbWNAPi8aEy"/>
    <x v="195"/>
    <s v="Jaiye Sajana"/>
    <s v="T-Series"/>
    <n v="75"/>
    <n v="3"/>
    <s v="03:48:00"/>
    <b v="0"/>
    <n v="64"/>
    <n v="55"/>
    <n v="71"/>
    <n v="5"/>
    <n v="52"/>
    <n v="0"/>
    <n v="12"/>
    <n v="48"/>
    <n v="96"/>
    <s v="Bollywood"/>
    <s v="13/3/2026"/>
    <s v="https://image-cdn-fa.spotifycdn.com/image/ab67616d00001e024c3eeb98521e02693a46d6db"/>
    <b v="0"/>
  </r>
  <r>
    <n v="1252"/>
    <s v="spotify:track:6zJ68ym0Buv2TpuUu8tw9A"/>
    <x v="206"/>
    <s v="HELICOPTER"/>
    <s v="A$AP Worldwide/RCA Records"/>
    <n v="49"/>
    <n v="1"/>
    <s v="03:18:00"/>
    <b v="1"/>
    <n v="78"/>
    <n v="69"/>
    <n v="74"/>
    <n v="22"/>
    <n v="15"/>
    <n v="0"/>
    <n v="18"/>
    <n v="49"/>
    <n v="136"/>
    <s v="Hip-Hop/Rap"/>
    <s v="16/1/2026"/>
    <s v="https://image-cdn-ak.spotifycdn.com/image/ab67616d00001e02be35d523672e13da3debc413"/>
    <b v="0"/>
  </r>
  <r>
    <n v="1253"/>
    <s v="spotify:track:6zZvy88xp6FIjJKhqwnJeQ"/>
    <x v="53"/>
    <s v="WNBA"/>
    <s v="OVO/Republic"/>
    <n v="93"/>
    <n v="1"/>
    <s v="03:18:00"/>
    <b v="1"/>
    <n v="78"/>
    <n v="58"/>
    <n v="72"/>
    <n v="31"/>
    <n v="28"/>
    <n v="0"/>
    <n v="12"/>
    <n v="41"/>
    <n v="135"/>
    <s v="Hip-Hop/Rap"/>
    <s v="22/5/2026"/>
    <s v="https://image-cdn-ak.spotifycdn.com/image/ab67616d00001e02b92879e45761d711016476df"/>
    <b v="0"/>
  </r>
  <r>
    <n v="1254"/>
    <s v="spotify:track:70LcF31zb1H0PyJoS1Sx1r"/>
    <x v="187"/>
    <s v="Creep"/>
    <s v="XL Recordings"/>
    <n v="27"/>
    <n v="148"/>
    <d v="1899-12-30T03:58:00"/>
    <b v="1"/>
    <n v="52"/>
    <n v="43"/>
    <n v="83"/>
    <n v="4"/>
    <n v="1"/>
    <n v="0"/>
    <n v="13"/>
    <n v="10"/>
    <n v="92"/>
    <s v="Alternative"/>
    <d v="1992-09-21T00:00:00"/>
    <s v="https://image-cdn-ak.spotifycdn.com/image/ab67616d00001e02ec548c00d3ac2f10be73366d"/>
    <b v="0"/>
  </r>
  <r>
    <n v="1255"/>
    <s v="spotify:track:70cHKK8bHAfJrOGVnfRG9J"/>
    <x v="9"/>
    <s v="Nicole Kidman"/>
    <s v="Capitol Records"/>
    <n v="2"/>
    <n v="4"/>
    <s v="03:15:00"/>
    <b v="0"/>
    <n v="66"/>
    <n v="50"/>
    <n v="70"/>
    <n v="5"/>
    <n v="48"/>
    <n v="0"/>
    <n v="12"/>
    <n v="42"/>
    <n v="114"/>
    <s v="Pop"/>
    <s v="5/9/2025"/>
    <s v="https://image-cdn-ak.spotifycdn.com/image/ab67616d00001e02ac9d5d5263e9f03802d6864c"/>
    <b v="0"/>
  </r>
  <r>
    <n v="1256"/>
    <s v="spotify:track:70pVCVMGjmIWPbWXDwf11e"/>
    <x v="98"/>
    <s v="petal"/>
    <s v="Republic Records"/>
    <n v="2"/>
    <n v="7"/>
    <s v="03:05:00"/>
    <b v="0"/>
    <n v="58"/>
    <n v="35"/>
    <n v="68"/>
    <n v="3"/>
    <n v="78"/>
    <n v="0"/>
    <n v="16"/>
    <n v="25"/>
    <n v="88"/>
    <s v="Pop"/>
    <s v="7/8/2026"/>
    <s v="https://image-cdn-ak.spotifycdn.com/image/ab67616d00001e028baf677ee2d8dda6cc9fcbd7"/>
    <b v="0"/>
  </r>
  <r>
    <n v="1257"/>
    <s v="spotify:track:713QSDLoNYvs6PKBNOMi8b"/>
    <x v="315"/>
    <s v="Bersenja Gurau"/>
    <s v="Raim Laode"/>
    <n v="177"/>
    <n v="2"/>
    <s v="03:48:00"/>
    <b v="0"/>
    <n v="60"/>
    <n v="45"/>
    <n v="70"/>
    <n v="4"/>
    <n v="68"/>
    <n v="0"/>
    <n v="11"/>
    <n v="38"/>
    <n v="118"/>
    <s v="Indie Pop"/>
    <s v="17/4/2026"/>
    <s v="https://image-cdn-fa.spotifycdn.com/image/ab67616d00001e022115f08403e0dede83932409"/>
    <b v="0"/>
  </r>
  <r>
    <n v="1258"/>
    <s v="spotify:track:72PVbRKkUimweUPV0nKAPs"/>
    <x v="2"/>
    <s v="ALL I CAN TAKE"/>
    <s v="JRC Entertainment, LLC / ILH Production Co. LLC / Def Jam Recordings"/>
    <n v="20"/>
    <n v="2"/>
    <s v="03:18:00"/>
    <b v="0"/>
    <n v="68"/>
    <n v="51"/>
    <n v="71"/>
    <n v="5"/>
    <n v="46"/>
    <n v="0"/>
    <n v="13"/>
    <n v="43"/>
    <n v="105"/>
    <s v="Pop"/>
    <s v="12/9/2025"/>
    <s v="https://image-cdn-ak.spotifycdn.com/image/ab67616d00001e02d65c4773bc5061fd27facc5b"/>
    <b v="0"/>
  </r>
  <r>
    <n v="1259"/>
    <s v="spotify:track:72YttnPRxyHe8zCG50jYhj"/>
    <x v="777"/>
    <s v="NO BATIDÃO - Slowed"/>
    <s v="ZXKAI"/>
    <n v="191"/>
    <n v="2"/>
    <s v="02:35:00"/>
    <b v="1"/>
    <n v="64"/>
    <n v="50"/>
    <n v="68"/>
    <n v="8"/>
    <n v="42"/>
    <n v="0"/>
    <n v="15"/>
    <n v="46"/>
    <n v="98"/>
    <s v="Phonk"/>
    <s v="30/1/2026"/>
    <s v="https://image-cdn-ak.spotifycdn.com/image/ab67616d00001e027bff89cf90806ae22a6b72df"/>
    <b v="0"/>
  </r>
  <r>
    <n v="1259"/>
    <s v="spotify:track:72YttnPRxyHe8zCG50jYhj"/>
    <x v="778"/>
    <s v="NO BATIDÃO - Slowed"/>
    <s v="ZXKAI"/>
    <n v="191"/>
    <n v="2"/>
    <s v="02:35:00"/>
    <b v="1"/>
    <n v="64"/>
    <n v="50"/>
    <n v="68"/>
    <n v="8"/>
    <n v="42"/>
    <n v="0"/>
    <n v="15"/>
    <n v="46"/>
    <n v="98"/>
    <s v="Phonk"/>
    <s v="30/1/2026"/>
    <s v="https://image-cdn-ak.spotifycdn.com/image/ab67616d00001e027bff89cf90806ae22a6b72df"/>
    <b v="0"/>
  </r>
  <r>
    <n v="1260"/>
    <s v="spotify:track:72aGCwuSwD5Qb3tHvXBoX3"/>
    <x v="779"/>
    <s v="Shiny"/>
    <s v="Easykid"/>
    <n v="33"/>
    <n v="10"/>
    <s v="03:05:00"/>
    <b v="0"/>
    <n v="76"/>
    <n v="63"/>
    <n v="72"/>
    <n v="6"/>
    <n v="24"/>
    <n v="0"/>
    <n v="13"/>
    <n v="68"/>
    <n v="126"/>
    <s v="Reggaeton"/>
    <s v="13/6/2025"/>
    <s v="https://image-cdn-ak.spotifycdn.com/image/ab67616d00001e0243bb1b887f63c961473ff573"/>
    <b v="0"/>
  </r>
  <r>
    <n v="1260"/>
    <s v="spotify:track:72aGCwuSwD5Qb3tHvXBoX3"/>
    <x v="780"/>
    <s v="Shiny"/>
    <s v="Easykid"/>
    <n v="33"/>
    <n v="10"/>
    <s v="03:05:00"/>
    <b v="0"/>
    <n v="76"/>
    <n v="63"/>
    <n v="72"/>
    <n v="6"/>
    <n v="24"/>
    <n v="0"/>
    <n v="13"/>
    <n v="68"/>
    <n v="126"/>
    <s v="Reggaeton"/>
    <s v="13/6/2025"/>
    <s v="https://image-cdn-ak.spotifycdn.com/image/ab67616d00001e0243bb1b887f63c961473ff573"/>
    <b v="0"/>
  </r>
  <r>
    <n v="1261"/>
    <s v="spotify:track:736PP5LTtREkDgktNmX3Gu"/>
    <x v="258"/>
    <s v="Superpowers"/>
    <s v="Republic Records"/>
    <n v="168"/>
    <n v="2"/>
    <d v="1899-12-30T03:18:00"/>
    <b v="0"/>
    <n v="46"/>
    <n v="43"/>
    <n v="85"/>
    <n v="4"/>
    <n v="61"/>
    <n v="3"/>
    <n v="19"/>
    <n v="5"/>
    <n v="107"/>
    <s v="R&amp;B"/>
    <d v="2025-04-25T00:00:00"/>
    <s v="https://image-cdn-ak.spotifycdn.com/image/ab67616d00001e027c68face1dc58127f3a7b1cc"/>
    <b v="0"/>
  </r>
  <r>
    <n v="1262"/>
    <s v="spotify:track:73kIKvg65QWieOKXIwyLJP"/>
    <x v="781"/>
    <s v="All The Way (feat. Bailey Zimmerman)"/>
    <s v="BigXthaPlug under exclusive license to UnitedMasters LLC"/>
    <n v="131"/>
    <n v="3"/>
    <s v="03:18:00"/>
    <b v="1"/>
    <n v="72"/>
    <n v="68"/>
    <n v="73"/>
    <n v="11"/>
    <n v="28"/>
    <n v="0"/>
    <n v="15"/>
    <n v="59"/>
    <n v="136"/>
    <s v="Country Rap"/>
    <s v="13/6/2025"/>
    <s v="https://image-cdn-ak.spotifycdn.com/image/ab67616d00001e02eedca2962d36208f21037d62"/>
    <b v="0"/>
  </r>
  <r>
    <n v="1262"/>
    <s v="spotify:track:73kIKvg65QWieOKXIwyLJP"/>
    <x v="782"/>
    <s v="All The Way (feat. Bailey Zimmerman)"/>
    <s v="BigXthaPlug under exclusive license to UnitedMasters LLC"/>
    <n v="131"/>
    <n v="3"/>
    <s v="03:18:00"/>
    <b v="1"/>
    <n v="72"/>
    <n v="68"/>
    <n v="73"/>
    <n v="11"/>
    <n v="28"/>
    <n v="0"/>
    <n v="15"/>
    <n v="59"/>
    <n v="136"/>
    <s v="Country Rap"/>
    <s v="13/6/2025"/>
    <s v="https://image-cdn-ak.spotifycdn.com/image/ab67616d00001e02eedca2962d36208f21037d62"/>
    <b v="0"/>
  </r>
  <r>
    <n v="1264"/>
    <s v="spotify:track:73ycOMnODtUc2Ggj6EfCpO"/>
    <x v="53"/>
    <s v="Make Them Remember"/>
    <s v="OVO/Republic"/>
    <n v="47"/>
    <n v="1"/>
    <s v="03:18:00"/>
    <b v="1"/>
    <n v="70"/>
    <n v="52"/>
    <n v="71"/>
    <n v="34"/>
    <n v="52"/>
    <n v="0"/>
    <n v="15"/>
    <n v="29"/>
    <n v="122"/>
    <s v="Hip-Hop/Rap"/>
    <s v="22/5/2026"/>
    <s v="https://image-cdn-ak.spotifycdn.com/image/ab67616d00001e02fe9d3ab9adb1d3b59835b81c"/>
    <b v="0"/>
  </r>
  <r>
    <n v="1265"/>
    <s v="spotify:track:754kgU5rWscRTfvlsuEwFp"/>
    <x v="783"/>
    <s v="Kiss Me"/>
    <s v="Curb | Word"/>
    <n v="126"/>
    <n v="3"/>
    <d v="1899-12-30T03:18:00"/>
    <b v="0"/>
    <n v="53"/>
    <n v="75"/>
    <n v="88"/>
    <n v="3"/>
    <n v="2"/>
    <n v="0"/>
    <n v="7"/>
    <n v="42"/>
    <n v="100"/>
    <s v="Pop"/>
    <d v="1997-06-10T00:00:00"/>
    <s v="https://image-cdn-ak.spotifycdn.com/image/ab67616d00001e02cfc5eea6cfd77e89ed3ac5a4"/>
    <b v="0"/>
  </r>
  <r>
    <n v="1266"/>
    <s v="spotify:track:7585wxMp2e3IhBq3tJAXgw"/>
    <x v="668"/>
    <s v="SUIZA"/>
    <s v="WEA Latina"/>
    <n v="62"/>
    <n v="20"/>
    <s v="03:05:00"/>
    <b v="1"/>
    <n v="74"/>
    <n v="68"/>
    <n v="73"/>
    <n v="5"/>
    <n v="25"/>
    <n v="0"/>
    <n v="14"/>
    <n v="83"/>
    <n v="126"/>
    <s v="Regional Mexicano"/>
    <s v="30/5/2025"/>
    <s v="https://image-cdn-ak.spotifycdn.com/image/ab67616d00001e029068bf12aece9d168cc16848"/>
    <b v="0"/>
  </r>
  <r>
    <n v="1267"/>
    <s v="spotify:track:75JFxkI2RXiU7L9VXzMkle"/>
    <x v="40"/>
    <s v="The Scientist"/>
    <s v="Parlophone Records Limited"/>
    <n v="71"/>
    <n v="104"/>
    <d v="1899-12-30T05:09:00"/>
    <b v="0"/>
    <n v="56"/>
    <n v="44"/>
    <n v="88"/>
    <n v="2"/>
    <n v="73"/>
    <n v="0"/>
    <n v="11"/>
    <n v="21"/>
    <n v="146"/>
    <s v="Alternative Rock"/>
    <d v="2002-08-26T00:00:00"/>
    <s v="https://image-cdn-fa.spotifycdn.com/image/ab67616d00001e02de09e02aa7febf30b7c02d82"/>
    <b v="0"/>
  </r>
  <r>
    <n v="1269"/>
    <s v="spotify:track:76FZM38RC8XaAjJ77CVTNe"/>
    <x v="98"/>
    <s v="Into You"/>
    <s v="Universal Records"/>
    <n v="82"/>
    <n v="35"/>
    <d v="1899-12-30T04:04:00"/>
    <b v="0"/>
    <n v="62"/>
    <n v="73"/>
    <n v="90"/>
    <n v="11"/>
    <n v="2"/>
    <n v="0"/>
    <n v="14"/>
    <n v="37"/>
    <n v="108"/>
    <s v="Pop"/>
    <d v="2016-05-06T00:00:00"/>
    <s v="https://image-cdn-ak.spotifycdn.com/image/ab67616d00001e0233342c57a9b2c4e04c97b3f5"/>
    <b v="0"/>
  </r>
  <r>
    <n v="1270"/>
    <s v="spotify:track:76HKOVWqsEg26SECtmw7Rz"/>
    <x v="38"/>
    <s v="The Way You Make Me Feel - 2012 Remaster"/>
    <s v="Epic/Legacy"/>
    <n v="66"/>
    <n v="7"/>
    <d v="1899-12-30T04:59:00"/>
    <b v="0"/>
    <n v="88"/>
    <n v="85"/>
    <n v="92"/>
    <n v="15"/>
    <n v="5"/>
    <n v="0"/>
    <n v="14"/>
    <n v="54"/>
    <n v="114"/>
    <s v="Pop"/>
    <d v="1987-08-31T00:00:00"/>
    <s v="https://image-cdn-ak.spotifycdn.com/image/ab67616d00001e02eb2087dcd1eb61f833bdedff"/>
    <b v="0"/>
  </r>
  <r>
    <n v="1271"/>
    <s v="spotify:track:76yJsfb1CUy5Um8nFL7jKQ"/>
    <x v="1"/>
    <s v="OPM BABI"/>
    <s v="AWGE/Interscope Records"/>
    <n v="127"/>
    <n v="1"/>
    <d v="1899-12-30T02:48:00"/>
    <b v="1"/>
    <n v="53"/>
    <n v="79"/>
    <n v="90"/>
    <n v="4"/>
    <n v="0"/>
    <n v="0"/>
    <n v="39"/>
    <n v="4"/>
    <n v="78"/>
    <s v="Hip-Hop/Rap"/>
    <d v="2025-03-14T00:00:00"/>
    <s v="https://image-cdn-ak.spotifycdn.com/image/ab67616d00001e026b219c8d8462bfe254a20469"/>
    <b v="0"/>
  </r>
  <r>
    <n v="1272"/>
    <s v="spotify:track:77fL8ATR0dpUDLI0XLmDBV"/>
    <x v="37"/>
    <s v="Orbiter"/>
    <s v="Mercury Records"/>
    <n v="119"/>
    <n v="8"/>
    <s v="03:48:00"/>
    <b v="0"/>
    <n v="57"/>
    <n v="55"/>
    <n v="72"/>
    <n v="4"/>
    <n v="39"/>
    <n v="0"/>
    <n v="14"/>
    <n v="52"/>
    <n v="144"/>
    <s v="Indie Folk"/>
    <s v="3/4/2026"/>
    <s v="https://image-cdn-ak.spotifycdn.com/image/ab67616d00001e02c39789e2dbdad5af5736e07a"/>
    <b v="0"/>
  </r>
  <r>
    <n v="1275"/>
    <s v="spotify:track:77qLAmRzMPetmXywybpH15"/>
    <x v="66"/>
    <s v="Chains of Love"/>
    <s v="Atlantic Records"/>
    <n v="190"/>
    <n v="1"/>
    <s v="03:05:00"/>
    <b v="1"/>
    <n v="74"/>
    <n v="83"/>
    <n v="77"/>
    <n v="6"/>
    <n v="8"/>
    <n v="1"/>
    <n v="21"/>
    <n v="68"/>
    <n v="132"/>
    <s v="Electropop"/>
    <s v="27/2/2026"/>
    <s v="https://image-cdn-ak.spotifycdn.com/image/ab67616d00001e025048960108f204f627b294b4"/>
    <b v="0"/>
  </r>
  <r>
    <n v="1278"/>
    <s v="spotify:track:78O33U6jbQtNiNfbkZudpd"/>
    <x v="53"/>
    <s v="She Will"/>
    <s v="CM/Republic"/>
    <n v="160"/>
    <n v="2"/>
    <d v="1899-12-30T05:06:00"/>
    <b v="1"/>
    <n v="36"/>
    <n v="84"/>
    <n v="92"/>
    <n v="12"/>
    <n v="0"/>
    <n v="0"/>
    <n v="24"/>
    <n v="8"/>
    <n v="100"/>
    <s v="Hip-Hop/Rap"/>
    <d v="2011-08-22T00:00:00"/>
    <s v="https://image-cdn-ak.spotifycdn.com/image/ab67616d00001e02e521b35f461062a93d1a8d1a"/>
    <b v="0"/>
  </r>
  <r>
    <n v="1278"/>
    <s v="spotify:track:78O33U6jbQtNiNfbkZudpd"/>
    <x v="536"/>
    <s v="She Will"/>
    <s v="CM/Republic"/>
    <n v="160"/>
    <n v="2"/>
    <d v="1899-12-30T05:06:00"/>
    <b v="1"/>
    <n v="36"/>
    <n v="84"/>
    <n v="92"/>
    <n v="12"/>
    <n v="0"/>
    <n v="0"/>
    <n v="24"/>
    <n v="8"/>
    <n v="100"/>
    <s v="Hip-Hop/Rap"/>
    <d v="2011-08-22T00:00:00"/>
    <s v="https://image-cdn-ak.spotifycdn.com/image/ab67616d00001e02e521b35f461062a93d1a8d1a"/>
    <b v="0"/>
  </r>
  <r>
    <n v="1279"/>
    <s v="spotify:track:78nx0HDJIFD5xDq2L5420Z"/>
    <x v="326"/>
    <s v="Blessings"/>
    <s v="Columbia"/>
    <n v="105"/>
    <n v="18"/>
    <d v="1899-12-30T03:18:00"/>
    <b v="0"/>
    <n v="78"/>
    <n v="82"/>
    <n v="82"/>
    <n v="6"/>
    <n v="8"/>
    <n v="0"/>
    <n v="13"/>
    <n v="72"/>
    <n v="128"/>
    <s v="EDM"/>
    <d v="2025-05-16T00:00:00"/>
    <s v="https://image-cdn-ak.spotifycdn.com/image/ab67616d00001e02ff86507cb1a9c7645a330314"/>
    <b v="0"/>
  </r>
  <r>
    <n v="1279"/>
    <s v="spotify:track:78nx0HDJIFD5xDq2L5420Z"/>
    <x v="784"/>
    <s v="Blessings"/>
    <s v="Columbia"/>
    <n v="105"/>
    <n v="18"/>
    <d v="1899-12-30T03:18:00"/>
    <b v="0"/>
    <n v="78"/>
    <n v="82"/>
    <n v="82"/>
    <n v="6"/>
    <n v="8"/>
    <n v="0"/>
    <n v="13"/>
    <n v="72"/>
    <n v="128"/>
    <s v="EDM"/>
    <d v="2025-05-16T00:00:00"/>
    <s v="https://image-cdn-ak.spotifycdn.com/image/ab67616d00001e02ff86507cb1a9c7645a330314"/>
    <b v="0"/>
  </r>
  <r>
    <n v="1280"/>
    <s v="spotify:track:78pn8k7RogKo2oxl0DyX6d"/>
    <x v="785"/>
    <s v="One More Sleep"/>
    <s v="Syco Music"/>
    <n v="93"/>
    <n v="11"/>
    <d v="1899-12-30T03:48:00"/>
    <b v="0"/>
    <n v="62"/>
    <n v="62"/>
    <n v="77"/>
    <n v="5"/>
    <n v="30"/>
    <n v="0"/>
    <n v="14"/>
    <n v="78"/>
    <n v="120"/>
    <s v="Christmas"/>
    <d v="2013-11-05T00:00:00"/>
    <s v="https://image-cdn-ak.spotifycdn.com/image/ab67616d00001e02b9eeb2705c983089c2412a80"/>
    <b v="1"/>
  </r>
  <r>
    <n v="1281"/>
    <s v="spotify:track:79RJg6MqIJlBuedcMqB9F0"/>
    <x v="26"/>
    <s v="My Body Isn't Ready"/>
    <s v="Warner Records"/>
    <n v="88"/>
    <n v="5"/>
    <s v="03:12:00"/>
    <b v="0"/>
    <n v="50"/>
    <n v="40"/>
    <n v="68"/>
    <n v="4"/>
    <n v="74"/>
    <n v="0"/>
    <n v="11"/>
    <n v="26"/>
    <n v="118"/>
    <s v="Indie Pop"/>
    <s v="13/6/2025"/>
    <s v="https://image-cdn-ak.spotifycdn.com/image/ab67616d00001e0255615e9242bd96706c68a743"/>
    <b v="0"/>
  </r>
  <r>
    <n v="1282"/>
    <s v="spotify:track:79mFFAOYcG8ZF6AN1JecAL"/>
    <x v="1"/>
    <s v="FINE SHIT"/>
    <s v="AWGE/Interscope Records"/>
    <n v="45"/>
    <n v="1"/>
    <d v="1899-12-30T02:48:00"/>
    <b v="1"/>
    <n v="78"/>
    <n v="54"/>
    <n v="89"/>
    <n v="8"/>
    <n v="0"/>
    <n v="0"/>
    <n v="11"/>
    <n v="23"/>
    <n v="154"/>
    <s v="Hip-Hop/Rap"/>
    <d v="2025-03-14T00:00:00"/>
    <s v="https://image-cdn-fa.spotifycdn.com/image/ab67616d00001e026b219c8d8462bfe254a20469"/>
    <b v="0"/>
  </r>
  <r>
    <n v="1283"/>
    <s v="spotify:track:79tbBuciPV221EozY3RKQv"/>
    <x v="786"/>
    <s v="Jangan Paksa Rindu"/>
    <s v="RPM"/>
    <n v="115"/>
    <n v="9"/>
    <s v="03:48:00"/>
    <b v="0"/>
    <n v="55"/>
    <n v="48"/>
    <n v="70"/>
    <n v="4"/>
    <n v="59"/>
    <n v="0"/>
    <n v="12"/>
    <n v="35"/>
    <n v="88"/>
    <s v="Indie Pop"/>
    <s v="13/6/2025"/>
    <s v="https://image-cdn-ak.spotifycdn.com/image/ab67616d00001e02b1f0e17d6a48da664cbdcbe5"/>
    <b v="0"/>
  </r>
  <r>
    <n v="1284"/>
    <s v="spotify:track:79x7xtoCLpf6l32Zz6mWo4"/>
    <x v="103"/>
    <s v="BOKeTE"/>
    <s v="Rimas Entertainment LLC."/>
    <n v="27"/>
    <n v="6"/>
    <d v="1899-12-30T03:05:00"/>
    <b v="1"/>
    <n v="40"/>
    <n v="7"/>
    <n v="45"/>
    <n v="5"/>
    <n v="19"/>
    <n v="96"/>
    <n v="12"/>
    <n v="3"/>
    <n v="125"/>
    <s v="Reggaeton"/>
    <d v="2025-01-05T00:00:00"/>
    <s v="https://image-cdn-ak.spotifycdn.com/image/ab67616d00001e02bbd45c8d36e0e045ef640411"/>
    <b v="0"/>
  </r>
  <r>
    <n v="1285"/>
    <s v="spotify:track:7ACxUo21jtTHzy7ZEV56vU"/>
    <x v="101"/>
    <s v="Crazy Train"/>
    <s v="Epic/Legacy"/>
    <n v="60"/>
    <n v="2"/>
    <d v="1899-12-30T04:56:00"/>
    <b v="0"/>
    <n v="45"/>
    <n v="91"/>
    <n v="93"/>
    <n v="11"/>
    <n v="41"/>
    <n v="0"/>
    <n v="25"/>
    <n v="52"/>
    <n v="138"/>
    <s v="Heavy Metal"/>
    <d v="1980-09-20T00:00:00"/>
    <s v="https://image-cdn-fa.spotifycdn.com/image/ab67616d00001e024936b5b7caeb7524e50fd8cb"/>
    <b v="0"/>
  </r>
  <r>
    <n v="1288"/>
    <s v="spotify:track:7AxXJXqJOMRqkgZxvG3r6E"/>
    <x v="23"/>
    <s v="TRYING ON SHOES"/>
    <s v="RCA Records Label"/>
    <n v="114"/>
    <n v="1"/>
    <d v="1899-12-30T03:05:00"/>
    <b v="0"/>
    <n v="72"/>
    <n v="72"/>
    <n v="79"/>
    <n v="8"/>
    <n v="18"/>
    <n v="0"/>
    <n v="11"/>
    <n v="58"/>
    <n v="105"/>
    <s v="Pop"/>
    <d v="2025-02-21T00:00:00"/>
    <s v="https://image-cdn-ak.spotifycdn.com/image/ab67616d00001e02c40dccc1952bb5ed96986869"/>
    <b v="0"/>
  </r>
  <r>
    <n v="1289"/>
    <s v="spotify:track:7B3BwNecBhKvNwSMOOl7Gk"/>
    <x v="289"/>
    <s v="Fame is a Gun"/>
    <s v="Columbia"/>
    <n v="56"/>
    <n v="22"/>
    <d v="1899-12-30T02:48:00"/>
    <b v="0"/>
    <n v="75"/>
    <n v="72"/>
    <n v="79"/>
    <n v="8"/>
    <n v="15"/>
    <n v="0"/>
    <n v="11"/>
    <n v="60"/>
    <n v="118"/>
    <s v="Pop"/>
    <d v="2024-08-16T00:00:00"/>
    <s v="https://image-cdn-ak.spotifycdn.com/image/ab67616d00001e02089511953028cbfeb095c593"/>
    <b v="0"/>
  </r>
  <r>
    <n v="1290"/>
    <s v="spotify:track:7BKLCZ1jbUBVqRi2FVlTVw"/>
    <x v="787"/>
    <s v="Closer"/>
    <s v="Disruptor Records/Columbia"/>
    <n v="2"/>
    <n v="260"/>
    <d v="1899-12-30T04:04:00"/>
    <b v="0"/>
    <n v="75"/>
    <n v="52"/>
    <n v="91"/>
    <n v="3"/>
    <n v="41"/>
    <n v="0"/>
    <n v="11"/>
    <n v="66"/>
    <n v="95"/>
    <s v="EDM"/>
    <d v="2016-07-29T00:00:00"/>
    <s v="https://image-cdn-ak.spotifycdn.com/image/ab67616d00001e02495ce6da9aeb159e94eaa453"/>
    <b v="0"/>
  </r>
  <r>
    <n v="1290"/>
    <s v="spotify:track:7BKLCZ1jbUBVqRi2FVlTVw"/>
    <x v="747"/>
    <s v="Closer"/>
    <s v="Disruptor Records/Columbia"/>
    <n v="2"/>
    <n v="260"/>
    <d v="1899-12-30T04:04:00"/>
    <b v="0"/>
    <n v="75"/>
    <n v="52"/>
    <n v="91"/>
    <n v="3"/>
    <n v="41"/>
    <n v="0"/>
    <n v="11"/>
    <n v="66"/>
    <n v="95"/>
    <s v="EDM"/>
    <d v="2016-07-29T00:00:00"/>
    <s v="https://image-cdn-ak.spotifycdn.com/image/ab67616d00001e02495ce6da9aeb159e94eaa453"/>
    <b v="0"/>
  </r>
  <r>
    <n v="1291"/>
    <s v="spotify:track:7BRD7x5pt8Lqa1eGYC4dzj"/>
    <x v="65"/>
    <s v="CHIHIRO"/>
    <s v="Darkroom/Interscope Records"/>
    <n v="5"/>
    <n v="60"/>
    <d v="1899-12-30T05:03:00"/>
    <b v="0"/>
    <n v="70"/>
    <n v="42"/>
    <n v="79"/>
    <n v="5"/>
    <n v="14"/>
    <n v="88"/>
    <n v="8"/>
    <n v="52"/>
    <n v="110"/>
    <s v="Pop"/>
    <d v="2024-05-17T00:00:00"/>
    <s v="https://image-cdn-ak.spotifycdn.com/image/ab67616d00001e0271d62ea7ea8a5be92d3c1f62"/>
    <b v="0"/>
  </r>
  <r>
    <n v="1292"/>
    <s v="spotify:track:7BjcYqD0CqXnG45ezWSTYR"/>
    <x v="288"/>
    <s v="RUNWAY"/>
    <s v="Lil Monsters, LLC / Top Dawg Entertainment, LLC under exclusive license to Interscope Records and Capitol Records"/>
    <n v="193"/>
    <n v="1"/>
    <s v="03:05:00"/>
    <b v="0"/>
    <n v="84"/>
    <n v="79"/>
    <n v="75"/>
    <n v="10"/>
    <n v="8"/>
    <n v="0"/>
    <n v="22"/>
    <n v="71"/>
    <n v="122"/>
    <s v="Pop"/>
    <s v="10/4/2026"/>
    <s v="https://image-cdn-fa.spotifycdn.com/image/ab67616d00001e02848b466bd71bcaa46cb20030"/>
    <b v="0"/>
  </r>
  <r>
    <n v="1292"/>
    <s v="spotify:track:7BjcYqD0CqXnG45ezWSTYR"/>
    <x v="10"/>
    <s v="RUNWAY"/>
    <s v="Lil Monsters, LLC / Top Dawg Entertainment, LLC under exclusive license to Interscope Records and Capitol Records"/>
    <n v="193"/>
    <n v="1"/>
    <s v="03:05:00"/>
    <b v="0"/>
    <n v="84"/>
    <n v="79"/>
    <n v="75"/>
    <n v="10"/>
    <n v="8"/>
    <n v="0"/>
    <n v="22"/>
    <n v="71"/>
    <n v="122"/>
    <s v="Pop"/>
    <s v="10/4/2026"/>
    <s v="https://image-cdn-fa.spotifycdn.com/image/ab67616d00001e02848b466bd71bcaa46cb20030"/>
    <b v="0"/>
  </r>
  <r>
    <n v="1293"/>
    <s v="spotify:track:7BqBn9nzAq8spo5e7cZ0dJ"/>
    <x v="39"/>
    <s v="Just the Way You Are"/>
    <s v="Atlantic Records"/>
    <n v="34"/>
    <n v="192"/>
    <d v="1899-12-30T03:40:00"/>
    <b v="0"/>
    <n v="64"/>
    <n v="84"/>
    <n v="91"/>
    <n v="4"/>
    <n v="1"/>
    <n v="0"/>
    <n v="6"/>
    <n v="42"/>
    <n v="109"/>
    <s v="Pop"/>
    <d v="2010-07-20T00:00:00"/>
    <s v="https://image-cdn-ak.spotifycdn.com/image/ab67616d00001e027039c1c841fc3dfa2ad8a0d8"/>
    <b v="0"/>
  </r>
  <r>
    <n v="1294"/>
    <s v="spotify:track:7COiiObIVJIdBcW3J43Iy2"/>
    <x v="53"/>
    <s v="2 Hard 4 The Radio"/>
    <s v="OVO/Republic"/>
    <n v="13"/>
    <n v="3"/>
    <s v="03:18:00"/>
    <b v="1"/>
    <n v="83"/>
    <n v="68"/>
    <n v="75"/>
    <n v="28"/>
    <n v="12"/>
    <n v="0"/>
    <n v="16"/>
    <n v="53"/>
    <n v="144"/>
    <s v="Hip-Hop/Rap"/>
    <s v="22/5/2026"/>
    <s v="https://image-cdn-ak.spotifycdn.com/image/ab67616d00001e02fe9d3ab9adb1d3b59835b81c"/>
    <b v="0"/>
  </r>
  <r>
    <n v="1295"/>
    <s v="spotify:track:7Csa4PStpuYIfUqNMKQ4V8"/>
    <x v="788"/>
    <s v="Barbaad (From &quot;Saiyaara&quot;)"/>
    <s v="YRF Music"/>
    <n v="165"/>
    <n v="2"/>
    <s v="03:48:00"/>
    <b v="0"/>
    <n v="60"/>
    <n v="54"/>
    <n v="71"/>
    <n v="4"/>
    <n v="48"/>
    <n v="0"/>
    <n v="14"/>
    <n v="46"/>
    <n v="120"/>
    <s v="Bollywood"/>
    <s v="18/7/2025"/>
    <s v="https://image-cdn-ak.spotifycdn.com/image/ab67616d00001e02148a06ae24e68c088d8d2954"/>
    <b v="0"/>
  </r>
  <r>
    <n v="1295"/>
    <s v="spotify:track:7Csa4PStpuYIfUqNMKQ4V8"/>
    <x v="789"/>
    <s v="Barbaad (From &quot;Saiyaara&quot;)"/>
    <s v="YRF Music"/>
    <n v="165"/>
    <n v="2"/>
    <s v="03:48:00"/>
    <b v="0"/>
    <n v="60"/>
    <n v="54"/>
    <n v="71"/>
    <n v="4"/>
    <n v="48"/>
    <n v="0"/>
    <n v="14"/>
    <n v="46"/>
    <n v="120"/>
    <s v="Bollywood"/>
    <s v="18/7/2025"/>
    <s v="https://image-cdn-ak.spotifycdn.com/image/ab67616d00001e02148a06ae24e68c088d8d2954"/>
    <b v="0"/>
  </r>
  <r>
    <n v="1296"/>
    <s v="spotify:track:7CyPwkp0oE8Ro9Dd5CUDjW"/>
    <x v="141"/>
    <s v="One Of The Girls (with JENNIE, Lily Rose Depp)"/>
    <s v="XO / Republic Records"/>
    <n v="3"/>
    <n v="156"/>
    <d v="1899-12-30T04:04:00"/>
    <b v="0"/>
    <n v="26"/>
    <n v="64"/>
    <n v="90"/>
    <n v="4"/>
    <n v="4"/>
    <n v="0"/>
    <n v="15"/>
    <n v="19"/>
    <n v="85"/>
    <s v="R&amp;B"/>
    <d v="2023-06-23T00:00:00"/>
    <s v="https://image-cdn-ak.spotifycdn.com/image/ab67616d00001e02b0dd6a5cd1dec96c4119c262"/>
    <b v="0"/>
  </r>
  <r>
    <n v="1296"/>
    <s v="spotify:track:7CyPwkp0oE8Ro9Dd5CUDjW"/>
    <x v="790"/>
    <s v="One Of The Girls (with JENNIE, Lily Rose Depp)"/>
    <s v="XO / Republic Records"/>
    <n v="3"/>
    <n v="156"/>
    <d v="1899-12-30T04:04:00"/>
    <b v="0"/>
    <n v="26"/>
    <n v="64"/>
    <n v="90"/>
    <n v="4"/>
    <n v="4"/>
    <n v="0"/>
    <n v="15"/>
    <n v="19"/>
    <n v="85"/>
    <s v="R&amp;B"/>
    <d v="2023-06-23T00:00:00"/>
    <s v="https://image-cdn-ak.spotifycdn.com/image/ab67616d00001e02b0dd6a5cd1dec96c4119c262"/>
    <b v="0"/>
  </r>
  <r>
    <n v="1296"/>
    <s v="spotify:track:7CyPwkp0oE8Ro9Dd5CUDjW"/>
    <x v="55"/>
    <s v="One Of The Girls (with JENNIE, Lily Rose Depp)"/>
    <s v="XO / Republic Records"/>
    <n v="3"/>
    <n v="156"/>
    <d v="1899-12-30T04:04:00"/>
    <b v="0"/>
    <n v="26"/>
    <n v="64"/>
    <n v="90"/>
    <n v="4"/>
    <n v="4"/>
    <n v="0"/>
    <n v="15"/>
    <n v="19"/>
    <n v="85"/>
    <s v="R&amp;B"/>
    <d v="2023-06-23T00:00:00"/>
    <s v="https://image-cdn-ak.spotifycdn.com/image/ab67616d00001e02b0dd6a5cd1dec96c4119c262"/>
    <b v="0"/>
  </r>
  <r>
    <n v="1298"/>
    <s v="spotify:track:7DIMKlmJ0CL6eROkbptoqi"/>
    <x v="238"/>
    <s v="Sucka Free"/>
    <s v="Columbia"/>
    <n v="83"/>
    <n v="1"/>
    <s v="03:18:00"/>
    <b v="1"/>
    <n v="82"/>
    <n v="64"/>
    <n v="73"/>
    <n v="31"/>
    <n v="15"/>
    <n v="0"/>
    <n v="12"/>
    <n v="55"/>
    <n v="92"/>
    <s v="Hip-Hop/Rap"/>
    <s v="18/7/2025"/>
    <s v="https://image-cdn-ak.spotifycdn.com/image/ab67616d00001e024b7fbb849ed845ddedcce346"/>
    <b v="0"/>
  </r>
  <r>
    <n v="1299"/>
    <s v="spotify:track:7DL2F2bueQycqYjqsjHYjG"/>
    <x v="53"/>
    <s v="MOTH BALLS"/>
    <s v="OVO Sound"/>
    <n v="99"/>
    <n v="1"/>
    <s v="03:18:00"/>
    <b v="1"/>
    <n v="68"/>
    <n v="46"/>
    <n v="69"/>
    <n v="15"/>
    <n v="53"/>
    <n v="0"/>
    <n v="10"/>
    <n v="32"/>
    <n v="85"/>
    <s v="R&amp;B"/>
    <s v="27/6/2025"/>
    <s v="https://image-cdn-ak.spotifycdn.com/image/ab67616d00001e02b5a28a256eae6dc0424fef59"/>
    <b v="0"/>
  </r>
  <r>
    <n v="1299"/>
    <s v="spotify:track:7DL2F2bueQycqYjqsjHYjG"/>
    <x v="54"/>
    <s v="MOTH BALLS"/>
    <s v="OVO Sound"/>
    <n v="99"/>
    <n v="1"/>
    <s v="03:18:00"/>
    <b v="1"/>
    <n v="68"/>
    <n v="46"/>
    <n v="69"/>
    <n v="15"/>
    <n v="53"/>
    <n v="0"/>
    <n v="10"/>
    <n v="32"/>
    <n v="85"/>
    <s v="R&amp;B"/>
    <s v="27/6/2025"/>
    <s v="https://image-cdn-ak.spotifycdn.com/image/ab67616d00001e02b5a28a256eae6dc0424fef59"/>
    <b v="0"/>
  </r>
  <r>
    <n v="1300"/>
    <s v="spotify:track:7DSAEUvxU8FajXtRloy8M0"/>
    <x v="362"/>
    <s v="Flowers"/>
    <s v="Columbia"/>
    <n v="1"/>
    <n v="115"/>
    <d v="1899-12-30T03:20:00"/>
    <b v="0"/>
    <n v="71"/>
    <n v="69"/>
    <n v="92"/>
    <n v="6"/>
    <n v="6"/>
    <n v="0"/>
    <n v="2"/>
    <n v="63"/>
    <n v="118"/>
    <s v="Pop"/>
    <d v="2023-01-12T00:00:00"/>
    <s v="https://image-cdn-fa.spotifycdn.com/image/ab67616d00001e0266fd0917f38d472c8576754e"/>
    <b v="0"/>
  </r>
  <r>
    <n v="1302"/>
    <s v="spotify:track:7DkOpEOBOwHg6VBj4blikS"/>
    <x v="374"/>
    <s v="Triple Lavada (feat. Victor Mendivil) - Remix"/>
    <s v="ESAU ORTIZ AZUARA/Sony Music Latin"/>
    <n v="145"/>
    <n v="1"/>
    <s v="03:05:00"/>
    <b v="1"/>
    <n v="76"/>
    <n v="68"/>
    <n v="73"/>
    <n v="8"/>
    <n v="20"/>
    <n v="0"/>
    <n v="12"/>
    <n v="85"/>
    <n v="152"/>
    <s v="Regional Mexicano"/>
    <s v="12/6/2026"/>
    <s v="https://image-cdn-ak.spotifycdn.com/image/ab67616d00001e021c1f8ba6f584a86322f9c821"/>
    <b v="0"/>
  </r>
  <r>
    <n v="1302"/>
    <s v="spotify:track:7DkOpEOBOwHg6VBj4blikS"/>
    <x v="773"/>
    <s v="Triple Lavada (feat. Victor Mendivil) - Remix"/>
    <s v="ESAU ORTIZ AZUARA/Sony Music Latin"/>
    <n v="145"/>
    <n v="1"/>
    <s v="03:05:00"/>
    <b v="1"/>
    <n v="76"/>
    <n v="68"/>
    <n v="73"/>
    <n v="8"/>
    <n v="20"/>
    <n v="0"/>
    <n v="12"/>
    <n v="85"/>
    <n v="152"/>
    <s v="Regional Mexicano"/>
    <s v="12/6/2026"/>
    <s v="https://image-cdn-ak.spotifycdn.com/image/ab67616d00001e021c1f8ba6f584a86322f9c821"/>
    <b v="0"/>
  </r>
  <r>
    <n v="1302"/>
    <s v="spotify:track:7DkOpEOBOwHg6VBj4blikS"/>
    <x v="216"/>
    <s v="Triple Lavada (feat. Victor Mendivil) - Remix"/>
    <s v="ESAU ORTIZ AZUARA/Sony Music Latin"/>
    <n v="145"/>
    <n v="1"/>
    <s v="03:05:00"/>
    <b v="1"/>
    <n v="76"/>
    <n v="68"/>
    <n v="73"/>
    <n v="8"/>
    <n v="20"/>
    <n v="0"/>
    <n v="12"/>
    <n v="85"/>
    <n v="152"/>
    <s v="Regional Mexicano"/>
    <s v="12/6/2026"/>
    <s v="https://image-cdn-ak.spotifycdn.com/image/ab67616d00001e021c1f8ba6f584a86322f9c821"/>
    <b v="0"/>
  </r>
  <r>
    <n v="1302"/>
    <s v="spotify:track:7DkOpEOBOwHg6VBj4blikS"/>
    <x v="284"/>
    <s v="Triple Lavada (feat. Victor Mendivil) - Remix"/>
    <s v="ESAU ORTIZ AZUARA/Sony Music Latin"/>
    <n v="145"/>
    <n v="1"/>
    <s v="03:05:00"/>
    <b v="1"/>
    <n v="76"/>
    <n v="68"/>
    <n v="73"/>
    <n v="8"/>
    <n v="20"/>
    <n v="0"/>
    <n v="12"/>
    <n v="85"/>
    <n v="152"/>
    <s v="Regional Mexicano"/>
    <s v="12/6/2026"/>
    <s v="https://image-cdn-ak.spotifycdn.com/image/ab67616d00001e021c1f8ba6f584a86322f9c821"/>
    <b v="0"/>
  </r>
  <r>
    <n v="1302"/>
    <s v="spotify:track:7DkOpEOBOwHg6VBj4blikS"/>
    <x v="139"/>
    <s v="Triple Lavada (feat. Victor Mendivil) - Remix"/>
    <s v="ESAU ORTIZ AZUARA/Sony Music Latin"/>
    <n v="145"/>
    <n v="1"/>
    <s v="03:05:00"/>
    <b v="1"/>
    <n v="76"/>
    <n v="68"/>
    <n v="73"/>
    <n v="8"/>
    <n v="20"/>
    <n v="0"/>
    <n v="12"/>
    <n v="85"/>
    <n v="152"/>
    <s v="Regional Mexicano"/>
    <s v="12/6/2026"/>
    <s v="https://image-cdn-ak.spotifycdn.com/image/ab67616d00001e021c1f8ba6f584a86322f9c821"/>
    <b v="0"/>
  </r>
  <r>
    <n v="1303"/>
    <s v="spotify:track:7EW7Yivb93qKAtp5qEm5of"/>
    <x v="301"/>
    <s v="Dark Thoughts"/>
    <s v="Galactic / Republic Records"/>
    <n v="23"/>
    <n v="13"/>
    <s v="02:18:00"/>
    <b v="1"/>
    <n v="78"/>
    <n v="56"/>
    <n v="71"/>
    <n v="18"/>
    <n v="22"/>
    <n v="0"/>
    <n v="12"/>
    <n v="52"/>
    <n v="130"/>
    <s v="Hip-Hop/Rap"/>
    <s v="13/6/2025"/>
    <s v="https://image-cdn-ak.spotifycdn.com/image/ab67616d00001e02f9a2359739728d2af3284a8e"/>
    <b v="0"/>
  </r>
  <r>
    <n v="1305"/>
    <s v="spotify:track:7FOgcfdz9Nx5V9lCNXdBYv"/>
    <x v="115"/>
    <s v="Red Wine Supernova"/>
    <s v="Chappell Roan PS/ Island"/>
    <n v="80"/>
    <n v="19"/>
    <d v="1899-12-30T03:08:00"/>
    <b v="1"/>
    <n v="66"/>
    <n v="82"/>
    <n v="93"/>
    <n v="4"/>
    <n v="2"/>
    <n v="0"/>
    <n v="8"/>
    <n v="71"/>
    <n v="124"/>
    <s v="Pop"/>
    <d v="2023-05-19T00:00:00"/>
    <s v="https://image-cdn-ak.spotifycdn.com/image/ab67616d00001e0296fa88fb1789be437d5cb4b6"/>
    <b v="0"/>
  </r>
  <r>
    <n v="1306"/>
    <s v="spotify:track:7G7mSV4BebkoHWwKTDvXu9"/>
    <x v="791"/>
    <s v="Winter Ahead (with PARK HYO SHIN)"/>
    <s v="BIGHIT MUSIC"/>
    <n v="21"/>
    <n v="56"/>
    <d v="1899-12-30T03:48:00"/>
    <b v="0"/>
    <n v="36"/>
    <n v="32"/>
    <n v="83"/>
    <n v="3"/>
    <n v="86"/>
    <n v="0"/>
    <n v="23"/>
    <n v="23"/>
    <n v="77"/>
    <s v="K-Pop"/>
    <d v="2024-11-29T00:00:00"/>
    <s v="https://image-cdn-ak.spotifycdn.com/image/ab67616d00001e0216ba2a3622bd0d0d985e3234"/>
    <b v="0"/>
  </r>
  <r>
    <n v="1306"/>
    <s v="spotify:track:7G7mSV4BebkoHWwKTDvXu9"/>
    <x v="792"/>
    <s v="Winter Ahead (with PARK HYO SHIN)"/>
    <s v="BIGHIT MUSIC"/>
    <n v="21"/>
    <n v="56"/>
    <d v="1899-12-30T03:48:00"/>
    <b v="0"/>
    <n v="36"/>
    <n v="32"/>
    <n v="83"/>
    <n v="3"/>
    <n v="86"/>
    <n v="0"/>
    <n v="23"/>
    <n v="23"/>
    <n v="77"/>
    <s v="K-Pop"/>
    <d v="2024-11-29T00:00:00"/>
    <s v="https://image-cdn-ak.spotifycdn.com/image/ab67616d00001e0216ba2a3622bd0d0d985e3234"/>
    <b v="0"/>
  </r>
  <r>
    <n v="1307"/>
    <s v="spotify:track:7GF92haKwJg9WUdnkTxRtr"/>
    <x v="147"/>
    <s v="Magnolias"/>
    <s v="Columbia"/>
    <n v="194"/>
    <n v="1"/>
    <s v="03:18:00"/>
    <b v="0"/>
    <n v="64"/>
    <n v="48"/>
    <n v="70"/>
    <n v="5"/>
    <n v="58"/>
    <n v="0"/>
    <n v="14"/>
    <n v="45"/>
    <n v="105"/>
    <s v="Flamenco"/>
    <s v="7/11/2025"/>
    <s v="https://image-cdn-ak.spotifycdn.com/image/ab67616d00001e0293ee2e2f2dfb7de9befcc164"/>
    <b v="0"/>
  </r>
  <r>
    <n v="1308"/>
    <s v="spotify:track:7GVuAK4EmYP7gvlXA4JXqU"/>
    <x v="387"/>
    <s v="WHATEVER WORKS"/>
    <s v="YZY/gamma."/>
    <n v="159"/>
    <n v="1"/>
    <s v="03:18:00"/>
    <b v="1"/>
    <n v="82"/>
    <n v="60"/>
    <n v="72"/>
    <n v="18"/>
    <n v="20"/>
    <n v="0"/>
    <n v="11"/>
    <n v="67"/>
    <n v="110"/>
    <s v="Hip-Hop/Rap"/>
    <s v="3/4/2026"/>
    <s v="https://image-cdn-ak.spotifycdn.com/image/ab67616d00001e0295184f6a953569b683ca9a0d"/>
    <b v="0"/>
  </r>
  <r>
    <n v="1308"/>
    <s v="spotify:track:7GVuAK4EmYP7gvlXA4JXqU"/>
    <x v="388"/>
    <s v="WHATEVER WORKS"/>
    <s v="YZY/gamma."/>
    <n v="159"/>
    <n v="1"/>
    <s v="03:18:00"/>
    <b v="1"/>
    <n v="82"/>
    <n v="60"/>
    <n v="72"/>
    <n v="18"/>
    <n v="20"/>
    <n v="0"/>
    <n v="11"/>
    <n v="67"/>
    <n v="110"/>
    <s v="Hip-Hop/Rap"/>
    <s v="3/4/2026"/>
    <s v="https://image-cdn-ak.spotifycdn.com/image/ab67616d00001e0295184f6a953569b683ca9a0d"/>
    <b v="0"/>
  </r>
  <r>
    <n v="1309"/>
    <s v="spotify:track:7H6hs7WkNG48fS3agm63MR"/>
    <x v="2"/>
    <s v="GLORY VOICE MEMO"/>
    <s v="JRC Entertainment, LLC / ILH Production Co. LLC / Def Jam Recordings"/>
    <n v="191"/>
    <n v="1"/>
    <s v="01:18:00"/>
    <b v="0"/>
    <n v="60"/>
    <n v="34"/>
    <n v="67"/>
    <n v="7"/>
    <n v="82"/>
    <n v="0"/>
    <n v="28"/>
    <n v="39"/>
    <n v="88"/>
    <s v="Pop"/>
    <s v="12/9/2025"/>
    <s v="https://image-cdn-ak.spotifycdn.com/image/ab67616d00001e02d65c4773bc5061fd27facc5b"/>
    <b v="0"/>
  </r>
  <r>
    <n v="1313"/>
    <s v="spotify:track:7HrDxxY2b7vOKxJHtqdXN6"/>
    <x v="624"/>
    <s v="Imã de Problema"/>
    <s v="Sony Music Entertainment"/>
    <n v="131"/>
    <n v="3"/>
    <s v="02:48:00"/>
    <b v="0"/>
    <n v="82"/>
    <n v="75"/>
    <n v="74"/>
    <n v="7"/>
    <n v="27"/>
    <n v="0"/>
    <n v="24"/>
    <n v="81"/>
    <n v="134"/>
    <s v="Sertanejo"/>
    <s v="13/6/2025"/>
    <s v="https://image-cdn-ak.spotifycdn.com/image/ab67616d00001e02bd667369eaf4a5cd33358871"/>
    <b v="0"/>
  </r>
  <r>
    <n v="1313"/>
    <s v="spotify:track:7HrDxxY2b7vOKxJHtqdXN6"/>
    <x v="793"/>
    <s v="Imã de Problema"/>
    <s v="Sony Music Entertainment"/>
    <n v="131"/>
    <n v="3"/>
    <s v="02:48:00"/>
    <b v="0"/>
    <n v="82"/>
    <n v="75"/>
    <n v="74"/>
    <n v="7"/>
    <n v="27"/>
    <n v="0"/>
    <n v="24"/>
    <n v="81"/>
    <n v="134"/>
    <s v="Sertanejo"/>
    <s v="13/6/2025"/>
    <s v="https://image-cdn-ak.spotifycdn.com/image/ab67616d00001e02bd667369eaf4a5cd33358871"/>
    <b v="0"/>
  </r>
  <r>
    <n v="1314"/>
    <s v="spotify:track:7Ivelh8N9J25Yj9KKxYj6w"/>
    <x v="58"/>
    <s v="Santa Claus Is Coming to Town"/>
    <s v="Reprise"/>
    <n v="46"/>
    <n v="19"/>
    <d v="1899-12-30T02:48:00"/>
    <b v="0"/>
    <n v="58"/>
    <n v="55"/>
    <n v="74"/>
    <n v="4"/>
    <n v="55"/>
    <n v="0"/>
    <n v="15"/>
    <n v="78"/>
    <n v="125"/>
    <s v="Christmas"/>
    <d v="2011-10-24T00:00:00"/>
    <s v="https://image-cdn-ak.spotifycdn.com/image/ab67616d00001e02b601df2f604eabf6f1302337"/>
    <b v="1"/>
  </r>
  <r>
    <n v="1315"/>
    <s v="spotify:track:7J1uxwnxfQLu4APicE5Rnj"/>
    <x v="38"/>
    <s v="Billie Jean"/>
    <s v="Epic"/>
    <n v="1"/>
    <n v="71"/>
    <d v="1899-12-30T04:54:00"/>
    <b v="0"/>
    <n v="93"/>
    <n v="46"/>
    <n v="84"/>
    <n v="5"/>
    <n v="2"/>
    <n v="4"/>
    <n v="4"/>
    <n v="88"/>
    <n v="117"/>
    <s v="Pop"/>
    <d v="1982-11-30T00:00:00"/>
    <s v="https://image-cdn-ak.spotifycdn.com/image/ab67616d00001e0232a7d87248d1b75463483df5"/>
    <b v="0"/>
  </r>
  <r>
    <n v="1316"/>
    <s v="spotify:track:7JJmb5XwzOO8jgpou264Ml"/>
    <x v="488"/>
    <s v="There's Nothing Holdin' Me Back"/>
    <s v="Island Records"/>
    <n v="5"/>
    <n v="104"/>
    <d v="1899-12-30T03:19:00"/>
    <b v="0"/>
    <n v="87"/>
    <n v="81"/>
    <n v="93"/>
    <n v="6"/>
    <n v="38"/>
    <n v="0"/>
    <n v="8"/>
    <n v="97"/>
    <n v="122"/>
    <s v="Pop"/>
    <d v="2017-04-20T00:00:00"/>
    <s v="https://image-cdn-ak.spotifycdn.com/image/ab67616d00001e02ea3ef7697cfd5705b8f47521"/>
    <b v="0"/>
  </r>
  <r>
    <n v="1317"/>
    <s v="spotify:track:7JKpS5rKsKWeVPZ0ojBqv9"/>
    <x v="147"/>
    <s v="La Yugular"/>
    <s v="Columbia"/>
    <n v="106"/>
    <n v="1"/>
    <s v="03:18:00"/>
    <b v="0"/>
    <n v="70"/>
    <n v="69"/>
    <n v="74"/>
    <n v="8"/>
    <n v="25"/>
    <n v="0"/>
    <n v="18"/>
    <n v="58"/>
    <n v="128"/>
    <s v="Flamenco"/>
    <s v="7/11/2025"/>
    <s v="https://image-cdn-ak.spotifycdn.com/image/ab67616d00001e0293ee2e2f2dfb7de9befcc164"/>
    <b v="0"/>
  </r>
  <r>
    <n v="1318"/>
    <s v="spotify:track:7KA4W4McWYRpgf0fWsJZWB"/>
    <x v="442"/>
    <s v="See You Again (feat. Kali Uchis)"/>
    <s v="Columbia"/>
    <n v="16"/>
    <n v="181"/>
    <d v="1899-12-30T03:00:00"/>
    <b v="1"/>
    <n v="56"/>
    <n v="56"/>
    <n v="85"/>
    <n v="10"/>
    <n v="37"/>
    <n v="0"/>
    <n v="11"/>
    <n v="62"/>
    <n v="79"/>
    <s v="Hip-Hop/Rap"/>
    <d v="2017-07-21T00:00:00"/>
    <s v="https://image-cdn-ak.spotifycdn.com/image/ab67616d00001e028940ac99f49e44f59e6f7fb3"/>
    <b v="0"/>
  </r>
  <r>
    <n v="1318"/>
    <s v="spotify:track:7KA4W4McWYRpgf0fWsJZWB"/>
    <x v="238"/>
    <s v="See You Again (feat. Kali Uchis)"/>
    <s v="Columbia"/>
    <n v="16"/>
    <n v="181"/>
    <d v="1899-12-30T03:00:00"/>
    <b v="1"/>
    <n v="56"/>
    <n v="56"/>
    <n v="85"/>
    <n v="10"/>
    <n v="37"/>
    <n v="0"/>
    <n v="11"/>
    <n v="62"/>
    <n v="79"/>
    <s v="Hip-Hop/Rap"/>
    <d v="2017-07-21T00:00:00"/>
    <s v="https://image-cdn-ak.spotifycdn.com/image/ab67616d00001e028940ac99f49e44f59e6f7fb3"/>
    <b v="0"/>
  </r>
  <r>
    <n v="1319"/>
    <s v="spotify:track:7KGHenqXZofXNm5MKDbT3J"/>
    <x v="53"/>
    <s v="Whisper My Name"/>
    <s v="OVO/Republic"/>
    <n v="7"/>
    <n v="4"/>
    <s v="03:18:00"/>
    <b v="1"/>
    <n v="66"/>
    <n v="45"/>
    <n v="69"/>
    <n v="38"/>
    <n v="66"/>
    <n v="0"/>
    <n v="11"/>
    <n v="22"/>
    <n v="88"/>
    <s v="Hip-Hop/Rap"/>
    <s v="22/5/2026"/>
    <s v="https://image-cdn-ak.spotifycdn.com/image/ab67616d00001e02fe9d3ab9adb1d3b59835b81c"/>
    <b v="0"/>
  </r>
  <r>
    <n v="1321"/>
    <s v="spotify:track:7KXjTSCq5nL1LoYtL7XAwS"/>
    <x v="121"/>
    <s v="HUMBLE."/>
    <s v="Aftermath"/>
    <n v="1"/>
    <n v="110"/>
    <d v="1899-12-30T02:57:00"/>
    <b v="1"/>
    <n v="91"/>
    <n v="62"/>
    <n v="89"/>
    <n v="10"/>
    <n v="0"/>
    <n v="0"/>
    <n v="10"/>
    <n v="42"/>
    <n v="150"/>
    <s v="Hip-Hop/Rap"/>
    <d v="2017-03-30T00:00:00"/>
    <s v="https://image-cdn-fa.spotifycdn.com/image/ab67616d00001e028b52c6b9bc4e43d873869699"/>
    <b v="0"/>
  </r>
  <r>
    <n v="1322"/>
    <s v="spotify:track:7L3OGWgJMQdXSbY3zgUt1Q"/>
    <x v="594"/>
    <s v="O Holy Night - Spotify Singles Holiday"/>
    <s v="Atlantic Records"/>
    <n v="172"/>
    <n v="1"/>
    <d v="1899-12-30T03:18:00"/>
    <b v="0"/>
    <n v="52"/>
    <n v="50"/>
    <n v="73"/>
    <n v="3"/>
    <n v="55"/>
    <n v="0"/>
    <n v="15"/>
    <n v="72"/>
    <n v="120"/>
    <s v="Christmas"/>
    <d v="2024-12-06T00:00:00"/>
    <s v="https://image-cdn-ak.spotifycdn.com/image/ab67616d00001e0247580ce5990f7594ce767145"/>
    <b v="1"/>
  </r>
  <r>
    <n v="1323"/>
    <s v="spotify:track:7LoFMtL7hxP9tr5HYyyUrJ"/>
    <x v="794"/>
    <s v="Christmas Time"/>
    <s v="Universal Music Enterprises"/>
    <n v="179"/>
    <n v="1"/>
    <d v="1899-12-30T04:03:00"/>
    <b v="0"/>
    <n v="58"/>
    <n v="58"/>
    <n v="75"/>
    <n v="6"/>
    <n v="35"/>
    <n v="0"/>
    <n v="14"/>
    <n v="72"/>
    <n v="100"/>
    <s v="Christmas"/>
    <d v="1985-11-01T00:00:00"/>
    <s v="https://image-cdn-fa.spotifycdn.com/image/ab67616d00001e02def4e543ccd1749e76df9237"/>
    <b v="1"/>
  </r>
  <r>
    <n v="1324"/>
    <s v="spotify:track:7MSYSOobsombc1mbDWFxtD"/>
    <x v="795"/>
    <s v="This Christmas"/>
    <s v="Rhino Atlantic"/>
    <n v="78"/>
    <n v="6"/>
    <d v="1899-12-30T03:28:00"/>
    <b v="0"/>
    <n v="62"/>
    <n v="62"/>
    <n v="77"/>
    <n v="5"/>
    <n v="30"/>
    <n v="0"/>
    <n v="14"/>
    <n v="78"/>
    <n v="128"/>
    <s v="Christmas"/>
    <d v="1970-11-01T00:00:00"/>
    <s v="https://image-cdn-ak.spotifycdn.com/image/ab67616d00001e0215b4801ea97bec74170e35b0"/>
    <b v="1"/>
  </r>
  <r>
    <n v="1325"/>
    <s v="spotify:track:7MXVkk9YMctZqd1Srtv4MB"/>
    <x v="796"/>
    <s v="Starboy"/>
    <s v="The Weeknd/Lyric"/>
    <n v="1"/>
    <n v="313"/>
    <d v="1899-12-30T03:50:00"/>
    <b v="1"/>
    <n v="68"/>
    <n v="59"/>
    <n v="88"/>
    <n v="28"/>
    <n v="14"/>
    <n v="0"/>
    <n v="14"/>
    <n v="49"/>
    <n v="186"/>
    <s v="R&amp;B"/>
    <d v="2016-09-21T00:00:00"/>
    <s v="https://image-cdn-ak.spotifycdn.com/image/ab67616d00001e024718e2b124f79258be7bc452"/>
    <b v="0"/>
  </r>
  <r>
    <n v="1325"/>
    <s v="spotify:track:7MXVkk9YMctZqd1Srtv4MB"/>
    <x v="55"/>
    <s v="Starboy"/>
    <s v="The Weeknd/Lyric"/>
    <n v="1"/>
    <n v="313"/>
    <d v="1899-12-30T03:50:00"/>
    <b v="1"/>
    <n v="68"/>
    <n v="59"/>
    <n v="88"/>
    <n v="28"/>
    <n v="14"/>
    <n v="0"/>
    <n v="14"/>
    <n v="49"/>
    <n v="186"/>
    <s v="R&amp;B"/>
    <d v="2016-09-21T00:00:00"/>
    <s v="https://image-cdn-ak.spotifycdn.com/image/ab67616d00001e024718e2b124f79258be7bc452"/>
    <b v="0"/>
  </r>
  <r>
    <n v="1326"/>
    <s v="spotify:track:7MmG8p0F9N3C4AXdK6o6Eb"/>
    <x v="326"/>
    <s v="Outside (feat. Ellie Goulding)"/>
    <s v="Columbia"/>
    <n v="146"/>
    <n v="17"/>
    <d v="1899-12-30T03:47:00"/>
    <b v="0"/>
    <n v="65"/>
    <n v="82"/>
    <n v="93"/>
    <n v="4"/>
    <n v="21"/>
    <n v="0"/>
    <n v="32"/>
    <n v="42"/>
    <n v="128"/>
    <s v="EDM"/>
    <d v="2014-10-20T00:00:00"/>
    <s v="https://image-cdn-fa.spotifycdn.com/image/ab67616d00001e028fba5806a323efd272677c4d"/>
    <b v="0"/>
  </r>
  <r>
    <n v="1326"/>
    <s v="spotify:track:7MmG8p0F9N3C4AXdK6o6Eb"/>
    <x v="797"/>
    <s v="Outside (feat. Ellie Goulding)"/>
    <s v="Columbia"/>
    <n v="146"/>
    <n v="17"/>
    <d v="1899-12-30T03:47:00"/>
    <b v="0"/>
    <n v="65"/>
    <n v="82"/>
    <n v="93"/>
    <n v="4"/>
    <n v="21"/>
    <n v="0"/>
    <n v="32"/>
    <n v="42"/>
    <n v="128"/>
    <s v="EDM"/>
    <d v="2014-10-20T00:00:00"/>
    <s v="https://image-cdn-fa.spotifycdn.com/image/ab67616d00001e028fba5806a323efd272677c4d"/>
    <b v="0"/>
  </r>
  <r>
    <n v="1329"/>
    <s v="spotify:track:7aLndReanHBzpTGE5Am9H8"/>
    <x v="798"/>
    <s v="Be By You"/>
    <s v="Columbia Nashville"/>
    <n v="172"/>
    <n v="1"/>
    <s v="03:18:00"/>
    <b v="0"/>
    <n v="56"/>
    <n v="64"/>
    <n v="72"/>
    <n v="4"/>
    <n v="26"/>
    <n v="0"/>
    <n v="15"/>
    <n v="51"/>
    <n v="148"/>
    <s v="Country"/>
    <s v="20/3/2026"/>
    <s v="https://image-cdn-ak.spotifycdn.com/image/ab67616d00001e0214f1e73e3ff3a0f4a6801fad"/>
    <b v="0"/>
  </r>
  <r>
    <n v="1330"/>
    <s v="spotify:track:7bxaFZ1O3cHkgLKMsdC3xR"/>
    <x v="254"/>
    <s v="Loser"/>
    <s v="Columbia"/>
    <n v="2"/>
    <n v="9"/>
    <s v="04:05:00"/>
    <b v="0"/>
    <n v="66"/>
    <n v="58"/>
    <n v="71"/>
    <n v="4"/>
    <n v="40"/>
    <n v="3"/>
    <n v="10"/>
    <n v="48"/>
    <n v="98"/>
    <s v="Psychedelic Pop"/>
    <s v="22/8/2025"/>
    <s v="https://image-cdn-ak.spotifycdn.com/image/ab67616d00001e02208500450dcd0fd294d7bd3b"/>
    <b v="0"/>
  </r>
  <r>
    <n v="1331"/>
    <s v="spotify:track:7bywjHOc0wSjGGbj04XbVi"/>
    <x v="799"/>
    <s v="LUNA"/>
    <s v="UMLE - Latino"/>
    <n v="9"/>
    <n v="77"/>
    <d v="1899-12-30T03:18:00"/>
    <b v="0"/>
    <n v="77"/>
    <n v="86"/>
    <n v="95"/>
    <n v="13"/>
    <n v="13"/>
    <n v="0"/>
    <n v="12"/>
    <n v="45"/>
    <n v="100"/>
    <s v="Reggaeton"/>
    <d v="2024-03-15T00:00:00"/>
    <s v="https://image-cdn-ak.spotifycdn.com/image/ab67616d00001e02f1aad814a40ec7419c234242"/>
    <b v="0"/>
  </r>
  <r>
    <n v="1331"/>
    <s v="spotify:track:7bywjHOc0wSjGGbj04XbVi"/>
    <x v="161"/>
    <s v="LUNA"/>
    <s v="UMLE - Latino"/>
    <n v="9"/>
    <n v="77"/>
    <d v="1899-12-30T03:18:00"/>
    <b v="0"/>
    <n v="77"/>
    <n v="86"/>
    <n v="95"/>
    <n v="13"/>
    <n v="13"/>
    <n v="0"/>
    <n v="12"/>
    <n v="45"/>
    <n v="100"/>
    <s v="Reggaeton"/>
    <d v="2024-03-15T00:00:00"/>
    <s v="https://image-cdn-ak.spotifycdn.com/image/ab67616d00001e02f1aad814a40ec7419c234242"/>
    <b v="0"/>
  </r>
  <r>
    <n v="1332"/>
    <s v="spotify:track:7cgu4JBW3hq1GwTM1ilkKQ"/>
    <x v="800"/>
    <s v="Talking Body"/>
    <s v="Universal Music AB"/>
    <n v="87"/>
    <n v="6"/>
    <d v="1899-12-30T03:58:00"/>
    <b v="1"/>
    <n v="74"/>
    <n v="76"/>
    <n v="91"/>
    <n v="3"/>
    <n v="10"/>
    <n v="0"/>
    <n v="8"/>
    <n v="11"/>
    <n v="120"/>
    <s v="Dance Pop"/>
    <d v="2014-11-17T00:00:00"/>
    <s v="https://image-cdn-ak.spotifycdn.com/image/ab67616d00001e0270cd79659edf4d5fec0840b8"/>
    <b v="0"/>
  </r>
  <r>
    <n v="1333"/>
    <s v="spotify:track:7cjoZVmWe2xsGR4wcXiV2v"/>
    <x v="535"/>
    <s v="What You Saying"/>
    <s v="Cor(e)"/>
    <n v="38"/>
    <n v="12"/>
    <s v="02:48:00"/>
    <b v="1"/>
    <n v="80"/>
    <n v="66"/>
    <n v="73"/>
    <n v="18"/>
    <n v="15"/>
    <n v="0"/>
    <n v="13"/>
    <n v="52"/>
    <n v="140"/>
    <s v="Hip-Hop/Rap"/>
    <s v="6/3/2026"/>
    <s v="https://image-cdn-fa.spotifycdn.com/image/ab67616d00001e0238b6341d4c2a56836a650165"/>
    <b v="0"/>
  </r>
  <r>
    <n v="1334"/>
    <s v="spotify:track:7d6yK8v8J484SWH5prIQiE"/>
    <x v="103"/>
    <s v="VeLDÁ"/>
    <s v="Rimas Entertainment LLC."/>
    <n v="9"/>
    <n v="58"/>
    <d v="1899-12-30T03:38:00"/>
    <b v="1"/>
    <n v="61"/>
    <n v="98"/>
    <n v="69"/>
    <n v="15"/>
    <n v="29"/>
    <n v="0"/>
    <n v="44"/>
    <n v="3"/>
    <n v="102"/>
    <s v="Reggaeton"/>
    <d v="2025-01-05T00:00:00"/>
    <s v="https://image-cdn-ak.spotifycdn.com/image/ab67616d00001e02bbd45c8d36e0e045ef640411"/>
    <b v="0"/>
  </r>
  <r>
    <n v="1334"/>
    <s v="spotify:track:7d6yK8v8J484SWH5prIQiE"/>
    <x v="801"/>
    <s v="VeLDÁ"/>
    <s v="Rimas Entertainment LLC."/>
    <n v="9"/>
    <n v="58"/>
    <d v="1899-12-30T03:38:00"/>
    <b v="1"/>
    <n v="61"/>
    <n v="98"/>
    <n v="69"/>
    <n v="15"/>
    <n v="29"/>
    <n v="0"/>
    <n v="44"/>
    <n v="3"/>
    <n v="102"/>
    <s v="Reggaeton"/>
    <d v="2025-01-05T00:00:00"/>
    <s v="https://image-cdn-ak.spotifycdn.com/image/ab67616d00001e02bbd45c8d36e0e045ef640411"/>
    <b v="0"/>
  </r>
  <r>
    <n v="1334"/>
    <s v="spotify:track:7d6yK8v8J484SWH5prIQiE"/>
    <x v="105"/>
    <s v="VeLDÁ"/>
    <s v="Rimas Entertainment LLC."/>
    <n v="9"/>
    <n v="58"/>
    <d v="1899-12-30T03:38:00"/>
    <b v="1"/>
    <n v="61"/>
    <n v="98"/>
    <n v="69"/>
    <n v="15"/>
    <n v="29"/>
    <n v="0"/>
    <n v="44"/>
    <n v="3"/>
    <n v="102"/>
    <s v="Reggaeton"/>
    <d v="2025-01-05T00:00:00"/>
    <s v="https://image-cdn-ak.spotifycdn.com/image/ab67616d00001e02bbd45c8d36e0e045ef640411"/>
    <b v="0"/>
  </r>
  <r>
    <n v="1336"/>
    <s v="spotify:track:7e89621JPkKaeDSTQ3avtg"/>
    <x v="802"/>
    <s v="Sweet Home Alabama"/>
    <s v="Geffen*"/>
    <n v="181"/>
    <n v="2"/>
    <d v="1899-12-30T04:43:00"/>
    <b v="0"/>
    <n v="60"/>
    <n v="61"/>
    <n v="80"/>
    <n v="3"/>
    <n v="18"/>
    <n v="0"/>
    <n v="9"/>
    <n v="89"/>
    <n v="98"/>
    <s v="Southern Rock"/>
    <d v="1974-04-01T00:00:00"/>
    <s v="https://image-cdn-ak.spotifycdn.com/image/ab67616d00001e0217e1907923e91181f38290ac"/>
    <b v="0"/>
  </r>
  <r>
    <n v="1338"/>
    <s v="spotify:track:7fBv7CLKzipRk6EC6TWHOB"/>
    <x v="55"/>
    <s v="The Hills"/>
    <s v="The Weeknd/Lyric"/>
    <n v="52"/>
    <n v="106"/>
    <d v="1899-12-30T04:02:00"/>
    <b v="1"/>
    <n v="58"/>
    <n v="56"/>
    <n v="88"/>
    <n v="5"/>
    <n v="7"/>
    <n v="0"/>
    <n v="14"/>
    <n v="14"/>
    <n v="113"/>
    <s v="R&amp;B"/>
    <d v="2015-05-27T00:00:00"/>
    <s v="https://image-cdn-ak.spotifycdn.com/image/ab67616d00001e027fcead687e99583072cc217b"/>
    <b v="0"/>
  </r>
  <r>
    <n v="1339"/>
    <s v="spotify:track:7fUYUcWy853HS8YJn0b3Sr"/>
    <x v="803"/>
    <s v="Sleigh Ride"/>
    <s v="Legacy Recordings"/>
    <n v="12"/>
    <n v="41"/>
    <d v="1899-12-30T03:00:00"/>
    <b v="0"/>
    <n v="55"/>
    <n v="55"/>
    <n v="74"/>
    <n v="4"/>
    <n v="55"/>
    <n v="0"/>
    <n v="15"/>
    <n v="78"/>
    <n v="125"/>
    <s v="Christmas"/>
    <d v="1963-11-01T00:00:00"/>
    <s v="https://image-cdn-fa.spotifycdn.com/image/ab67616d00001e021f0d5a8ff630fd5944c3936d"/>
    <b v="1"/>
  </r>
  <r>
    <n v="1340"/>
    <s v="spotify:track:7gKxCvTDWwV9wBhdeBbr3l"/>
    <x v="77"/>
    <s v="Nice To Each Other"/>
    <s v="PLG - Capitol"/>
    <n v="53"/>
    <n v="32"/>
    <d v="1899-12-30T03:05:00"/>
    <b v="0"/>
    <n v="62"/>
    <n v="65"/>
    <n v="76"/>
    <n v="5"/>
    <n v="35"/>
    <n v="0"/>
    <n v="10"/>
    <n v="52"/>
    <n v="95"/>
    <s v="Pop"/>
    <d v="2024-10-18T00:00:00"/>
    <s v="https://image-cdn-fa.spotifycdn.com/image/ab67616d00001e02a9e75099d7065c71cc7ede72"/>
    <b v="0"/>
  </r>
  <r>
    <n v="1342"/>
    <s v="spotify:track:7gtG45ieyQzKtNKobfLd49"/>
    <x v="5"/>
    <s v="American Girls"/>
    <s v="Columbia"/>
    <n v="1"/>
    <n v="14"/>
    <s v="03:38:00"/>
    <b v="0"/>
    <n v="67"/>
    <n v="63"/>
    <n v="73"/>
    <n v="4"/>
    <n v="30"/>
    <n v="0"/>
    <n v="12"/>
    <n v="55"/>
    <n v="122"/>
    <s v="Pop"/>
    <s v="6/3/2026"/>
    <s v="https://image-cdn-ak.spotifycdn.com/image/ab67616d00001e0274959140f550b11049c18a38"/>
    <b v="0"/>
  </r>
  <r>
    <n v="1345"/>
    <s v="spotify:track:7iQXYTyuG13aoeHxGG28Nh"/>
    <x v="103"/>
    <s v="PERRO NEGRO"/>
    <s v="Rimas Entertainment LLC."/>
    <n v="4"/>
    <n v="54"/>
    <d v="1899-12-30T03:18:00"/>
    <b v="1"/>
    <n v="91"/>
    <n v="78"/>
    <n v="96"/>
    <n v="26"/>
    <n v="9"/>
    <n v="0"/>
    <n v="18"/>
    <n v="34"/>
    <n v="96"/>
    <s v="Reggaeton"/>
    <d v="2023-10-13T00:00:00"/>
    <s v="https://image-cdn-ak.spotifycdn.com/image/ab67616d00001e022ea1f035463d11e1fc3b193d"/>
    <b v="0"/>
  </r>
  <r>
    <n v="1345"/>
    <s v="spotify:track:7iQXYTyuG13aoeHxGG28Nh"/>
    <x v="161"/>
    <s v="PERRO NEGRO"/>
    <s v="Rimas Entertainment LLC."/>
    <n v="4"/>
    <n v="54"/>
    <d v="1899-12-30T03:18:00"/>
    <b v="1"/>
    <n v="91"/>
    <n v="78"/>
    <n v="96"/>
    <n v="26"/>
    <n v="9"/>
    <n v="0"/>
    <n v="18"/>
    <n v="34"/>
    <n v="96"/>
    <s v="Reggaeton"/>
    <d v="2023-10-13T00:00:00"/>
    <s v="https://image-cdn-ak.spotifycdn.com/image/ab67616d00001e022ea1f035463d11e1fc3b193d"/>
    <b v="0"/>
  </r>
  <r>
    <n v="1346"/>
    <s v="spotify:track:7jtQIBanIiJOMS6RyCx6jZ"/>
    <x v="804"/>
    <s v="Another Love"/>
    <s v="ITNO/Columbia"/>
    <n v="15"/>
    <n v="274"/>
    <d v="1899-12-30T04:04:00"/>
    <b v="1"/>
    <n v="44"/>
    <n v="54"/>
    <n v="86"/>
    <n v="4"/>
    <n v="70"/>
    <n v="0"/>
    <n v="9"/>
    <n v="13"/>
    <n v="123"/>
    <s v="Indie Pop"/>
    <d v="2012-10-15T00:00:00"/>
    <s v="https://image-cdn-ak.spotifycdn.com/image/ab67616d00001e021b51f809c31f0d98f67c0b7d"/>
    <b v="0"/>
  </r>
  <r>
    <n v="1347"/>
    <s v="spotify:track:7koAf6aZgjO6TS7bipfPD0"/>
    <x v="215"/>
    <s v="YO y TÚ"/>
    <s v="WEA Latina"/>
    <n v="34"/>
    <n v="28"/>
    <s v="03:05:00"/>
    <b v="0"/>
    <n v="82"/>
    <n v="68"/>
    <n v="73"/>
    <n v="7"/>
    <n v="20"/>
    <n v="0"/>
    <n v="11"/>
    <n v="76"/>
    <n v="100"/>
    <s v="Reggaeton"/>
    <s v="30/5/2025"/>
    <s v="https://image-cdn-ak.spotifycdn.com/image/ab67616d00001e027e3722344b0226b81ae8b50c"/>
    <b v="0"/>
  </r>
  <r>
    <n v="1347"/>
    <s v="spotify:track:7koAf6aZgjO6TS7bipfPD0"/>
    <x v="144"/>
    <s v="YO y TÚ"/>
    <s v="WEA Latina"/>
    <n v="34"/>
    <n v="28"/>
    <s v="03:05:00"/>
    <b v="0"/>
    <n v="82"/>
    <n v="68"/>
    <n v="73"/>
    <n v="7"/>
    <n v="20"/>
    <n v="0"/>
    <n v="11"/>
    <n v="76"/>
    <n v="100"/>
    <s v="Reggaeton"/>
    <s v="30/5/2025"/>
    <s v="https://image-cdn-ak.spotifycdn.com/image/ab67616d00001e027e3722344b0226b81ae8b50c"/>
    <b v="0"/>
  </r>
  <r>
    <n v="1347"/>
    <s v="spotify:track:7koAf6aZgjO6TS7bipfPD0"/>
    <x v="108"/>
    <s v="YO y TÚ"/>
    <s v="WEA Latina"/>
    <n v="34"/>
    <n v="28"/>
    <s v="03:05:00"/>
    <b v="0"/>
    <n v="82"/>
    <n v="68"/>
    <n v="73"/>
    <n v="7"/>
    <n v="20"/>
    <n v="0"/>
    <n v="11"/>
    <n v="76"/>
    <n v="100"/>
    <s v="Reggaeton"/>
    <s v="30/5/2025"/>
    <s v="https://image-cdn-ak.spotifycdn.com/image/ab67616d00001e027e3722344b0226b81ae8b50c"/>
    <b v="0"/>
  </r>
  <r>
    <n v="1348"/>
    <s v="spotify:track:7lQ8MOhq6IN2w8EYcFNSUk"/>
    <x v="198"/>
    <s v="Without Me"/>
    <s v="Eminem Catalog PS"/>
    <n v="31"/>
    <n v="245"/>
    <d v="1899-12-30T04:50:00"/>
    <b v="1"/>
    <n v="91"/>
    <n v="67"/>
    <n v="95"/>
    <n v="7"/>
    <n v="0"/>
    <n v="0"/>
    <n v="24"/>
    <n v="66"/>
    <n v="112"/>
    <s v="Hip-Hop/Rap"/>
    <d v="2002-05-14T00:00:00"/>
    <s v="https://image-cdn-ak.spotifycdn.com/image/ab67616d00001e026ca5c90113b30c3c43ffb8f4"/>
    <b v="0"/>
  </r>
  <r>
    <n v="1350"/>
    <s v="spotify:track:7m2g1kKuF7Tre2PzjK3Lnh"/>
    <x v="805"/>
    <s v="Can't Get You out of My Head"/>
    <s v="Parlophone UK"/>
    <n v="197"/>
    <n v="1"/>
    <d v="1899-12-30T03:50:00"/>
    <b v="0"/>
    <n v="77"/>
    <n v="56"/>
    <n v="87"/>
    <n v="3"/>
    <n v="3"/>
    <n v="68"/>
    <n v="12"/>
    <n v="96"/>
    <n v="126"/>
    <s v="Dance Pop"/>
    <d v="2001-09-17T00:00:00"/>
    <s v="https://image-cdn-ak.spotifycdn.com/image/ab67616d00001e02c2f18ddba993ab67b989bcb8"/>
    <b v="0"/>
  </r>
  <r>
    <n v="1351"/>
    <s v="spotify:track:7mOe6qQYMq1MCzJcifwPu4"/>
    <x v="37"/>
    <s v="Paid Time Off"/>
    <s v="Mercury Records"/>
    <n v="106"/>
    <n v="1"/>
    <s v="03:48:00"/>
    <b v="0"/>
    <n v="56"/>
    <n v="45"/>
    <n v="70"/>
    <n v="4"/>
    <n v="59"/>
    <n v="0"/>
    <n v="10"/>
    <n v="35"/>
    <n v="100"/>
    <s v="Indie Folk"/>
    <s v="3/4/2026"/>
    <s v="https://image-cdn-ak.spotifycdn.com/image/ab67616d00001e02d879855b819250d3d00a1a38"/>
    <b v="0"/>
  </r>
  <r>
    <n v="1352"/>
    <s v="spotify:track:7ne4VBA60CxGM75vw0EYad"/>
    <x v="189"/>
    <s v="That’s So True"/>
    <s v="Gracie Abrams, under exclusive license to Interscope Records"/>
    <n v="3"/>
    <n v="92"/>
    <d v="1899-12-30T03:44:00"/>
    <b v="1"/>
    <n v="55"/>
    <n v="81"/>
    <n v="93"/>
    <n v="4"/>
    <n v="21"/>
    <n v="0"/>
    <n v="16"/>
    <n v="37"/>
    <n v="109"/>
    <s v="Indie Pop"/>
    <d v="2024-06-21T00:00:00"/>
    <s v="https://image-cdn-ak.spotifycdn.com/image/ab67616d00001e021dac3694b3289cd903cb3acf"/>
    <b v="0"/>
  </r>
  <r>
    <n v="1353"/>
    <s v="spotify:track:7nrd0eIftH3NQLfgk20Qp9"/>
    <x v="142"/>
    <s v="YOGURCITO REMIX (feat. Kris R., ROA)"/>
    <s v="WEA Latina"/>
    <n v="93"/>
    <n v="15"/>
    <s v="03:18:00"/>
    <b v="1"/>
    <n v="84"/>
    <n v="78"/>
    <n v="74"/>
    <n v="10"/>
    <n v="15"/>
    <n v="0"/>
    <n v="13"/>
    <n v="79"/>
    <n v="128"/>
    <s v="Reggaeton"/>
    <s v="13/6/2025"/>
    <s v="https://image-cdn-fa.spotifycdn.com/image/ab67616d00001e027c0a3b32051a3ca160de361a"/>
    <b v="0"/>
  </r>
  <r>
    <n v="1353"/>
    <s v="spotify:track:7nrd0eIftH3NQLfgk20Qp9"/>
    <x v="143"/>
    <s v="YOGURCITO REMIX (feat. Kris R., ROA)"/>
    <s v="WEA Latina"/>
    <n v="93"/>
    <n v="15"/>
    <s v="03:18:00"/>
    <b v="1"/>
    <n v="84"/>
    <n v="78"/>
    <n v="74"/>
    <n v="10"/>
    <n v="15"/>
    <n v="0"/>
    <n v="13"/>
    <n v="79"/>
    <n v="128"/>
    <s v="Reggaeton"/>
    <s v="13/6/2025"/>
    <s v="https://image-cdn-fa.spotifycdn.com/image/ab67616d00001e027c0a3b32051a3ca160de361a"/>
    <b v="0"/>
  </r>
  <r>
    <n v="1353"/>
    <s v="spotify:track:7nrd0eIftH3NQLfgk20Qp9"/>
    <x v="806"/>
    <s v="YOGURCITO REMIX (feat. Kris R., ROA)"/>
    <s v="WEA Latina"/>
    <n v="93"/>
    <n v="15"/>
    <s v="03:18:00"/>
    <b v="1"/>
    <n v="84"/>
    <n v="78"/>
    <n v="74"/>
    <n v="10"/>
    <n v="15"/>
    <n v="0"/>
    <n v="13"/>
    <n v="79"/>
    <n v="128"/>
    <s v="Reggaeton"/>
    <s v="13/6/2025"/>
    <s v="https://image-cdn-fa.spotifycdn.com/image/ab67616d00001e027c0a3b32051a3ca160de361a"/>
    <b v="0"/>
  </r>
  <r>
    <n v="1353"/>
    <s v="spotify:track:7nrd0eIftH3NQLfgk20Qp9"/>
    <x v="807"/>
    <s v="YOGURCITO REMIX (feat. Kris R., ROA)"/>
    <s v="WEA Latina"/>
    <n v="93"/>
    <n v="15"/>
    <s v="03:18:00"/>
    <b v="1"/>
    <n v="84"/>
    <n v="78"/>
    <n v="74"/>
    <n v="10"/>
    <n v="15"/>
    <n v="0"/>
    <n v="13"/>
    <n v="79"/>
    <n v="128"/>
    <s v="Reggaeton"/>
    <s v="13/6/2025"/>
    <s v="https://image-cdn-fa.spotifycdn.com/image/ab67616d00001e027c0a3b32051a3ca160de361a"/>
    <b v="0"/>
  </r>
  <r>
    <n v="1353"/>
    <s v="spotify:track:7nrd0eIftH3NQLfgk20Qp9"/>
    <x v="808"/>
    <s v="YOGURCITO REMIX (feat. Kris R., ROA)"/>
    <s v="WEA Latina"/>
    <n v="93"/>
    <n v="15"/>
    <s v="03:18:00"/>
    <b v="1"/>
    <n v="84"/>
    <n v="78"/>
    <n v="74"/>
    <n v="10"/>
    <n v="15"/>
    <n v="0"/>
    <n v="13"/>
    <n v="79"/>
    <n v="128"/>
    <s v="Reggaeton"/>
    <s v="13/6/2025"/>
    <s v="https://image-cdn-fa.spotifycdn.com/image/ab67616d00001e027c0a3b32051a3ca160de361a"/>
    <b v="0"/>
  </r>
  <r>
    <n v="1353"/>
    <s v="spotify:track:7nrd0eIftH3NQLfgk20Qp9"/>
    <x v="809"/>
    <s v="YOGURCITO REMIX (feat. Kris R., ROA)"/>
    <s v="WEA Latina"/>
    <n v="93"/>
    <n v="15"/>
    <s v="03:18:00"/>
    <b v="1"/>
    <n v="84"/>
    <n v="78"/>
    <n v="74"/>
    <n v="10"/>
    <n v="15"/>
    <n v="0"/>
    <n v="13"/>
    <n v="79"/>
    <n v="128"/>
    <s v="Reggaeton"/>
    <s v="13/6/2025"/>
    <s v="https://image-cdn-fa.spotifycdn.com/image/ab67616d00001e027c0a3b32051a3ca160de361a"/>
    <b v="0"/>
  </r>
  <r>
    <n v="1354"/>
    <s v="spotify:track:7o3xJRQhpHRZ6IbyQX2xrp"/>
    <x v="26"/>
    <s v="we never dated"/>
    <s v="Warner Records"/>
    <n v="118"/>
    <n v="2"/>
    <s v="03:12:00"/>
    <b v="0"/>
    <n v="48"/>
    <n v="38"/>
    <n v="68"/>
    <n v="5"/>
    <n v="76"/>
    <n v="0"/>
    <n v="11"/>
    <n v="28"/>
    <n v="124"/>
    <s v="Indie Pop"/>
    <s v="27/6/2025"/>
    <s v="https://image-cdn-ak.spotifycdn.com/image/ab67616d00001e02a866e6634ca8152aaa3834c1"/>
    <b v="0"/>
  </r>
  <r>
    <n v="1355"/>
    <s v="spotify:track:7o76sIawH9bRWsltcWfQfd"/>
    <x v="810"/>
    <s v="La Rumba Del Perdón"/>
    <s v="Columbia"/>
    <n v="163"/>
    <n v="1"/>
    <s v="03:18:00"/>
    <b v="0"/>
    <n v="63"/>
    <n v="56"/>
    <n v="71"/>
    <n v="7"/>
    <n v="52"/>
    <n v="0"/>
    <n v="25"/>
    <n v="76"/>
    <n v="140"/>
    <s v="Flamenco"/>
    <s v="7/11/2025"/>
    <s v="https://image-cdn-ak.spotifycdn.com/image/ab67616d00001e0293ee2e2f2dfb7de9befcc164"/>
    <b v="0"/>
  </r>
  <r>
    <n v="1355"/>
    <s v="spotify:track:7o76sIawH9bRWsltcWfQfd"/>
    <x v="147"/>
    <s v="La Rumba Del Perdón"/>
    <s v="Columbia"/>
    <n v="163"/>
    <n v="1"/>
    <s v="03:18:00"/>
    <b v="0"/>
    <n v="63"/>
    <n v="56"/>
    <n v="71"/>
    <n v="7"/>
    <n v="52"/>
    <n v="0"/>
    <n v="25"/>
    <n v="76"/>
    <n v="140"/>
    <s v="Flamenco"/>
    <s v="7/11/2025"/>
    <s v="https://image-cdn-ak.spotifycdn.com/image/ab67616d00001e0293ee2e2f2dfb7de9befcc164"/>
    <b v="0"/>
  </r>
  <r>
    <n v="1355"/>
    <s v="spotify:track:7o76sIawH9bRWsltcWfQfd"/>
    <x v="811"/>
    <s v="La Rumba Del Perdón"/>
    <s v="Columbia"/>
    <n v="163"/>
    <n v="1"/>
    <s v="03:18:00"/>
    <b v="0"/>
    <n v="63"/>
    <n v="56"/>
    <n v="71"/>
    <n v="7"/>
    <n v="52"/>
    <n v="0"/>
    <n v="25"/>
    <n v="76"/>
    <n v="140"/>
    <s v="Flamenco"/>
    <s v="7/11/2025"/>
    <s v="https://image-cdn-ak.spotifycdn.com/image/ab67616d00001e0293ee2e2f2dfb7de9befcc164"/>
    <b v="0"/>
  </r>
  <r>
    <n v="1357"/>
    <s v="spotify:track:7oOOI85fVQvVnK5ynNMdW7"/>
    <x v="38"/>
    <s v="Rock with You - Single Version"/>
    <s v="Epic"/>
    <n v="81"/>
    <n v="7"/>
    <d v="1899-12-30T03:23:00"/>
    <b v="0"/>
    <n v="81"/>
    <n v="54"/>
    <n v="79"/>
    <n v="4"/>
    <n v="18"/>
    <n v="0"/>
    <n v="16"/>
    <n v="85"/>
    <n v="114"/>
    <s v="Pop"/>
    <d v="1979-10-01T00:00:00"/>
    <s v="https://image-cdn-ak.spotifycdn.com/image/ab67616d00001e022b74bf21c7e4f56758610949"/>
    <b v="0"/>
  </r>
  <r>
    <n v="1358"/>
    <s v="spotify:track:7oZOCPjlLpHZtIebTXhlfZ"/>
    <x v="535"/>
    <s v="JUMPIN (with Lil Uzi Vert)"/>
    <s v="AWGE/Interscope Records"/>
    <n v="92"/>
    <n v="1"/>
    <d v="1899-12-30T02:48:00"/>
    <b v="1"/>
    <n v="78"/>
    <n v="59"/>
    <n v="88"/>
    <n v="32"/>
    <n v="0"/>
    <n v="0"/>
    <n v="16"/>
    <n v="29"/>
    <n v="141"/>
    <s v="Hip-Hop/Rap"/>
    <d v="2025-03-14T00:00:00"/>
    <s v="https://image-cdn-ak.spotifycdn.com/image/ab67616d00001e026b219c8d8462bfe254a20469"/>
    <b v="0"/>
  </r>
  <r>
    <n v="1358"/>
    <s v="spotify:track:7oZOCPjlLpHZtIebTXhlfZ"/>
    <x v="1"/>
    <s v="JUMPIN (with Lil Uzi Vert)"/>
    <s v="AWGE/Interscope Records"/>
    <n v="92"/>
    <n v="1"/>
    <d v="1899-12-30T02:48:00"/>
    <b v="1"/>
    <n v="78"/>
    <n v="59"/>
    <n v="88"/>
    <n v="32"/>
    <n v="0"/>
    <n v="0"/>
    <n v="16"/>
    <n v="29"/>
    <n v="141"/>
    <s v="Hip-Hop/Rap"/>
    <d v="2025-03-14T00:00:00"/>
    <s v="https://image-cdn-ak.spotifycdn.com/image/ab67616d00001e026b219c8d8462bfe254a20469"/>
    <b v="0"/>
  </r>
  <r>
    <n v="1359"/>
    <s v="spotify:track:7ogpGbKc4Io6NCU6ydxXwZ"/>
    <x v="169"/>
    <s v="FEVER DREAM"/>
    <s v="Atlantic Records"/>
    <n v="21"/>
    <n v="13"/>
    <d v="1899-12-30T03:08:00"/>
    <b v="0"/>
    <n v="65"/>
    <n v="65"/>
    <n v="77"/>
    <n v="6"/>
    <n v="30"/>
    <n v="0"/>
    <n v="11"/>
    <n v="58"/>
    <n v="105"/>
    <s v="Pop"/>
    <d v="2025-02-07T00:00:00"/>
    <s v="https://image-cdn-fa.spotifycdn.com/image/ab67616d00001e02867f5a2310b84cf508f9764b"/>
    <b v="0"/>
  </r>
  <r>
    <n v="1360"/>
    <s v="spotify:track:7pBzCp7qNLlsH6rzEFkSwN"/>
    <x v="812"/>
    <s v="FREAKED OUT"/>
    <s v="broke"/>
    <n v="60"/>
    <n v="7"/>
    <s v="02:48:00"/>
    <b v="1"/>
    <n v="80"/>
    <n v="61"/>
    <n v="72"/>
    <n v="12"/>
    <n v="22"/>
    <n v="0"/>
    <n v="13"/>
    <n v="62"/>
    <n v="128"/>
    <s v="Hip-Hop/Rap"/>
    <s v="16/1/2026"/>
    <s v="https://image-cdn-ak.spotifycdn.com/image/ab67616d00001e028506a90b18ea14d43031cbac"/>
    <b v="0"/>
  </r>
  <r>
    <n v="1360"/>
    <s v="spotify:track:7pBzCp7qNLlsH6rzEFkSwN"/>
    <x v="813"/>
    <s v="FREAKED OUT"/>
    <s v="broke"/>
    <n v="60"/>
    <n v="7"/>
    <s v="02:48:00"/>
    <b v="1"/>
    <n v="80"/>
    <n v="61"/>
    <n v="72"/>
    <n v="12"/>
    <n v="22"/>
    <n v="0"/>
    <n v="13"/>
    <n v="62"/>
    <n v="128"/>
    <s v="Hip-Hop/Rap"/>
    <s v="16/1/2026"/>
    <s v="https://image-cdn-ak.spotifycdn.com/image/ab67616d00001e028506a90b18ea14d43031cbac"/>
    <b v="0"/>
  </r>
  <r>
    <n v="1361"/>
    <s v="spotify:track:7qEHsqek33rTcFNT9PFqLf"/>
    <x v="814"/>
    <s v="Someone You Loved"/>
    <s v="Vertigo Berlin"/>
    <n v="4"/>
    <n v="343"/>
    <d v="1899-12-30T03:02:00"/>
    <b v="0"/>
    <n v="50"/>
    <n v="40"/>
    <n v="91"/>
    <n v="3"/>
    <n v="75"/>
    <n v="0"/>
    <n v="10"/>
    <n v="45"/>
    <n v="110"/>
    <s v="Pop"/>
    <d v="2018-11-08T00:00:00"/>
    <s v="https://image-cdn-ak.spotifycdn.com/image/ab67616d00001e02fc2101e6889d6ce9025f85f2"/>
    <b v="0"/>
  </r>
  <r>
    <n v="1363"/>
    <s v="spotify:track:7qiZfU4dY1lWllzX7mPBI3"/>
    <x v="56"/>
    <s v="Shape of You"/>
    <s v="Atlantic Records UK"/>
    <n v="1"/>
    <n v="434"/>
    <d v="1899-12-30T03:53:00"/>
    <b v="0"/>
    <n v="82"/>
    <n v="65"/>
    <n v="95"/>
    <n v="8"/>
    <n v="58"/>
    <n v="0"/>
    <n v="9"/>
    <n v="93"/>
    <n v="96"/>
    <s v="Pop"/>
    <d v="2017-01-06T00:00:00"/>
    <s v="https://image-cdn-ak.spotifycdn.com/image/ab67616d00001e02ba5db46f4b838ef6027e6f96"/>
    <b v="0"/>
  </r>
  <r>
    <n v="1365"/>
    <s v="spotify:track:7ricDBUakN3N0YkkKE8Obu"/>
    <x v="215"/>
    <s v="mi refe"/>
    <s v="5020 Records"/>
    <n v="55"/>
    <n v="19"/>
    <d v="1899-12-30T02:48:00"/>
    <b v="0"/>
    <n v="59"/>
    <n v="63"/>
    <n v="91"/>
    <n v="27"/>
    <n v="42"/>
    <n v="0"/>
    <n v="10"/>
    <n v="46"/>
    <n v="151"/>
    <s v="Reggaeton"/>
    <d v="2024-10-18T00:00:00"/>
    <s v="https://image-cdn-fa.spotifycdn.com/image/ab67616d00001e02fadf4f897c40ac7a63c6b458"/>
    <b v="0"/>
  </r>
  <r>
    <n v="1365"/>
    <s v="spotify:track:7ricDBUakN3N0YkkKE8Obu"/>
    <x v="144"/>
    <s v="mi refe"/>
    <s v="5020 Records"/>
    <n v="55"/>
    <n v="19"/>
    <d v="1899-12-30T02:48:00"/>
    <b v="0"/>
    <n v="59"/>
    <n v="63"/>
    <n v="91"/>
    <n v="27"/>
    <n v="42"/>
    <n v="0"/>
    <n v="10"/>
    <n v="46"/>
    <n v="151"/>
    <s v="Reggaeton"/>
    <d v="2024-10-18T00:00:00"/>
    <s v="https://image-cdn-fa.spotifycdn.com/image/ab67616d00001e02fadf4f897c40ac7a63c6b458"/>
    <b v="0"/>
  </r>
  <r>
    <n v="1366"/>
    <s v="spotify:track:7s7v5EoNLD6TwDu4Nw51Oy"/>
    <x v="5"/>
    <s v="Are You Listening Yet?"/>
    <s v="Columbia"/>
    <n v="22"/>
    <n v="2"/>
    <s v="03:18:00"/>
    <b v="0"/>
    <n v="60"/>
    <n v="46"/>
    <n v="70"/>
    <n v="5"/>
    <n v="59"/>
    <n v="0"/>
    <n v="10"/>
    <n v="36"/>
    <n v="142"/>
    <s v="Pop"/>
    <s v="6/3/2026"/>
    <s v="https://image-cdn-ak.spotifycdn.com/image/ab67616d00001e0274959140f550b11049c18a38"/>
    <b v="0"/>
  </r>
  <r>
    <n v="1367"/>
    <s v="spotify:track:7sFMOSnRBa6td4lZa1oiTI"/>
    <x v="166"/>
    <s v="How Does It Feel To Be Forgotten"/>
    <s v="SMG Music LLC &amp; Friends Keep Secrets under exclusive license to Interscope Records"/>
    <n v="163"/>
    <n v="2"/>
    <d v="1899-12-30T03:05:00"/>
    <b v="1"/>
    <n v="65"/>
    <n v="36"/>
    <n v="87"/>
    <n v="4"/>
    <n v="36"/>
    <n v="0"/>
    <n v="12"/>
    <n v="22"/>
    <n v="124"/>
    <s v="Pop"/>
    <d v="2025-03-21T00:00:00"/>
    <s v="https://image-cdn-ak.spotifycdn.com/image/ab67616d00001e025c99217c0a33291dcd4e0242"/>
    <b v="0"/>
  </r>
  <r>
    <n v="1367"/>
    <s v="spotify:track:7sFMOSnRBa6td4lZa1oiTI"/>
    <x v="223"/>
    <s v="How Does It Feel To Be Forgotten"/>
    <s v="SMG Music LLC &amp; Friends Keep Secrets under exclusive license to Interscope Records"/>
    <n v="163"/>
    <n v="2"/>
    <d v="1899-12-30T03:05:00"/>
    <b v="1"/>
    <n v="65"/>
    <n v="36"/>
    <n v="87"/>
    <n v="4"/>
    <n v="36"/>
    <n v="0"/>
    <n v="12"/>
    <n v="22"/>
    <n v="124"/>
    <s v="Pop"/>
    <d v="2025-03-21T00:00:00"/>
    <s v="https://image-cdn-ak.spotifycdn.com/image/ab67616d00001e025c99217c0a33291dcd4e0242"/>
    <b v="0"/>
  </r>
  <r>
    <n v="1369"/>
    <s v="spotify:track:7sd6zMrgGpEa7NkQm9TRrg"/>
    <x v="31"/>
    <s v="NADIE"/>
    <s v="Double P Records"/>
    <n v="37"/>
    <n v="23"/>
    <d v="1899-12-30T03:05:00"/>
    <b v="1"/>
    <n v="70"/>
    <n v="84"/>
    <n v="92"/>
    <n v="11"/>
    <n v="46"/>
    <n v="0"/>
    <n v="12"/>
    <n v="53"/>
    <n v="93"/>
    <s v="Regional Mexicano"/>
    <d v="2025-03-14T00:00:00"/>
    <s v="https://image-cdn-ak.spotifycdn.com/image/ab67616d00001e02369bcf083996da3c3b6d1f40"/>
    <b v="0"/>
  </r>
  <r>
    <n v="1370"/>
    <s v="spotify:track:7snQQk1zcKl8gZ92AnueZW"/>
    <x v="815"/>
    <s v="Sweet Child O' Mine"/>
    <s v="Guns N Roses P&amp;D"/>
    <n v="99"/>
    <n v="91"/>
    <d v="1899-12-30T05:56:00"/>
    <b v="0"/>
    <n v="44"/>
    <n v="95"/>
    <n v="91"/>
    <n v="5"/>
    <n v="9"/>
    <n v="8"/>
    <n v="11"/>
    <n v="62"/>
    <n v="125"/>
    <s v="Hard Rock"/>
    <d v="1987-07-21T00:00:00"/>
    <s v="https://image-cdn-fa.spotifycdn.com/image/ab67616d00001e0221ebf49b3292c3f0f575f0f5"/>
    <b v="0"/>
  </r>
  <r>
    <n v="1372"/>
    <s v="spotify:track:7tCuCjhxzjX2XCz4JiiAsp"/>
    <x v="103"/>
    <s v="TURiSTA"/>
    <s v="Rimas Entertainment LLC."/>
    <n v="26"/>
    <n v="6"/>
    <d v="1899-12-30T03:18:00"/>
    <b v="0"/>
    <n v="36"/>
    <n v="12"/>
    <n v="49"/>
    <n v="52"/>
    <n v="46"/>
    <n v="7"/>
    <n v="15"/>
    <n v="32"/>
    <n v="91"/>
    <s v="Reggaeton"/>
    <d v="2025-01-05T00:00:00"/>
    <s v="https://image-cdn-ak.spotifycdn.com/image/ab67616d00001e02bbd45c8d36e0e045ef640411"/>
    <b v="0"/>
  </r>
  <r>
    <n v="1373"/>
    <s v="spotify:track:7tI8dRuH2Yc6RuoTjxo4dU"/>
    <x v="485"/>
    <s v="Who"/>
    <s v="BIGHIT MUSIC"/>
    <n v="1"/>
    <n v="107"/>
    <d v="1899-12-30T02:51:00"/>
    <b v="0"/>
    <n v="66"/>
    <n v="76"/>
    <n v="94"/>
    <n v="3"/>
    <n v="0"/>
    <n v="0"/>
    <n v="19"/>
    <n v="84"/>
    <n v="116"/>
    <s v="K-Pop"/>
    <d v="2024-07-19T00:00:00"/>
    <s v="https://image-cdn-ak.spotifycdn.com/image/ab67616d00001e02f02c451189a709b9a952aaec"/>
    <b v="0"/>
  </r>
  <r>
    <n v="1374"/>
    <s v="spotify:track:7tICCrK3CcyRFKza7yrR0z"/>
    <x v="26"/>
    <s v="Homewrecker"/>
    <s v="Warner Records"/>
    <n v="21"/>
    <n v="34"/>
    <d v="1899-12-30T03:22:00"/>
    <b v="0"/>
    <n v="62"/>
    <n v="60"/>
    <n v="75"/>
    <n v="5"/>
    <n v="40"/>
    <n v="0"/>
    <n v="10"/>
    <n v="42"/>
    <n v="88"/>
    <s v="Indie Pop"/>
    <d v="2024-08-09T00:00:00"/>
    <s v="https://image-cdn-fa.spotifycdn.com/image/ab67616d00001e029a8d41dca4c7d0ef23d76dd7"/>
    <b v="0"/>
  </r>
  <r>
    <n v="1375"/>
    <s v="spotify:track:7tvHcZM7GcXJQ1rKWuwRgp"/>
    <x v="235"/>
    <s v="DIVINE"/>
    <s v="Republic Records - Stray Kids"/>
    <n v="163"/>
    <n v="1"/>
    <s v="03:05:00"/>
    <b v="0"/>
    <n v="74"/>
    <n v="76"/>
    <n v="74"/>
    <n v="7"/>
    <n v="16"/>
    <n v="0"/>
    <n v="14"/>
    <n v="66"/>
    <n v="130"/>
    <s v="K-Pop"/>
    <s v="22/8/2025"/>
    <s v="https://image-cdn-ak.spotifycdn.com/image/ab67616d00001e02a08c4f429bde0743d0597db7"/>
    <b v="0"/>
  </r>
  <r>
    <n v="1376"/>
    <s v="spotify:track:7u7IqryLFAygWFz6bsEB7y"/>
    <x v="816"/>
    <s v="Blue Strips"/>
    <s v="Columbia"/>
    <n v="119"/>
    <n v="6"/>
    <s v="03:05:00"/>
    <b v="1"/>
    <n v="66"/>
    <n v="54"/>
    <n v="71"/>
    <n v="5"/>
    <n v="42"/>
    <n v="0"/>
    <n v="11"/>
    <n v="46"/>
    <n v="120"/>
    <s v="Pop"/>
    <s v="13/6/2025"/>
    <s v="https://image-cdn-ak.spotifycdn.com/image/ab67616d00001e02e0fbf6a385b20094a1898863"/>
    <b v="0"/>
  </r>
  <r>
    <n v="1377"/>
    <s v="spotify:track:7uJUDd92ZfawO5clVSY0dq"/>
    <x v="817"/>
    <s v="Maui Wowie"/>
    <s v="Wicked Awesome/Kid Cudi"/>
    <n v="170"/>
    <n v="1"/>
    <s v="03:18:00"/>
    <b v="1"/>
    <n v="78"/>
    <n v="65"/>
    <n v="71"/>
    <n v="12"/>
    <n v="23"/>
    <n v="0"/>
    <n v="14"/>
    <n v="69"/>
    <n v="90"/>
    <s v="Hip-Hop/Rap"/>
    <s v="30/1/2026"/>
    <s v="https://image-cdn-ak.spotifycdn.com/image/ab67616d00001e024cb2f1ba021f56ca81eedb11"/>
    <b v="0"/>
  </r>
  <r>
    <n v="1378"/>
    <s v="spotify:track:7ujApz6iFP3PmKIDGcaGbe"/>
    <x v="413"/>
    <s v="Great Expectation"/>
    <s v="Capitol Records"/>
    <n v="29"/>
    <n v="12"/>
    <s v="03:42:00"/>
    <b v="0"/>
    <n v="55"/>
    <n v="44"/>
    <n v="71"/>
    <n v="4"/>
    <n v="67"/>
    <n v="0"/>
    <n v="11"/>
    <n v="35"/>
    <n v="120"/>
    <s v="Pop"/>
    <s v="14/11/2025"/>
    <s v="https://image-cdn-ak.spotifycdn.com/image/ab67616d00001e02b09eea420767969b6729962b"/>
    <b v="0"/>
  </r>
  <r>
    <n v="1379"/>
    <s v="spotify:track:7uoFMmxln0GPXQ0AcCBXRq"/>
    <x v="156"/>
    <s v="Snowman"/>
    <s v="Monkey Puzzle/Atlantic"/>
    <n v="8"/>
    <n v="47"/>
    <d v="1899-12-30T02:45:00"/>
    <b v="0"/>
    <n v="72"/>
    <n v="52"/>
    <n v="90"/>
    <n v="3"/>
    <n v="43"/>
    <n v="0"/>
    <n v="9"/>
    <n v="34"/>
    <n v="105"/>
    <s v="Christmas"/>
    <d v="2017-10-13T00:00:00"/>
    <s v="https://image-cdn-ak.spotifycdn.com/image/ab67616d00001e02a75e532b61dac3ddafd022ef"/>
    <b v="1"/>
  </r>
  <r>
    <n v="1380"/>
    <s v="spotify:track:7uxkx8HPBYkJKcimOyggUM"/>
    <x v="19"/>
    <s v="Cleveland!"/>
    <s v="Taylor Swift"/>
    <n v="4"/>
    <n v="1"/>
    <s v="03:18:00"/>
    <b v="0"/>
    <n v="64"/>
    <n v="66"/>
    <n v="73"/>
    <n v="4"/>
    <n v="27"/>
    <n v="0"/>
    <n v="20"/>
    <n v="56"/>
    <n v="135"/>
    <s v="Pop"/>
    <s v="3/10/2025"/>
    <s v="https://image-cdn-ak.spotifycdn.com/image/ab67616d00001e02cf3de6b538d8b1ed73a4d5d1"/>
    <b v="0"/>
  </r>
  <r>
    <n v="1381"/>
    <s v="spotify:track:7vQbuQcyTflfCIOu3Uzzya"/>
    <x v="818"/>
    <s v="Jingle Bell Rock"/>
    <s v="Geffen"/>
    <n v="4"/>
    <n v="58"/>
    <d v="1899-12-30T02:11:00"/>
    <b v="0"/>
    <n v="60"/>
    <n v="62"/>
    <n v="77"/>
    <n v="4"/>
    <n v="40"/>
    <n v="0"/>
    <n v="15"/>
    <n v="82"/>
    <n v="120"/>
    <s v="Christmas"/>
    <d v="1957-11-01T00:00:00"/>
    <s v="https://image-cdn-fa.spotifycdn.com/image/ab67616d00001e02fd56f3c7a294f5cfe51c7b17"/>
    <b v="1"/>
  </r>
  <r>
    <n v="1382"/>
    <s v="spotify:track:7vg9noSnFEyPfwLiaCW4vi"/>
    <x v="777"/>
    <s v="NO BATIDÃO"/>
    <s v="ZXKAI"/>
    <n v="172"/>
    <n v="3"/>
    <s v="02:35:00"/>
    <b v="1"/>
    <n v="76"/>
    <n v="74"/>
    <n v="74"/>
    <n v="11"/>
    <n v="18"/>
    <n v="0"/>
    <n v="13"/>
    <n v="65"/>
    <n v="130"/>
    <s v="Phonk"/>
    <s v="30/1/2026"/>
    <s v="https://image-cdn-ak.spotifycdn.com/image/ab67616d00001e027bff89cf90806ae22a6b72df"/>
    <b v="0"/>
  </r>
  <r>
    <n v="1382"/>
    <s v="spotify:track:7vg9noSnFEyPfwLiaCW4vi"/>
    <x v="778"/>
    <s v="NO BATIDÃO"/>
    <s v="ZXKAI"/>
    <n v="172"/>
    <n v="3"/>
    <s v="02:35:00"/>
    <b v="1"/>
    <n v="76"/>
    <n v="74"/>
    <n v="74"/>
    <n v="11"/>
    <n v="18"/>
    <n v="0"/>
    <n v="13"/>
    <n v="65"/>
    <n v="130"/>
    <s v="Phonk"/>
    <s v="30/1/2026"/>
    <s v="https://image-cdn-ak.spotifycdn.com/image/ab67616d00001e027bff89cf90806ae22a6b72df"/>
    <b v="0"/>
  </r>
  <r>
    <n v="1383"/>
    <s v="spotify:track:7w6PJe5KBPyvuRYxFkPssC"/>
    <x v="101"/>
    <s v="No More Tears"/>
    <s v="Epic"/>
    <n v="98"/>
    <n v="1"/>
    <d v="1899-12-30T07:23:00"/>
    <b v="0"/>
    <n v="35"/>
    <n v="75"/>
    <n v="89"/>
    <n v="4"/>
    <n v="0"/>
    <n v="0"/>
    <n v="65"/>
    <n v="32"/>
    <n v="103"/>
    <s v="Heavy Metal"/>
    <d v="1991-09-17T00:00:00"/>
    <s v="https://image-cdn-ak.spotifycdn.com/image/ab67616d00001e02509342e69eb341df70e5c2e3"/>
    <b v="0"/>
  </r>
  <r>
    <n v="1385"/>
    <s v="spotify:track:7wTqEW5nrMhvyEhEyTnOMd"/>
    <x v="647"/>
    <s v="The Cut That Always Bleeds"/>
    <s v="Republic Records"/>
    <n v="194"/>
    <n v="5"/>
    <d v="1899-12-30T03:18:00"/>
    <b v="0"/>
    <n v="49"/>
    <n v="41"/>
    <n v="89"/>
    <n v="3"/>
    <n v="59"/>
    <n v="0"/>
    <n v="6"/>
    <n v="25"/>
    <n v="136"/>
    <s v="Indie Pop"/>
    <d v="2022-06-24T00:00:00"/>
    <s v="https://image-cdn-ak.spotifycdn.com/image/ab67616d00001e0288e3cda6d29b2552d4d6bc43"/>
    <b v="0"/>
  </r>
  <r>
    <n v="1386"/>
    <s v="spotify:track:7wuJGgpTNzbUyn26IOY6rj"/>
    <x v="819"/>
    <s v="Total Eclipse of the Heart"/>
    <s v="Sony Music UK"/>
    <n v="81"/>
    <n v="3"/>
    <d v="1899-12-30T05:30:00"/>
    <b v="0"/>
    <n v="43"/>
    <n v="72"/>
    <n v="90"/>
    <n v="6"/>
    <n v="14"/>
    <n v="0"/>
    <n v="37"/>
    <n v="19"/>
    <n v="130"/>
    <s v="Rock"/>
    <d v="1983-02-11T00:00:00"/>
    <s v="https://image-cdn-ak.spotifycdn.com/image/ab67616d00001e028cefe8e2f2cfd63ce073fa96"/>
    <b v="0"/>
  </r>
  <r>
    <n v="1387"/>
    <s v="spotify:track:7xAvtuHf8nGi5OtXVPYgb3"/>
    <x v="1"/>
    <s v="CRANK"/>
    <s v="AWGE/Interscope Records"/>
    <n v="86"/>
    <n v="1"/>
    <d v="1899-12-30T02:48:00"/>
    <b v="1"/>
    <n v="70"/>
    <n v="86"/>
    <n v="93"/>
    <n v="4"/>
    <n v="0"/>
    <n v="0"/>
    <n v="10"/>
    <n v="53"/>
    <n v="143"/>
    <s v="Hip-Hop/Rap"/>
    <d v="2025-03-14T00:00:00"/>
    <s v="https://image-cdn-ak.spotifycdn.com/image/ab67616d00001e026b219c8d8462bfe254a20469"/>
    <b v="0"/>
  </r>
  <r>
    <n v="1388"/>
    <s v="spotify:track:7xLfNI4gRNTu6FyXJlzBW5"/>
    <x v="61"/>
    <s v="ni pedo"/>
    <s v="Double P Records"/>
    <n v="70"/>
    <n v="4"/>
    <d v="1899-12-30T03:05:00"/>
    <b v="1"/>
    <n v="78"/>
    <n v="74"/>
    <n v="80"/>
    <n v="10"/>
    <n v="15"/>
    <n v="0"/>
    <n v="12"/>
    <n v="58"/>
    <n v="108"/>
    <s v="Regional Mexicano"/>
    <d v="2025-04-18T00:00:00"/>
    <s v="https://image-cdn-fa.spotifycdn.com/image/ab67616d00001e02a9e6a250ea86a8f387873ef9"/>
    <b v="0"/>
  </r>
  <r>
    <n v="1388"/>
    <s v="spotify:track:7xLfNI4gRNTu6FyXJlzBW5"/>
    <x v="31"/>
    <s v="ni pedo"/>
    <s v="Double P Records"/>
    <n v="70"/>
    <n v="4"/>
    <d v="1899-12-30T03:05:00"/>
    <b v="1"/>
    <n v="78"/>
    <n v="74"/>
    <n v="80"/>
    <n v="10"/>
    <n v="15"/>
    <n v="0"/>
    <n v="12"/>
    <n v="58"/>
    <n v="108"/>
    <s v="Regional Mexicano"/>
    <d v="2025-04-18T00:00:00"/>
    <s v="https://image-cdn-fa.spotifycdn.com/image/ab67616d00001e02a9e6a250ea86a8f387873ef9"/>
    <b v="0"/>
  </r>
  <r>
    <n v="1389"/>
    <s v="spotify:track:7xYtgtwlgXvpiTnXUAkceF"/>
    <x v="820"/>
    <s v="PERDE"/>
    <s v="ZUNA"/>
    <n v="87"/>
    <n v="3"/>
    <s v="03:05:00"/>
    <b v="1"/>
    <n v="70"/>
    <n v="58"/>
    <n v="70"/>
    <n v="6"/>
    <n v="38"/>
    <n v="0"/>
    <n v="14"/>
    <n v="53"/>
    <n v="105"/>
    <s v="Turkish Rap"/>
    <s v="13/6/2025"/>
    <s v="https://image-cdn-ak.spotifycdn.com/image/ab67616d00001e02d6ea5517624ec7a6058650a1"/>
    <b v="0"/>
  </r>
  <r>
    <n v="1390"/>
    <s v="spotify:track:7xapw9Oy21WpfEcib2ErSA"/>
    <x v="2"/>
    <s v="Mistletoe"/>
    <s v="RBMG/Def Jam"/>
    <n v="15"/>
    <n v="48"/>
    <d v="1899-12-30T03:03:00"/>
    <b v="0"/>
    <n v="62"/>
    <n v="62"/>
    <n v="77"/>
    <n v="5"/>
    <n v="30"/>
    <n v="0"/>
    <n v="14"/>
    <n v="78"/>
    <n v="120"/>
    <s v="Christmas"/>
    <d v="2011-10-17T00:00:00"/>
    <s v="https://image-cdn-fa.spotifycdn.com/image/ab67616d00001e02af0aff7f601df9ed6d2d531d"/>
    <b v="1"/>
  </r>
  <r>
    <n v="1392"/>
    <s v="spotify:track:7yNf9YjeO5JXUE3JEBgnYc"/>
    <x v="175"/>
    <s v="Babydoll"/>
    <s v="Columbia"/>
    <n v="1"/>
    <n v="46"/>
    <s v="03:12:00"/>
    <b v="0"/>
    <n v="65"/>
    <n v="73"/>
    <n v="73"/>
    <n v="4"/>
    <n v="22"/>
    <n v="0"/>
    <n v="33"/>
    <n v="74"/>
    <n v="116"/>
    <s v="Alternative Pop"/>
    <s v="13/6/2025"/>
    <s v="https://image-cdn-ak.spotifycdn.com/image/ab67616d00001e027b1b6f41c1645af9757d5616"/>
    <b v="0"/>
  </r>
  <r>
    <n v="1393"/>
    <s v="spotify:track:7yRlmQTjZ5pdtlq7ska9mj"/>
    <x v="821"/>
    <s v="Artista Genérico"/>
    <s v="Supernova Entertainment"/>
    <n v="174"/>
    <n v="1"/>
    <s v="02:48:00"/>
    <b v="1"/>
    <n v="76"/>
    <n v="55"/>
    <n v="71"/>
    <n v="16"/>
    <n v="33"/>
    <n v="0"/>
    <n v="11"/>
    <n v="50"/>
    <n v="140"/>
    <s v="Trap Brasileiro"/>
    <s v="16/1/2026"/>
    <s v="https://image-cdn-ak.spotifycdn.com/image/ab67616d00001e0285889b9e026c0c175d73c381"/>
    <b v="0"/>
  </r>
  <r>
    <n v="1393"/>
    <s v="spotify:track:7yRlmQTjZ5pdtlq7ska9mj"/>
    <x v="822"/>
    <s v="Artista Genérico"/>
    <s v="Supernova Entertainment"/>
    <n v="174"/>
    <n v="1"/>
    <s v="02:48:00"/>
    <b v="1"/>
    <n v="76"/>
    <n v="55"/>
    <n v="71"/>
    <n v="16"/>
    <n v="33"/>
    <n v="0"/>
    <n v="11"/>
    <n v="50"/>
    <n v="140"/>
    <s v="Trap Brasileiro"/>
    <s v="16/1/2026"/>
    <s v="https://image-cdn-ak.spotifycdn.com/image/ab67616d00001e0285889b9e026c0c175d73c381"/>
    <b v="0"/>
  </r>
  <r>
    <n v="1394"/>
    <s v="spotify:track:7ySUcLPVX7KudhnmNcgY2D"/>
    <x v="110"/>
    <s v="S&amp;M"/>
    <s v="Def Jam Recordings"/>
    <n v="136"/>
    <n v="27"/>
    <d v="1899-12-30T04:03:00"/>
    <b v="1"/>
    <n v="77"/>
    <n v="68"/>
    <n v="92"/>
    <n v="4"/>
    <n v="1"/>
    <n v="0"/>
    <n v="9"/>
    <n v="84"/>
    <n v="128"/>
    <s v="Dance Pop"/>
    <d v="2010-11-19T00:00:00"/>
    <s v="https://image-cdn-ak.spotifycdn.com/image/ab67616d00001e0231548865f7c729290b96c794"/>
    <b v="0"/>
  </r>
  <r>
    <n v="1395"/>
    <s v="spotify:track:7yogx3TwxGwSxO2QITsT2q"/>
    <x v="124"/>
    <s v="A Nonsense Christmas"/>
    <s v="Island Records"/>
    <n v="37"/>
    <n v="6"/>
    <d v="1899-12-30T02:44:00"/>
    <b v="0"/>
    <n v="72"/>
    <n v="72"/>
    <n v="79"/>
    <n v="8"/>
    <n v="15"/>
    <n v="0"/>
    <n v="12"/>
    <n v="78"/>
    <n v="138"/>
    <s v="Christmas"/>
    <d v="2023-12-01T00:00:00"/>
    <s v="https://image-cdn-ak.spotifycdn.com/image/ab67616d00001e024601ead4fc2b9b65627b8298"/>
    <b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5B5DA3D-9A19-496E-9EF1-0A90F49B09CB}" name="PivotTable4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Artist">
  <location ref="A117:B941" firstHeaderRow="1" firstDataRow="1" firstDataCol="1"/>
  <pivotFields count="22">
    <pivotField dataField="1" showAll="0"/>
    <pivotField showAll="0"/>
    <pivotField axis="axisRow" showAll="0">
      <items count="824">
        <item x="309"/>
        <item x="199"/>
        <item x="597"/>
        <item x="466"/>
        <item x="151"/>
        <item x="136"/>
        <item x="206"/>
        <item x="416"/>
        <item x="57"/>
        <item x="614"/>
        <item x="455"/>
        <item x="348"/>
        <item x="341"/>
        <item x="207"/>
        <item x="289"/>
        <item x="9"/>
        <item x="558"/>
        <item x="135"/>
        <item x="633"/>
        <item x="318"/>
        <item x="297"/>
        <item x="584"/>
        <item x="578"/>
        <item x="21"/>
        <item x="759"/>
        <item x="81"/>
        <item x="374"/>
        <item x="27"/>
        <item x="169"/>
        <item x="424"/>
        <item x="579"/>
        <item x="569"/>
        <item x="433"/>
        <item x="538"/>
        <item x="758"/>
        <item x="386"/>
        <item x="12"/>
        <item x="239"/>
        <item x="310"/>
        <item x="180"/>
        <item x="267"/>
        <item x="598"/>
        <item x="137"/>
        <item x="142"/>
        <item x="539"/>
        <item x="283"/>
        <item x="482"/>
        <item x="690"/>
        <item x="722"/>
        <item x="725"/>
        <item x="656"/>
        <item x="645"/>
        <item x="98"/>
        <item x="566"/>
        <item x="233"/>
        <item x="452"/>
        <item x="671"/>
        <item x="218"/>
        <item x="479"/>
        <item x="432"/>
        <item x="550"/>
        <item x="296"/>
        <item x="799"/>
        <item x="262"/>
        <item x="73"/>
        <item x="248"/>
        <item x="130"/>
        <item x="395"/>
        <item x="613"/>
        <item x="658"/>
        <item x="703"/>
        <item x="103"/>
        <item x="781"/>
        <item x="600"/>
        <item x="51"/>
        <item x="628"/>
        <item x="379"/>
        <item x="215"/>
        <item x="331"/>
        <item x="607"/>
        <item x="166"/>
        <item x="200"/>
        <item x="602"/>
        <item x="680"/>
        <item x="782"/>
        <item x="65"/>
        <item x="365"/>
        <item x="24"/>
        <item x="443"/>
        <item x="392"/>
        <item x="397"/>
        <item x="280"/>
        <item x="476"/>
        <item x="381"/>
        <item x="111"/>
        <item x="143"/>
        <item x="265"/>
        <item x="229"/>
        <item x="554"/>
        <item x="183"/>
        <item x="818"/>
        <item x="523"/>
        <item x="191"/>
        <item x="138"/>
        <item x="819"/>
        <item x="396"/>
        <item x="356"/>
        <item x="748"/>
        <item x="450"/>
        <item x="120"/>
        <item x="771"/>
        <item x="39"/>
        <item x="794"/>
        <item x="69"/>
        <item x="491"/>
        <item x="152"/>
        <item x="285"/>
        <item x="668"/>
        <item x="326"/>
        <item x="657"/>
        <item x="582"/>
        <item x="327"/>
        <item x="498"/>
        <item x="463"/>
        <item x="622"/>
        <item x="245"/>
        <item x="754"/>
        <item x="115"/>
        <item x="704"/>
        <item x="605"/>
        <item x="66"/>
        <item x="650"/>
        <item x="486"/>
        <item x="750"/>
        <item x="204"/>
        <item x="686"/>
        <item x="734"/>
        <item x="435"/>
        <item x="84"/>
        <item x="119"/>
        <item x="451"/>
        <item x="346"/>
        <item x="358"/>
        <item x="434"/>
        <item x="684"/>
        <item x="669"/>
        <item x="184"/>
        <item x="521"/>
        <item x="70"/>
        <item x="784"/>
        <item x="287"/>
        <item x="40"/>
        <item x="647"/>
        <item x="666"/>
        <item x="221"/>
        <item x="212"/>
        <item x="412"/>
        <item x="378"/>
        <item x="410"/>
        <item x="701"/>
        <item x="608"/>
        <item x="694"/>
        <item x="123"/>
        <item x="444"/>
        <item x="691"/>
        <item x="796"/>
        <item x="258"/>
        <item x="13"/>
        <item x="648"/>
        <item x="751"/>
        <item x="564"/>
        <item x="768"/>
        <item x="446"/>
        <item x="529"/>
        <item x="268"/>
        <item x="155"/>
        <item x="104"/>
        <item x="131"/>
        <item x="376"/>
        <item x="801"/>
        <item x="480"/>
        <item x="385"/>
        <item x="50"/>
        <item x="575"/>
        <item x="531"/>
        <item x="730"/>
        <item x="639"/>
        <item x="456"/>
        <item x="711"/>
        <item x="508"/>
        <item x="545"/>
        <item x="739"/>
        <item x="417"/>
        <item x="630"/>
        <item x="749"/>
        <item x="673"/>
        <item x="571"/>
        <item x="617"/>
        <item x="770"/>
        <item x="763"/>
        <item x="236"/>
        <item x="716"/>
        <item x="572"/>
        <item x="363"/>
        <item x="41"/>
        <item x="726"/>
        <item x="364"/>
        <item x="158"/>
        <item x="533"/>
        <item x="288"/>
        <item x="6"/>
        <item x="483"/>
        <item x="175"/>
        <item x="448"/>
        <item x="402"/>
        <item x="7"/>
        <item x="795"/>
        <item x="515"/>
        <item x="53"/>
        <item x="675"/>
        <item x="512"/>
        <item x="418"/>
        <item x="679"/>
        <item x="779"/>
        <item x="489"/>
        <item x="354"/>
        <item x="524"/>
        <item x="291"/>
        <item x="780"/>
        <item x="56"/>
        <item x="499"/>
        <item x="71"/>
        <item x="74"/>
        <item x="273"/>
        <item x="391"/>
        <item x="629"/>
        <item x="190"/>
        <item x="797"/>
        <item x="150"/>
        <item x="107"/>
        <item x="490"/>
        <item x="407"/>
        <item x="198"/>
        <item x="769"/>
        <item x="173"/>
        <item x="646"/>
        <item x="109"/>
        <item x="427"/>
        <item x="773"/>
        <item x="300"/>
        <item x="810"/>
        <item x="269"/>
        <item x="48"/>
        <item x="8"/>
        <item x="377"/>
        <item x="219"/>
        <item x="461"/>
        <item x="213"/>
        <item x="618"/>
        <item x="655"/>
        <item x="727"/>
        <item x="812"/>
        <item x="753"/>
        <item x="161"/>
        <item x="366"/>
        <item x="404"/>
        <item x="453"/>
        <item x="551"/>
        <item x="163"/>
        <item x="338"/>
        <item x="49"/>
        <item x="423"/>
        <item x="411"/>
        <item x="606"/>
        <item x="549"/>
        <item x="360"/>
        <item x="302"/>
        <item x="469"/>
        <item x="502"/>
        <item x="256"/>
        <item x="329"/>
        <item x="79"/>
        <item x="59"/>
        <item x="399"/>
        <item x="693"/>
        <item x="342"/>
        <item x="616"/>
        <item x="328"/>
        <item x="699"/>
        <item x="735"/>
        <item x="255"/>
        <item x="494"/>
        <item x="369"/>
        <item x="132"/>
        <item x="312"/>
        <item x="189"/>
        <item x="181"/>
        <item x="85"/>
        <item x="86"/>
        <item x="464"/>
        <item x="314"/>
        <item x="815"/>
        <item x="382"/>
        <item x="259"/>
        <item x="787"/>
        <item x="117"/>
        <item x="731"/>
        <item x="705"/>
        <item x="5"/>
        <item x="275"/>
        <item x="114"/>
        <item x="717"/>
        <item x="292"/>
        <item x="624"/>
        <item x="583"/>
        <item x="685"/>
        <item x="517"/>
        <item x="205"/>
        <item x="112"/>
        <item x="75"/>
        <item x="148"/>
        <item x="710"/>
        <item x="62"/>
        <item x="786"/>
        <item x="128"/>
        <item x="299"/>
        <item x="641"/>
        <item x="165"/>
        <item x="522"/>
        <item x="89"/>
        <item x="145"/>
        <item x="653"/>
        <item x="82"/>
        <item x="3"/>
        <item x="712"/>
        <item x="740"/>
        <item x="667"/>
        <item x="702"/>
        <item x="634"/>
        <item x="192"/>
        <item x="371"/>
        <item x="534"/>
        <item x="425"/>
        <item x="170"/>
        <item x="293"/>
        <item x="320"/>
        <item x="141"/>
        <item x="470"/>
        <item x="561"/>
        <item x="816"/>
        <item x="581"/>
        <item x="172"/>
        <item x="251"/>
        <item x="485"/>
        <item x="347"/>
        <item x="663"/>
        <item x="718"/>
        <item x="188"/>
        <item x="457"/>
        <item x="182"/>
        <item x="492"/>
        <item x="344"/>
        <item x="500"/>
        <item x="627"/>
        <item x="201"/>
        <item x="28"/>
        <item x="178"/>
        <item x="672"/>
        <item x="670"/>
        <item x="532"/>
        <item x="29"/>
        <item x="677"/>
        <item x="353"/>
        <item x="774"/>
        <item x="351"/>
        <item x="741"/>
        <item x="788"/>
        <item x="513"/>
        <item x="350"/>
        <item x="695"/>
        <item x="560"/>
        <item x="4"/>
        <item x="60"/>
        <item x="687"/>
        <item x="2"/>
        <item x="87"/>
        <item x="625"/>
        <item x="276"/>
        <item x="756"/>
        <item x="442"/>
        <item x="387"/>
        <item x="400"/>
        <item x="129"/>
        <item x="22"/>
        <item x="257"/>
        <item x="179"/>
        <item x="298"/>
        <item x="562"/>
        <item x="164"/>
        <item x="640"/>
        <item x="454"/>
        <item x="159"/>
        <item x="126"/>
        <item x="208"/>
        <item x="380"/>
        <item x="501"/>
        <item x="121"/>
        <item x="484"/>
        <item x="659"/>
        <item x="507"/>
        <item x="14"/>
        <item x="689"/>
        <item x="176"/>
        <item x="193"/>
        <item x="817"/>
        <item x="313"/>
        <item x="162"/>
        <item x="495"/>
        <item x="230"/>
        <item x="15"/>
        <item x="430"/>
        <item x="806"/>
        <item x="681"/>
        <item x="323"/>
        <item x="805"/>
        <item x="222"/>
        <item x="10"/>
        <item x="228"/>
        <item x="661"/>
        <item x="370"/>
        <item x="375"/>
        <item x="580"/>
        <item x="340"/>
        <item x="122"/>
        <item x="676"/>
        <item x="102"/>
        <item x="349"/>
        <item x="447"/>
        <item x="785"/>
        <item x="814"/>
        <item x="439"/>
        <item x="474"/>
        <item x="611"/>
        <item x="301"/>
        <item x="535"/>
        <item x="536"/>
        <item x="790"/>
        <item x="227"/>
        <item x="271"/>
        <item x="462"/>
        <item x="516"/>
        <item x="177"/>
        <item x="518"/>
        <item x="556"/>
        <item x="752"/>
        <item x="807"/>
        <item x="403"/>
        <item x="698"/>
        <item x="757"/>
        <item x="216"/>
        <item x="798"/>
        <item x="802"/>
        <item x="599"/>
        <item x="383"/>
        <item x="333"/>
        <item x="334"/>
        <item x="540"/>
        <item x="468"/>
        <item x="557"/>
        <item x="595"/>
        <item x="209"/>
        <item x="134"/>
        <item x="367"/>
        <item x="728"/>
        <item x="339"/>
        <item x="389"/>
        <item x="510"/>
        <item x="125"/>
        <item x="321"/>
        <item x="487"/>
        <item x="174"/>
        <item x="458"/>
        <item x="278"/>
        <item x="563"/>
        <item x="438"/>
        <item x="250"/>
        <item x="576"/>
        <item x="764"/>
        <item x="765"/>
        <item x="577"/>
        <item x="631"/>
        <item x="241"/>
        <item x="419"/>
        <item x="573"/>
        <item x="242"/>
        <item x="766"/>
        <item x="42"/>
        <item x="632"/>
        <item x="237"/>
        <item x="519"/>
        <item x="420"/>
        <item x="243"/>
        <item x="619"/>
        <item x="43"/>
        <item x="567"/>
        <item x="44"/>
        <item x="574"/>
        <item x="793"/>
        <item x="45"/>
        <item x="767"/>
        <item x="421"/>
        <item x="157"/>
        <item x="106"/>
        <item x="520"/>
        <item x="473"/>
        <item x="441"/>
        <item x="504"/>
        <item x="58"/>
        <item x="38"/>
        <item x="67"/>
        <item x="352"/>
        <item x="436"/>
        <item x="362"/>
        <item x="541"/>
        <item x="736"/>
        <item x="234"/>
        <item x="546"/>
        <item x="552"/>
        <item x="591"/>
        <item x="596"/>
        <item x="94"/>
        <item x="472"/>
        <item x="286"/>
        <item x="11"/>
        <item x="372"/>
        <item x="706"/>
        <item x="263"/>
        <item x="167"/>
        <item x="497"/>
        <item x="168"/>
        <item x="35"/>
        <item x="171"/>
        <item x="80"/>
        <item x="428"/>
        <item x="493"/>
        <item x="307"/>
        <item x="721"/>
        <item x="547"/>
        <item x="585"/>
        <item x="294"/>
        <item x="32"/>
        <item x="16"/>
        <item x="414"/>
        <item x="30"/>
        <item x="586"/>
        <item x="478"/>
        <item x="745"/>
        <item x="408"/>
        <item x="743"/>
        <item x="270"/>
        <item x="620"/>
        <item x="146"/>
        <item x="37"/>
        <item x="359"/>
        <item x="555"/>
        <item x="626"/>
        <item x="281"/>
        <item x="697"/>
        <item x="644"/>
        <item x="422"/>
        <item x="140"/>
        <item x="77"/>
        <item x="133"/>
        <item x="696"/>
        <item x="311"/>
        <item x="105"/>
        <item x="674"/>
        <item x="440"/>
        <item x="210"/>
        <item x="46"/>
        <item x="284"/>
        <item x="714"/>
        <item x="144"/>
        <item x="662"/>
        <item x="101"/>
        <item x="308"/>
        <item x="325"/>
        <item x="592"/>
        <item x="90"/>
        <item x="791"/>
        <item x="54"/>
        <item x="246"/>
        <item x="266"/>
        <item x="244"/>
        <item x="651"/>
        <item x="737"/>
        <item x="61"/>
        <item x="252"/>
        <item x="700"/>
        <item x="511"/>
        <item x="604"/>
        <item x="224"/>
        <item x="471"/>
        <item x="588"/>
        <item x="303"/>
        <item x="1"/>
        <item x="820"/>
        <item x="723"/>
        <item x="99"/>
        <item x="91"/>
        <item x="317"/>
        <item x="678"/>
        <item x="635"/>
        <item x="813"/>
        <item x="729"/>
        <item x="528"/>
        <item x="449"/>
        <item x="108"/>
        <item x="636"/>
        <item x="187"/>
        <item x="315"/>
        <item x="260"/>
        <item x="612"/>
        <item x="542"/>
        <item x="707"/>
        <item x="154"/>
        <item x="594"/>
        <item x="335"/>
        <item x="652"/>
        <item x="118"/>
        <item x="194"/>
        <item x="232"/>
        <item x="715"/>
        <item x="76"/>
        <item x="772"/>
        <item x="601"/>
        <item x="264"/>
        <item x="719"/>
        <item x="762"/>
        <item x="654"/>
        <item x="110"/>
        <item x="33"/>
        <item x="319"/>
        <item x="808"/>
        <item x="405"/>
        <item x="322"/>
        <item x="282"/>
        <item x="543"/>
        <item x="52"/>
        <item x="147"/>
        <item x="305"/>
        <item x="664"/>
        <item x="514"/>
        <item x="406"/>
        <item x="401"/>
        <item x="336"/>
        <item x="682"/>
        <item x="124"/>
        <item x="92"/>
        <item x="93"/>
        <item x="17"/>
        <item x="226"/>
        <item x="249"/>
        <item x="78"/>
        <item x="548"/>
        <item x="18"/>
        <item x="776"/>
        <item x="643"/>
        <item x="565"/>
        <item x="665"/>
        <item x="481"/>
        <item x="223"/>
        <item x="214"/>
        <item x="537"/>
        <item x="688"/>
        <item x="394"/>
        <item x="153"/>
        <item x="415"/>
        <item x="195"/>
        <item x="488"/>
        <item x="160"/>
        <item x="733"/>
        <item x="95"/>
        <item x="231"/>
        <item x="316"/>
        <item x="683"/>
        <item x="156"/>
        <item x="460"/>
        <item x="413"/>
        <item x="96"/>
        <item x="742"/>
        <item x="811"/>
        <item x="465"/>
        <item x="783"/>
        <item x="304"/>
        <item x="97"/>
        <item x="713"/>
        <item x="185"/>
        <item x="477"/>
        <item x="777"/>
        <item x="113"/>
        <item x="26"/>
        <item x="253"/>
        <item x="637"/>
        <item x="384"/>
        <item x="330"/>
        <item x="610"/>
        <item x="235"/>
        <item x="724"/>
        <item x="211"/>
        <item x="196"/>
        <item x="821"/>
        <item x="100"/>
        <item x="553"/>
        <item x="355"/>
        <item x="20"/>
        <item x="603"/>
        <item x="559"/>
        <item x="34"/>
        <item x="254"/>
        <item x="220"/>
        <item x="23"/>
        <item x="19"/>
        <item x="398"/>
        <item x="202"/>
        <item x="623"/>
        <item x="530"/>
        <item x="295"/>
        <item x="290"/>
        <item x="25"/>
        <item x="708"/>
        <item x="747"/>
        <item x="709"/>
        <item x="467"/>
        <item x="272"/>
        <item x="261"/>
        <item x="738"/>
        <item x="746"/>
        <item x="525"/>
        <item x="277"/>
        <item x="0"/>
        <item x="343"/>
        <item x="63"/>
        <item x="64"/>
        <item x="127"/>
        <item x="116"/>
        <item x="496"/>
        <item x="240"/>
        <item x="526"/>
        <item x="789"/>
        <item x="803"/>
        <item x="527"/>
        <item x="590"/>
        <item x="55"/>
        <item x="88"/>
        <item x="509"/>
        <item x="409"/>
        <item x="31"/>
        <item x="609"/>
        <item x="247"/>
        <item x="72"/>
        <item x="197"/>
        <item x="804"/>
        <item x="649"/>
        <item x="660"/>
        <item x="692"/>
        <item x="337"/>
        <item x="800"/>
        <item x="761"/>
        <item x="186"/>
        <item x="621"/>
        <item x="587"/>
        <item x="755"/>
        <item x="68"/>
        <item x="203"/>
        <item x="429"/>
        <item x="217"/>
        <item x="238"/>
        <item x="642"/>
        <item x="437"/>
        <item x="373"/>
        <item x="792"/>
        <item x="445"/>
        <item x="544"/>
        <item x="822"/>
        <item x="139"/>
        <item x="775"/>
        <item x="638"/>
        <item x="505"/>
        <item x="732"/>
        <item x="368"/>
        <item x="589"/>
        <item x="760"/>
        <item x="361"/>
        <item x="149"/>
        <item x="279"/>
        <item x="324"/>
        <item x="332"/>
        <item x="306"/>
        <item x="503"/>
        <item x="390"/>
        <item x="720"/>
        <item x="615"/>
        <item x="809"/>
        <item x="568"/>
        <item x="388"/>
        <item x="357"/>
        <item x="83"/>
        <item x="345"/>
        <item x="570"/>
        <item x="431"/>
        <item x="459"/>
        <item x="475"/>
        <item x="274"/>
        <item x="506"/>
        <item x="393"/>
        <item x="744"/>
        <item x="426"/>
        <item x="225"/>
        <item x="593"/>
        <item x="47"/>
        <item x="778"/>
        <item x="3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824">
    <i>
      <x v="218"/>
    </i>
    <i>
      <x v="384"/>
    </i>
    <i>
      <x v="71"/>
    </i>
    <i>
      <x v="605"/>
    </i>
    <i>
      <x v="52"/>
    </i>
    <i>
      <x v="722"/>
    </i>
    <i>
      <x v="657"/>
    </i>
    <i>
      <x v="753"/>
    </i>
    <i>
      <x v="757"/>
    </i>
    <i>
      <x v="111"/>
    </i>
    <i>
      <x v="426"/>
    </i>
    <i>
      <x v="721"/>
    </i>
    <i>
      <x v="769"/>
    </i>
    <i>
      <x v="562"/>
    </i>
    <i>
      <x v="596"/>
    </i>
    <i>
      <x v="113"/>
    </i>
    <i>
      <x v="572"/>
    </i>
    <i>
      <x v="553"/>
    </i>
    <i>
      <x v="518"/>
    </i>
    <i>
      <x v="308"/>
    </i>
    <i>
      <x v="649"/>
    </i>
    <i>
      <x v="279"/>
    </i>
    <i>
      <x v="406"/>
    </i>
    <i>
      <x v="215"/>
    </i>
    <i>
      <x v="777"/>
    </i>
    <i>
      <x v="715"/>
    </i>
    <i>
      <x v="346"/>
    </i>
    <i>
      <x v="533"/>
    </i>
    <i>
      <x v="590"/>
    </i>
    <i>
      <x v="640"/>
    </i>
    <i>
      <x v="571"/>
    </i>
    <i>
      <x v="517"/>
    </i>
    <i>
      <x v="396"/>
    </i>
    <i>
      <x v="393"/>
    </i>
    <i>
      <x v="390"/>
    </i>
    <i>
      <x v="229"/>
    </i>
    <i>
      <x v="280"/>
    </i>
    <i>
      <x v="151"/>
    </i>
    <i>
      <x v="77"/>
    </i>
    <i>
      <x v="85"/>
    </i>
    <i>
      <x v="575"/>
    </i>
    <i>
      <x v="701"/>
    </i>
    <i>
      <x v="805"/>
    </i>
    <i>
      <x v="419"/>
    </i>
    <i>
      <x v="697"/>
    </i>
    <i>
      <x v="295"/>
    </i>
    <i>
      <x v="329"/>
    </i>
    <i>
      <x v="352"/>
    </i>
    <i>
      <x v="127"/>
    </i>
    <i>
      <x v="6"/>
    </i>
    <i>
      <x v="209"/>
    </i>
    <i>
      <x v="28"/>
    </i>
    <i>
      <x v="608"/>
    </i>
    <i>
      <x v="776"/>
    </i>
    <i>
      <x v="580"/>
    </i>
    <i>
      <x v="620"/>
    </i>
    <i>
      <x v="785"/>
    </i>
    <i>
      <x v="650"/>
    </i>
    <i>
      <x v="719"/>
    </i>
    <i>
      <x v="671"/>
    </i>
    <i>
      <x v="447"/>
    </i>
    <i>
      <x v="427"/>
    </i>
    <i>
      <x v="459"/>
    </i>
    <i>
      <x v="522"/>
    </i>
    <i>
      <x v="542"/>
    </i>
    <i>
      <x v="43"/>
    </i>
    <i>
      <x v="210"/>
    </i>
    <i>
      <x v="80"/>
    </i>
    <i>
      <x v="81"/>
    </i>
    <i>
      <x v="232"/>
    </i>
    <i>
      <x v="774"/>
    </i>
    <i>
      <x v="676"/>
    </i>
    <i>
      <x v="582"/>
    </i>
    <i>
      <x v="818"/>
    </i>
    <i>
      <x v="773"/>
    </i>
    <i>
      <x v="739"/>
    </i>
    <i>
      <x v="707"/>
    </i>
    <i>
      <x v="688"/>
    </i>
    <i>
      <x v="673"/>
    </i>
    <i>
      <x v="633"/>
    </i>
    <i>
      <x v="617"/>
    </i>
    <i>
      <x v="678"/>
    </i>
    <i>
      <x v="448"/>
    </i>
    <i>
      <x v="499"/>
    </i>
    <i>
      <x v="281"/>
    </i>
    <i>
      <x v="432"/>
    </i>
    <i>
      <x v="319"/>
    </i>
    <i>
      <x v="382"/>
    </i>
    <i>
      <x v="298"/>
    </i>
    <i>
      <x v="50"/>
    </i>
    <i>
      <x v="220"/>
    </i>
    <i>
      <x v="162"/>
    </i>
    <i>
      <x v="64"/>
    </i>
    <i>
      <x v="166"/>
    </i>
    <i>
      <x v="92"/>
    </i>
    <i>
      <x v="87"/>
    </i>
    <i>
      <x v="118"/>
    </i>
    <i>
      <x v="720"/>
    </i>
    <i>
      <x v="797"/>
    </i>
    <i>
      <x v="629"/>
    </i>
    <i>
      <x v="743"/>
    </i>
    <i>
      <x v="813"/>
    </i>
    <i>
      <x v="744"/>
    </i>
    <i>
      <x v="684"/>
    </i>
    <i>
      <x v="602"/>
    </i>
    <i>
      <x v="724"/>
    </i>
    <i>
      <x v="619"/>
    </i>
    <i>
      <x v="738"/>
    </i>
    <i>
      <x v="566"/>
    </i>
    <i>
      <x v="584"/>
    </i>
    <i>
      <x v="679"/>
    </i>
    <i>
      <x v="686"/>
    </i>
    <i>
      <x v="508"/>
    </i>
    <i>
      <x v="449"/>
    </i>
    <i>
      <x v="430"/>
    </i>
    <i>
      <x v="364"/>
    </i>
    <i>
      <x v="482"/>
    </i>
    <i>
      <x v="318"/>
    </i>
    <i>
      <x v="541"/>
    </i>
    <i>
      <x v="389"/>
    </i>
    <i>
      <x v="443"/>
    </i>
    <i>
      <x v="292"/>
    </i>
    <i>
      <x v="451"/>
    </i>
    <i>
      <x v="398"/>
    </i>
    <i>
      <x v="505"/>
    </i>
    <i>
      <x v="275"/>
    </i>
    <i>
      <x v="536"/>
    </i>
    <i>
      <x v="339"/>
    </i>
    <i>
      <x v="299"/>
    </i>
    <i>
      <x v="444"/>
    </i>
    <i>
      <x v="233"/>
    </i>
    <i>
      <x v="255"/>
    </i>
    <i>
      <x v="36"/>
    </i>
    <i>
      <x v="78"/>
    </i>
    <i>
      <x v="268"/>
    </i>
    <i>
      <x v="96"/>
    </i>
    <i>
      <x v="242"/>
    </i>
    <i>
      <x v="168"/>
    </i>
    <i>
      <x v="253"/>
    </i>
    <i>
      <x v="175"/>
    </i>
    <i>
      <x v="3"/>
    </i>
    <i>
      <x v="178"/>
    </i>
    <i>
      <x v="138"/>
    </i>
    <i>
      <x v="57"/>
    </i>
    <i>
      <x v="236"/>
    </i>
    <i>
      <x v="14"/>
    </i>
    <i>
      <x v="249"/>
    </i>
    <i>
      <x v="211"/>
    </i>
    <i>
      <x v="212"/>
    </i>
    <i>
      <x v="263"/>
    </i>
    <i>
      <x v="124"/>
    </i>
    <i>
      <x v="130"/>
    </i>
    <i>
      <x v="807"/>
    </i>
    <i>
      <x v="593"/>
    </i>
    <i>
      <x v="821"/>
    </i>
    <i>
      <x v="551"/>
    </i>
    <i>
      <x v="775"/>
    </i>
    <i>
      <x v="623"/>
    </i>
    <i>
      <x v="583"/>
    </i>
    <i>
      <x v="625"/>
    </i>
    <i>
      <x v="731"/>
    </i>
    <i>
      <x v="626"/>
    </i>
    <i>
      <x v="561"/>
    </i>
    <i>
      <x v="631"/>
    </i>
    <i>
      <x v="796"/>
    </i>
    <i>
      <x v="570"/>
    </i>
    <i>
      <x v="699"/>
    </i>
    <i>
      <x v="646"/>
    </i>
    <i>
      <x v="710"/>
    </i>
    <i>
      <x v="659"/>
    </i>
    <i>
      <x v="588"/>
    </i>
    <i>
      <x v="660"/>
    </i>
    <i>
      <x v="734"/>
    </i>
    <i>
      <x v="664"/>
    </i>
    <i>
      <x v="754"/>
    </i>
    <i>
      <x v="665"/>
    </i>
    <i>
      <x v="597"/>
    </i>
    <i>
      <x v="668"/>
    </i>
    <i>
      <x v="601"/>
    </i>
    <i>
      <x v="574"/>
    </i>
    <i>
      <x v="806"/>
    </i>
    <i>
      <x v="577"/>
    </i>
    <i>
      <x v="812"/>
    </i>
    <i>
      <x v="694"/>
    </i>
    <i>
      <x v="712"/>
    </i>
    <i>
      <x v="539"/>
    </i>
    <i>
      <x v="404"/>
    </i>
    <i>
      <x v="333"/>
    </i>
    <i>
      <x v="330"/>
    </i>
    <i>
      <x v="357"/>
    </i>
    <i>
      <x v="341"/>
    </i>
    <i>
      <x v="477"/>
    </i>
    <i>
      <x v="368"/>
    </i>
    <i>
      <x v="354"/>
    </i>
    <i>
      <x v="342"/>
    </i>
    <i>
      <x v="276"/>
    </i>
    <i>
      <x v="435"/>
    </i>
    <i>
      <x v="317"/>
    </i>
    <i>
      <x v="332"/>
    </i>
    <i>
      <x v="365"/>
    </i>
    <i>
      <x v="360"/>
    </i>
    <i>
      <x v="480"/>
    </i>
    <i>
      <x v="445"/>
    </i>
    <i>
      <x v="494"/>
    </i>
    <i>
      <x v="325"/>
    </i>
    <i>
      <x v="378"/>
    </i>
    <i>
      <x v="328"/>
    </i>
    <i>
      <x v="300"/>
    </i>
    <i>
      <x v="543"/>
    </i>
    <i>
      <x v="519"/>
    </i>
    <i>
      <x v="370"/>
    </i>
    <i>
      <x v="313"/>
    </i>
    <i>
      <x v="452"/>
    </i>
    <i>
      <x v="537"/>
    </i>
    <i>
      <x v="353"/>
    </i>
    <i>
      <x v="381"/>
    </i>
    <i>
      <x v="463"/>
    </i>
    <i>
      <x v="471"/>
    </i>
    <i>
      <x v="391"/>
    </i>
    <i>
      <x v="410"/>
    </i>
    <i>
      <x v="146"/>
    </i>
    <i>
      <x v="26"/>
    </i>
    <i>
      <x v="117"/>
    </i>
    <i>
      <x v="158"/>
    </i>
    <i>
      <x v="54"/>
    </i>
    <i>
      <x v="161"/>
    </i>
    <i>
      <x v="265"/>
    </i>
    <i>
      <x v="63"/>
    </i>
    <i>
      <x v="15"/>
    </i>
    <i>
      <x v="90"/>
    </i>
    <i>
      <x v="131"/>
    </i>
    <i>
      <x v="167"/>
    </i>
    <i>
      <x v="246"/>
    </i>
    <i>
      <x v="91"/>
    </i>
    <i>
      <x v="10"/>
    </i>
    <i>
      <x v="173"/>
    </i>
    <i>
      <x v="114"/>
    </i>
    <i>
      <x v="1"/>
    </i>
    <i>
      <x v="74"/>
    </i>
    <i>
      <x v="176"/>
    </i>
    <i>
      <x v="20"/>
    </i>
    <i>
      <x v="95"/>
    </i>
    <i>
      <x v="235"/>
    </i>
    <i>
      <x v="196"/>
    </i>
    <i>
      <x v="238"/>
    </i>
    <i>
      <x v="202"/>
    </i>
    <i>
      <x v="244"/>
    </i>
    <i>
      <x v="207"/>
    </i>
    <i>
      <x v="248"/>
    </i>
    <i>
      <x v="66"/>
    </i>
    <i>
      <x v="148"/>
    </i>
    <i>
      <x v="109"/>
    </i>
    <i>
      <x v="152"/>
    </i>
    <i>
      <x v="69"/>
    </i>
    <i>
      <x v="157"/>
    </i>
    <i>
      <x v="37"/>
    </i>
    <i>
      <x v="272"/>
    </i>
    <i>
      <x v="766"/>
    </i>
    <i>
      <x v="628"/>
    </i>
    <i>
      <x v="798"/>
    </i>
    <i>
      <x v="612"/>
    </i>
    <i>
      <x v="750"/>
    </i>
    <i>
      <x v="641"/>
    </i>
    <i>
      <x v="782"/>
    </i>
    <i>
      <x v="642"/>
    </i>
    <i>
      <x v="814"/>
    </i>
    <i>
      <x v="643"/>
    </i>
    <i>
      <x v="742"/>
    </i>
    <i>
      <x v="644"/>
    </i>
    <i>
      <x v="758"/>
    </i>
    <i>
      <x v="645"/>
    </i>
    <i>
      <x v="598"/>
    </i>
    <i>
      <x v="613"/>
    </i>
    <i>
      <x v="790"/>
    </i>
    <i>
      <x v="647"/>
    </i>
    <i>
      <x v="636"/>
    </i>
    <i>
      <x v="648"/>
    </i>
    <i>
      <x v="730"/>
    </i>
    <i>
      <x v="554"/>
    </i>
    <i>
      <x v="560"/>
    </i>
    <i>
      <x v="555"/>
    </i>
    <i>
      <x v="746"/>
    </i>
    <i>
      <x v="651"/>
    </i>
    <i>
      <x v="630"/>
    </i>
    <i>
      <x v="652"/>
    </i>
    <i>
      <x v="762"/>
    </i>
    <i>
      <x v="653"/>
    </i>
    <i>
      <x v="770"/>
    </i>
    <i>
      <x v="654"/>
    </i>
    <i>
      <x v="778"/>
    </i>
    <i>
      <x v="655"/>
    </i>
    <i>
      <x v="786"/>
    </i>
    <i>
      <x v="656"/>
    </i>
    <i>
      <x v="794"/>
    </i>
    <i>
      <x v="573"/>
    </i>
    <i>
      <x v="802"/>
    </i>
    <i>
      <x v="658"/>
    </i>
    <i>
      <x v="810"/>
    </i>
    <i>
      <x v="614"/>
    </i>
    <i>
      <x v="563"/>
    </i>
    <i>
      <x v="615"/>
    </i>
    <i>
      <x v="732"/>
    </i>
    <i>
      <x v="661"/>
    </i>
    <i>
      <x v="736"/>
    </i>
    <i>
      <x v="662"/>
    </i>
    <i>
      <x v="740"/>
    </i>
    <i>
      <x v="663"/>
    </i>
    <i>
      <x v="568"/>
    </i>
    <i>
      <x v="616"/>
    </i>
    <i>
      <x v="748"/>
    </i>
    <i>
      <x v="565"/>
    </i>
    <i>
      <x v="752"/>
    </i>
    <i>
      <x v="666"/>
    </i>
    <i>
      <x v="756"/>
    </i>
    <i>
      <x v="667"/>
    </i>
    <i>
      <x v="760"/>
    </i>
    <i>
      <x v="618"/>
    </i>
    <i>
      <x v="764"/>
    </i>
    <i>
      <x v="669"/>
    </i>
    <i>
      <x v="768"/>
    </i>
    <i>
      <x v="670"/>
    </i>
    <i>
      <x v="772"/>
    </i>
    <i>
      <x v="607"/>
    </i>
    <i>
      <x v="599"/>
    </i>
    <i>
      <x v="672"/>
    </i>
    <i>
      <x v="780"/>
    </i>
    <i>
      <x v="556"/>
    </i>
    <i>
      <x v="784"/>
    </i>
    <i>
      <x v="674"/>
    </i>
    <i>
      <x v="788"/>
    </i>
    <i>
      <x v="675"/>
    </i>
    <i>
      <x v="792"/>
    </i>
    <i>
      <x v="576"/>
    </i>
    <i>
      <x v="635"/>
    </i>
    <i>
      <x v="677"/>
    </i>
    <i>
      <x v="800"/>
    </i>
    <i>
      <x v="567"/>
    </i>
    <i>
      <x v="804"/>
    </i>
    <i>
      <x v="578"/>
    </i>
    <i>
      <x v="808"/>
    </i>
    <i>
      <x v="680"/>
    </i>
    <i>
      <x v="638"/>
    </i>
    <i>
      <x v="681"/>
    </i>
    <i>
      <x v="816"/>
    </i>
    <i>
      <x v="682"/>
    </i>
    <i>
      <x v="639"/>
    </i>
    <i>
      <x v="683"/>
    </i>
    <i>
      <x v="627"/>
    </i>
    <i>
      <x v="579"/>
    </i>
    <i>
      <x v="733"/>
    </i>
    <i>
      <x v="685"/>
    </i>
    <i>
      <x v="735"/>
    </i>
    <i>
      <x v="550"/>
    </i>
    <i>
      <x v="737"/>
    </i>
    <i>
      <x v="687"/>
    </i>
    <i>
      <x v="591"/>
    </i>
    <i>
      <x v="557"/>
    </i>
    <i>
      <x v="741"/>
    </i>
    <i>
      <x v="689"/>
    </i>
    <i>
      <x v="592"/>
    </i>
    <i>
      <x v="690"/>
    </i>
    <i>
      <x v="745"/>
    </i>
    <i>
      <x v="691"/>
    </i>
    <i>
      <x v="747"/>
    </i>
    <i>
      <x v="692"/>
    </i>
    <i>
      <x v="749"/>
    </i>
    <i>
      <x v="693"/>
    </i>
    <i>
      <x v="751"/>
    </i>
    <i>
      <x v="621"/>
    </i>
    <i>
      <x v="594"/>
    </i>
    <i>
      <x v="695"/>
    </i>
    <i>
      <x v="755"/>
    </i>
    <i>
      <x v="696"/>
    </i>
    <i>
      <x v="595"/>
    </i>
    <i>
      <x v="581"/>
    </i>
    <i>
      <x v="759"/>
    </i>
    <i>
      <x v="698"/>
    </i>
    <i>
      <x v="761"/>
    </i>
    <i>
      <x v="622"/>
    </i>
    <i>
      <x v="763"/>
    </i>
    <i>
      <x v="700"/>
    </i>
    <i>
      <x v="765"/>
    </i>
    <i>
      <x v="558"/>
    </i>
    <i>
      <x v="767"/>
    </i>
    <i>
      <x v="702"/>
    </i>
    <i>
      <x v="611"/>
    </i>
    <i>
      <x v="703"/>
    </i>
    <i>
      <x v="771"/>
    </i>
    <i>
      <x v="704"/>
    </i>
    <i>
      <x v="632"/>
    </i>
    <i>
      <x v="705"/>
    </i>
    <i>
      <x v="569"/>
    </i>
    <i>
      <x v="706"/>
    </i>
    <i>
      <x v="600"/>
    </i>
    <i>
      <x v="564"/>
    </i>
    <i>
      <x v="779"/>
    </i>
    <i>
      <x v="708"/>
    </i>
    <i>
      <x v="781"/>
    </i>
    <i>
      <x v="709"/>
    </i>
    <i>
      <x v="783"/>
    </i>
    <i>
      <x v="624"/>
    </i>
    <i>
      <x v="634"/>
    </i>
    <i>
      <x v="711"/>
    </i>
    <i>
      <x v="787"/>
    </i>
    <i>
      <x v="820"/>
    </i>
    <i>
      <x v="789"/>
    </i>
    <i>
      <x v="609"/>
    </i>
    <i>
      <x v="791"/>
    </i>
    <i>
      <x v="606"/>
    </i>
    <i>
      <x v="793"/>
    </i>
    <i>
      <x v="559"/>
    </i>
    <i>
      <x v="795"/>
    </i>
    <i>
      <x v="716"/>
    </i>
    <i>
      <x v="552"/>
    </i>
    <i>
      <x v="717"/>
    </i>
    <i>
      <x v="799"/>
    </i>
    <i>
      <x v="718"/>
    </i>
    <i>
      <x v="801"/>
    </i>
    <i>
      <x v="585"/>
    </i>
    <i>
      <x v="803"/>
    </i>
    <i>
      <x v="586"/>
    </i>
    <i>
      <x v="603"/>
    </i>
    <i>
      <x v="587"/>
    </i>
    <i>
      <x v="637"/>
    </i>
    <i>
      <x v="610"/>
    </i>
    <i>
      <x v="809"/>
    </i>
    <i>
      <x v="723"/>
    </i>
    <i>
      <x v="811"/>
    </i>
    <i>
      <x v="589"/>
    </i>
    <i>
      <x v="604"/>
    </i>
    <i>
      <x v="725"/>
    </i>
    <i>
      <x v="815"/>
    </i>
    <i>
      <x v="726"/>
    </i>
    <i>
      <x v="817"/>
    </i>
    <i>
      <x v="727"/>
    </i>
    <i>
      <x v="819"/>
    </i>
    <i>
      <x v="728"/>
    </i>
    <i>
      <x v="729"/>
    </i>
    <i>
      <x v="822"/>
    </i>
    <i>
      <x v="713"/>
    </i>
    <i>
      <x v="714"/>
    </i>
    <i>
      <x v="484"/>
    </i>
    <i>
      <x v="335"/>
    </i>
    <i>
      <x v="516"/>
    </i>
    <i>
      <x v="358"/>
    </i>
    <i>
      <x v="468"/>
    </i>
    <i>
      <x v="359"/>
    </i>
    <i>
      <x v="500"/>
    </i>
    <i>
      <x v="304"/>
    </i>
    <i>
      <x v="532"/>
    </i>
    <i>
      <x v="361"/>
    </i>
    <i>
      <x v="460"/>
    </i>
    <i>
      <x v="362"/>
    </i>
    <i>
      <x v="476"/>
    </i>
    <i>
      <x v="363"/>
    </i>
    <i>
      <x v="492"/>
    </i>
    <i>
      <x v="305"/>
    </i>
    <i>
      <x v="345"/>
    </i>
    <i>
      <x v="306"/>
    </i>
    <i>
      <x v="524"/>
    </i>
    <i>
      <x v="366"/>
    </i>
    <i>
      <x v="540"/>
    </i>
    <i>
      <x v="367"/>
    </i>
    <i>
      <x v="456"/>
    </i>
    <i>
      <x v="307"/>
    </i>
    <i>
      <x v="464"/>
    </i>
    <i>
      <x v="369"/>
    </i>
    <i>
      <x v="472"/>
    </i>
    <i>
      <x v="285"/>
    </i>
    <i>
      <x v="340"/>
    </i>
    <i>
      <x v="371"/>
    </i>
    <i>
      <x v="488"/>
    </i>
    <i>
      <x v="372"/>
    </i>
    <i>
      <x v="496"/>
    </i>
    <i>
      <x v="373"/>
    </i>
    <i>
      <x v="504"/>
    </i>
    <i>
      <x v="374"/>
    </i>
    <i>
      <x v="512"/>
    </i>
    <i>
      <x v="375"/>
    </i>
    <i>
      <x v="520"/>
    </i>
    <i>
      <x v="376"/>
    </i>
    <i>
      <x v="528"/>
    </i>
    <i>
      <x v="377"/>
    </i>
    <i>
      <x v="351"/>
    </i>
    <i>
      <x v="309"/>
    </i>
    <i>
      <x v="544"/>
    </i>
    <i>
      <x v="379"/>
    </i>
    <i>
      <x v="454"/>
    </i>
    <i>
      <x v="380"/>
    </i>
    <i>
      <x v="458"/>
    </i>
    <i>
      <x v="310"/>
    </i>
    <i>
      <x v="462"/>
    </i>
    <i>
      <x v="311"/>
    </i>
    <i>
      <x v="466"/>
    </i>
    <i>
      <x v="383"/>
    </i>
    <i>
      <x v="470"/>
    </i>
    <i>
      <x v="312"/>
    </i>
    <i>
      <x v="474"/>
    </i>
    <i>
      <x v="385"/>
    </i>
    <i>
      <x v="478"/>
    </i>
    <i>
      <x v="386"/>
    </i>
    <i>
      <x v="297"/>
    </i>
    <i>
      <x v="387"/>
    </i>
    <i>
      <x v="486"/>
    </i>
    <i>
      <x v="388"/>
    </i>
    <i>
      <x v="490"/>
    </i>
    <i>
      <x v="286"/>
    </i>
    <i>
      <x v="282"/>
    </i>
    <i>
      <x v="314"/>
    </i>
    <i>
      <x v="498"/>
    </i>
    <i>
      <x v="315"/>
    </i>
    <i>
      <x v="502"/>
    </i>
    <i>
      <x v="392"/>
    </i>
    <i>
      <x v="506"/>
    </i>
    <i>
      <x v="316"/>
    </i>
    <i>
      <x v="510"/>
    </i>
    <i>
      <x v="394"/>
    </i>
    <i>
      <x v="514"/>
    </i>
    <i>
      <x v="395"/>
    </i>
    <i>
      <x v="347"/>
    </i>
    <i>
      <x v="287"/>
    </i>
    <i>
      <x v="349"/>
    </i>
    <i>
      <x v="397"/>
    </i>
    <i>
      <x v="526"/>
    </i>
    <i>
      <x v="288"/>
    </i>
    <i>
      <x v="530"/>
    </i>
    <i>
      <x v="399"/>
    </i>
    <i>
      <x v="534"/>
    </i>
    <i>
      <x v="400"/>
    </i>
    <i>
      <x v="538"/>
    </i>
    <i>
      <x v="401"/>
    </i>
    <i>
      <x v="355"/>
    </i>
    <i>
      <x v="402"/>
    </i>
    <i>
      <x v="546"/>
    </i>
    <i>
      <x v="403"/>
    </i>
    <i>
      <x v="453"/>
    </i>
    <i>
      <x v="289"/>
    </i>
    <i>
      <x v="455"/>
    </i>
    <i>
      <x v="405"/>
    </i>
    <i>
      <x v="457"/>
    </i>
    <i>
      <x v="320"/>
    </i>
    <i>
      <x v="336"/>
    </i>
    <i>
      <x v="407"/>
    </i>
    <i>
      <x v="461"/>
    </i>
    <i>
      <x v="408"/>
    </i>
    <i>
      <x v="337"/>
    </i>
    <i>
      <x v="409"/>
    </i>
    <i>
      <x v="465"/>
    </i>
    <i>
      <x v="547"/>
    </i>
    <i>
      <x v="467"/>
    </i>
    <i>
      <x v="548"/>
    </i>
    <i>
      <x v="469"/>
    </i>
    <i>
      <x v="321"/>
    </i>
    <i>
      <x v="338"/>
    </i>
    <i>
      <x v="413"/>
    </i>
    <i>
      <x v="473"/>
    </i>
    <i>
      <x v="414"/>
    </i>
    <i>
      <x v="475"/>
    </i>
    <i>
      <x v="415"/>
    </i>
    <i>
      <x v="296"/>
    </i>
    <i>
      <x v="416"/>
    </i>
    <i>
      <x v="479"/>
    </i>
    <i>
      <x v="417"/>
    </i>
    <i>
      <x v="481"/>
    </i>
    <i>
      <x v="418"/>
    </i>
    <i>
      <x v="483"/>
    </i>
    <i>
      <x v="322"/>
    </i>
    <i>
      <x v="485"/>
    </i>
    <i>
      <x v="420"/>
    </i>
    <i>
      <x v="487"/>
    </i>
    <i>
      <x v="421"/>
    </i>
    <i>
      <x v="489"/>
    </i>
    <i>
      <x v="422"/>
    </i>
    <i>
      <x v="491"/>
    </i>
    <i>
      <x v="423"/>
    </i>
    <i>
      <x v="493"/>
    </i>
    <i>
      <x v="424"/>
    </i>
    <i>
      <x v="495"/>
    </i>
    <i>
      <x v="425"/>
    </i>
    <i>
      <x v="497"/>
    </i>
    <i>
      <x v="323"/>
    </i>
    <i>
      <x v="343"/>
    </i>
    <i>
      <x v="324"/>
    </i>
    <i>
      <x v="501"/>
    </i>
    <i>
      <x v="428"/>
    </i>
    <i>
      <x v="503"/>
    </i>
    <i>
      <x v="429"/>
    </i>
    <i>
      <x v="344"/>
    </i>
    <i>
      <x v="290"/>
    </i>
    <i>
      <x v="507"/>
    </i>
    <i>
      <x v="431"/>
    </i>
    <i>
      <x v="509"/>
    </i>
    <i>
      <x v="326"/>
    </i>
    <i>
      <x v="511"/>
    </i>
    <i>
      <x v="433"/>
    </i>
    <i>
      <x v="513"/>
    </i>
    <i>
      <x v="434"/>
    </i>
    <i>
      <x v="515"/>
    </i>
    <i>
      <x v="327"/>
    </i>
    <i>
      <x v="283"/>
    </i>
    <i>
      <x v="436"/>
    </i>
    <i>
      <x v="348"/>
    </i>
    <i>
      <x v="437"/>
    </i>
    <i>
      <x v="521"/>
    </i>
    <i>
      <x v="438"/>
    </i>
    <i>
      <x v="523"/>
    </i>
    <i>
      <x v="439"/>
    </i>
    <i>
      <x v="525"/>
    </i>
    <i>
      <x v="440"/>
    </i>
    <i>
      <x v="527"/>
    </i>
    <i>
      <x v="441"/>
    </i>
    <i>
      <x v="529"/>
    </i>
    <i>
      <x v="442"/>
    </i>
    <i>
      <x v="531"/>
    </i>
    <i>
      <x v="291"/>
    </i>
    <i>
      <x v="350"/>
    </i>
    <i>
      <x v="278"/>
    </i>
    <i>
      <x v="535"/>
    </i>
    <i>
      <x v="293"/>
    </i>
    <i>
      <x v="284"/>
    </i>
    <i>
      <x v="446"/>
    </i>
    <i>
      <x v="301"/>
    </i>
    <i>
      <x v="331"/>
    </i>
    <i>
      <x v="302"/>
    </i>
    <i>
      <x v="294"/>
    </i>
    <i>
      <x v="356"/>
    </i>
    <i>
      <x v="277"/>
    </i>
    <i>
      <x v="545"/>
    </i>
    <i>
      <x v="450"/>
    </i>
    <i>
      <x v="303"/>
    </i>
    <i>
      <x v="334"/>
    </i>
    <i>
      <x v="549"/>
    </i>
    <i>
      <x v="411"/>
    </i>
    <i>
      <x v="412"/>
    </i>
    <i>
      <x v="213"/>
    </i>
    <i>
      <x v="181"/>
    </i>
    <i>
      <x v="245"/>
    </i>
    <i>
      <x v="9"/>
    </i>
    <i>
      <x v="197"/>
    </i>
    <i>
      <x v="88"/>
    </i>
    <i>
      <x v="70"/>
    </i>
    <i>
      <x v="89"/>
    </i>
    <i>
      <x v="261"/>
    </i>
    <i>
      <x v="29"/>
    </i>
    <i>
      <x v="189"/>
    </i>
    <i>
      <x v="30"/>
    </i>
    <i>
      <x v="205"/>
    </i>
    <i>
      <x v="31"/>
    </i>
    <i>
      <x v="221"/>
    </i>
    <i>
      <x v="93"/>
    </i>
    <i>
      <x v="237"/>
    </i>
    <i>
      <x v="94"/>
    </i>
    <i>
      <x v="8"/>
    </i>
    <i>
      <x v="32"/>
    </i>
    <i>
      <x v="269"/>
    </i>
    <i>
      <x v="33"/>
    </i>
    <i>
      <x v="185"/>
    </i>
    <i>
      <x v="97"/>
    </i>
    <i>
      <x v="193"/>
    </i>
    <i>
      <x v="98"/>
    </i>
    <i>
      <x v="201"/>
    </i>
    <i>
      <x v="99"/>
    </i>
    <i>
      <x v="17"/>
    </i>
    <i>
      <x v="100"/>
    </i>
    <i>
      <x v="217"/>
    </i>
    <i>
      <x v="101"/>
    </i>
    <i>
      <x v="225"/>
    </i>
    <i>
      <x v="102"/>
    </i>
    <i>
      <x v="72"/>
    </i>
    <i>
      <x v="103"/>
    </i>
    <i>
      <x v="241"/>
    </i>
    <i>
      <x v="104"/>
    </i>
    <i>
      <x v="25"/>
    </i>
    <i>
      <x v="105"/>
    </i>
    <i>
      <x v="257"/>
    </i>
    <i>
      <x v="106"/>
    </i>
    <i>
      <x v="84"/>
    </i>
    <i>
      <x v="107"/>
    </i>
    <i>
      <x v="179"/>
    </i>
    <i>
      <x v="108"/>
    </i>
    <i>
      <x v="183"/>
    </i>
    <i>
      <x v="34"/>
    </i>
    <i>
      <x v="187"/>
    </i>
    <i>
      <x v="110"/>
    </i>
    <i>
      <x v="191"/>
    </i>
    <i>
      <x v="35"/>
    </i>
    <i>
      <x v="195"/>
    </i>
    <i>
      <x v="112"/>
    </i>
    <i>
      <x v="199"/>
    </i>
    <i>
      <x v="4"/>
    </i>
    <i>
      <x v="203"/>
    </i>
    <i>
      <x v="11"/>
    </i>
    <i>
      <x v="62"/>
    </i>
    <i>
      <x v="115"/>
    </i>
    <i>
      <x v="65"/>
    </i>
    <i>
      <x v="116"/>
    </i>
    <i>
      <x v="67"/>
    </i>
    <i>
      <x v="38"/>
    </i>
    <i>
      <x v="219"/>
    </i>
    <i>
      <x v="39"/>
    </i>
    <i>
      <x v="223"/>
    </i>
    <i>
      <x v="119"/>
    </i>
    <i>
      <x v="227"/>
    </i>
    <i>
      <x v="120"/>
    </i>
    <i>
      <x v="231"/>
    </i>
    <i>
      <x v="121"/>
    </i>
    <i>
      <x v="73"/>
    </i>
    <i>
      <x v="122"/>
    </i>
    <i>
      <x v="239"/>
    </i>
    <i>
      <x v="123"/>
    </i>
    <i>
      <x v="243"/>
    </i>
    <i>
      <x v="40"/>
    </i>
    <i>
      <x v="247"/>
    </i>
    <i>
      <x v="125"/>
    </i>
    <i>
      <x v="251"/>
    </i>
    <i>
      <x v="126"/>
    </i>
    <i>
      <x v="82"/>
    </i>
    <i>
      <x v="41"/>
    </i>
    <i>
      <x v="259"/>
    </i>
    <i>
      <x v="128"/>
    </i>
    <i>
      <x v="83"/>
    </i>
    <i>
      <x v="129"/>
    </i>
    <i>
      <x v="267"/>
    </i>
    <i>
      <x v="42"/>
    </i>
    <i>
      <x v="86"/>
    </i>
    <i>
      <x v="12"/>
    </i>
    <i>
      <x v="180"/>
    </i>
    <i>
      <x v="132"/>
    </i>
    <i>
      <x v="182"/>
    </i>
    <i>
      <x v="133"/>
    </i>
    <i>
      <x v="184"/>
    </i>
    <i>
      <x v="134"/>
    </i>
    <i>
      <x v="186"/>
    </i>
    <i>
      <x v="271"/>
    </i>
    <i>
      <x v="188"/>
    </i>
    <i>
      <x v="273"/>
    </i>
    <i>
      <x v="190"/>
    </i>
    <i>
      <x/>
    </i>
    <i>
      <x v="192"/>
    </i>
    <i>
      <x v="44"/>
    </i>
    <i>
      <x v="194"/>
    </i>
    <i>
      <x v="139"/>
    </i>
    <i>
      <x v="60"/>
    </i>
    <i>
      <x v="140"/>
    </i>
    <i>
      <x v="198"/>
    </i>
    <i>
      <x v="141"/>
    </i>
    <i>
      <x v="200"/>
    </i>
    <i>
      <x v="142"/>
    </i>
    <i>
      <x v="61"/>
    </i>
    <i>
      <x v="143"/>
    </i>
    <i>
      <x v="204"/>
    </i>
    <i>
      <x v="144"/>
    </i>
    <i>
      <x v="206"/>
    </i>
    <i>
      <x v="145"/>
    </i>
    <i>
      <x v="208"/>
    </i>
    <i>
      <x v="45"/>
    </i>
    <i>
      <x v="18"/>
    </i>
    <i>
      <x v="147"/>
    </i>
    <i>
      <x v="19"/>
    </i>
    <i>
      <x v="46"/>
    </i>
    <i>
      <x v="214"/>
    </i>
    <i>
      <x v="149"/>
    </i>
    <i>
      <x v="216"/>
    </i>
    <i>
      <x v="150"/>
    </i>
    <i>
      <x v="68"/>
    </i>
    <i>
      <x v="47"/>
    </i>
    <i>
      <x v="7"/>
    </i>
    <i>
      <x v="48"/>
    </i>
    <i>
      <x v="222"/>
    </i>
    <i>
      <x v="153"/>
    </i>
    <i>
      <x v="224"/>
    </i>
    <i>
      <x v="154"/>
    </i>
    <i>
      <x v="226"/>
    </i>
    <i>
      <x v="155"/>
    </i>
    <i>
      <x v="228"/>
    </i>
    <i>
      <x v="156"/>
    </i>
    <i>
      <x v="230"/>
    </i>
    <i>
      <x v="49"/>
    </i>
    <i>
      <x v="21"/>
    </i>
    <i>
      <x v="13"/>
    </i>
    <i>
      <x v="234"/>
    </i>
    <i>
      <x v="159"/>
    </i>
    <i>
      <x v="22"/>
    </i>
    <i>
      <x v="160"/>
    </i>
    <i>
      <x v="75"/>
    </i>
    <i>
      <x v="51"/>
    </i>
    <i>
      <x v="240"/>
    </i>
    <i>
      <x v="5"/>
    </i>
    <i>
      <x v="76"/>
    </i>
    <i>
      <x v="163"/>
    </i>
    <i>
      <x v="23"/>
    </i>
    <i>
      <x v="164"/>
    </i>
    <i>
      <x v="24"/>
    </i>
    <i>
      <x v="165"/>
    </i>
    <i>
      <x v="79"/>
    </i>
    <i>
      <x v="53"/>
    </i>
    <i>
      <x v="250"/>
    </i>
    <i>
      <x v="2"/>
    </i>
    <i>
      <x v="252"/>
    </i>
    <i>
      <x v="55"/>
    </i>
    <i>
      <x v="254"/>
    </i>
    <i>
      <x v="169"/>
    </i>
    <i>
      <x v="256"/>
    </i>
    <i>
      <x v="170"/>
    </i>
    <i>
      <x v="258"/>
    </i>
    <i>
      <x v="171"/>
    </i>
    <i>
      <x v="260"/>
    </i>
    <i>
      <x v="172"/>
    </i>
    <i>
      <x v="262"/>
    </i>
    <i>
      <x v="56"/>
    </i>
    <i>
      <x v="264"/>
    </i>
    <i>
      <x v="174"/>
    </i>
    <i>
      <x v="266"/>
    </i>
    <i>
      <x v="16"/>
    </i>
    <i>
      <x v="27"/>
    </i>
    <i>
      <x v="58"/>
    </i>
    <i>
      <x v="270"/>
    </i>
    <i>
      <x v="177"/>
    </i>
    <i>
      <x v="59"/>
    </i>
    <i>
      <x v="135"/>
    </i>
    <i>
      <x v="274"/>
    </i>
    <i>
      <x v="136"/>
    </i>
    <i>
      <x v="137"/>
    </i>
    <i t="grand">
      <x/>
    </i>
  </rowItems>
  <colItems count="1">
    <i/>
  </colItems>
  <dataFields count="1">
    <dataField name="Count of HITS" fld="0" subtotal="count" baseField="0" baseItem="0"/>
  </dataFields>
  <formats count="156">
    <format dxfId="179">
      <pivotArea type="all" dataOnly="0" outline="0" fieldPosition="0"/>
    </format>
    <format dxfId="178">
      <pivotArea outline="0" collapsedLevelsAreSubtotals="1" fieldPosition="0"/>
    </format>
    <format dxfId="177">
      <pivotArea field="2" type="button" dataOnly="0" labelOnly="1" outline="0" axis="axisRow" fieldPosition="0"/>
    </format>
    <format dxfId="176">
      <pivotArea dataOnly="0" labelOnly="1" fieldPosition="0">
        <references count="1">
          <reference field="2" count="50">
            <x v="6"/>
            <x v="52"/>
            <x v="71"/>
            <x v="77"/>
            <x v="85"/>
            <x v="111"/>
            <x v="113"/>
            <x v="127"/>
            <x v="151"/>
            <x v="215"/>
            <x v="218"/>
            <x v="229"/>
            <x v="279"/>
            <x v="280"/>
            <x v="295"/>
            <x v="308"/>
            <x v="329"/>
            <x v="346"/>
            <x v="352"/>
            <x v="384"/>
            <x v="390"/>
            <x v="393"/>
            <x v="396"/>
            <x v="406"/>
            <x v="419"/>
            <x v="426"/>
            <x v="517"/>
            <x v="518"/>
            <x v="533"/>
            <x v="553"/>
            <x v="562"/>
            <x v="571"/>
            <x v="572"/>
            <x v="575"/>
            <x v="590"/>
            <x v="596"/>
            <x v="605"/>
            <x v="640"/>
            <x v="649"/>
            <x v="657"/>
            <x v="697"/>
            <x v="701"/>
            <x v="715"/>
            <x v="721"/>
            <x v="722"/>
            <x v="753"/>
            <x v="757"/>
            <x v="769"/>
            <x v="777"/>
            <x v="805"/>
          </reference>
        </references>
      </pivotArea>
    </format>
    <format dxfId="175">
      <pivotArea dataOnly="0" labelOnly="1" fieldPosition="0">
        <references count="1">
          <reference field="2" count="50">
            <x v="28"/>
            <x v="43"/>
            <x v="50"/>
            <x v="64"/>
            <x v="80"/>
            <x v="81"/>
            <x v="87"/>
            <x v="92"/>
            <x v="118"/>
            <x v="162"/>
            <x v="166"/>
            <x v="209"/>
            <x v="210"/>
            <x v="220"/>
            <x v="232"/>
            <x v="281"/>
            <x v="298"/>
            <x v="319"/>
            <x v="382"/>
            <x v="427"/>
            <x v="432"/>
            <x v="447"/>
            <x v="448"/>
            <x v="459"/>
            <x v="499"/>
            <x v="522"/>
            <x v="542"/>
            <x v="580"/>
            <x v="582"/>
            <x v="608"/>
            <x v="617"/>
            <x v="620"/>
            <x v="629"/>
            <x v="633"/>
            <x v="650"/>
            <x v="671"/>
            <x v="673"/>
            <x v="676"/>
            <x v="678"/>
            <x v="688"/>
            <x v="707"/>
            <x v="719"/>
            <x v="720"/>
            <x v="739"/>
            <x v="773"/>
            <x v="774"/>
            <x v="776"/>
            <x v="785"/>
            <x v="797"/>
            <x v="818"/>
          </reference>
        </references>
      </pivotArea>
    </format>
    <format dxfId="174">
      <pivotArea dataOnly="0" labelOnly="1" fieldPosition="0">
        <references count="1">
          <reference field="2" count="50">
            <x v="3"/>
            <x v="14"/>
            <x v="36"/>
            <x v="57"/>
            <x v="78"/>
            <x v="96"/>
            <x v="138"/>
            <x v="168"/>
            <x v="175"/>
            <x v="178"/>
            <x v="211"/>
            <x v="212"/>
            <x v="233"/>
            <x v="236"/>
            <x v="242"/>
            <x v="249"/>
            <x v="253"/>
            <x v="255"/>
            <x v="263"/>
            <x v="268"/>
            <x v="275"/>
            <x v="292"/>
            <x v="299"/>
            <x v="318"/>
            <x v="339"/>
            <x v="364"/>
            <x v="389"/>
            <x v="398"/>
            <x v="430"/>
            <x v="443"/>
            <x v="444"/>
            <x v="449"/>
            <x v="451"/>
            <x v="482"/>
            <x v="505"/>
            <x v="508"/>
            <x v="536"/>
            <x v="541"/>
            <x v="566"/>
            <x v="584"/>
            <x v="602"/>
            <x v="619"/>
            <x v="679"/>
            <x v="684"/>
            <x v="686"/>
            <x v="724"/>
            <x v="738"/>
            <x v="743"/>
            <x v="744"/>
            <x v="813"/>
          </reference>
        </references>
      </pivotArea>
    </format>
    <format dxfId="173">
      <pivotArea dataOnly="0" labelOnly="1" fieldPosition="0">
        <references count="1">
          <reference field="2" count="50">
            <x v="124"/>
            <x v="130"/>
            <x v="276"/>
            <x v="317"/>
            <x v="330"/>
            <x v="332"/>
            <x v="333"/>
            <x v="341"/>
            <x v="342"/>
            <x v="354"/>
            <x v="357"/>
            <x v="365"/>
            <x v="368"/>
            <x v="404"/>
            <x v="435"/>
            <x v="477"/>
            <x v="539"/>
            <x v="551"/>
            <x v="561"/>
            <x v="570"/>
            <x v="574"/>
            <x v="577"/>
            <x v="583"/>
            <x v="588"/>
            <x v="593"/>
            <x v="597"/>
            <x v="601"/>
            <x v="623"/>
            <x v="625"/>
            <x v="626"/>
            <x v="631"/>
            <x v="646"/>
            <x v="659"/>
            <x v="660"/>
            <x v="664"/>
            <x v="665"/>
            <x v="668"/>
            <x v="694"/>
            <x v="699"/>
            <x v="710"/>
            <x v="712"/>
            <x v="731"/>
            <x v="734"/>
            <x v="754"/>
            <x v="775"/>
            <x v="796"/>
            <x v="806"/>
            <x v="807"/>
            <x v="812"/>
            <x v="821"/>
          </reference>
        </references>
      </pivotArea>
    </format>
    <format dxfId="172">
      <pivotArea dataOnly="0" labelOnly="1" fieldPosition="0">
        <references count="1">
          <reference field="2" count="50">
            <x v="1"/>
            <x v="10"/>
            <x v="15"/>
            <x v="20"/>
            <x v="26"/>
            <x v="54"/>
            <x v="63"/>
            <x v="66"/>
            <x v="74"/>
            <x v="90"/>
            <x v="91"/>
            <x v="95"/>
            <x v="114"/>
            <x v="117"/>
            <x v="131"/>
            <x v="146"/>
            <x v="158"/>
            <x v="161"/>
            <x v="167"/>
            <x v="173"/>
            <x v="176"/>
            <x v="196"/>
            <x v="202"/>
            <x v="207"/>
            <x v="235"/>
            <x v="238"/>
            <x v="244"/>
            <x v="246"/>
            <x v="248"/>
            <x v="265"/>
            <x v="300"/>
            <x v="313"/>
            <x v="325"/>
            <x v="328"/>
            <x v="353"/>
            <x v="360"/>
            <x v="370"/>
            <x v="378"/>
            <x v="381"/>
            <x v="391"/>
            <x v="410"/>
            <x v="445"/>
            <x v="452"/>
            <x v="463"/>
            <x v="471"/>
            <x v="480"/>
            <x v="494"/>
            <x v="519"/>
            <x v="537"/>
            <x v="543"/>
          </reference>
        </references>
      </pivotArea>
    </format>
    <format dxfId="171">
      <pivotArea dataOnly="0" labelOnly="1" fieldPosition="0">
        <references count="1">
          <reference field="2" count="50">
            <x v="37"/>
            <x v="69"/>
            <x v="109"/>
            <x v="148"/>
            <x v="152"/>
            <x v="157"/>
            <x v="272"/>
            <x v="554"/>
            <x v="555"/>
            <x v="560"/>
            <x v="563"/>
            <x v="573"/>
            <x v="598"/>
            <x v="612"/>
            <x v="613"/>
            <x v="614"/>
            <x v="628"/>
            <x v="630"/>
            <x v="636"/>
            <x v="641"/>
            <x v="642"/>
            <x v="643"/>
            <x v="644"/>
            <x v="645"/>
            <x v="647"/>
            <x v="648"/>
            <x v="651"/>
            <x v="652"/>
            <x v="653"/>
            <x v="654"/>
            <x v="655"/>
            <x v="656"/>
            <x v="658"/>
            <x v="730"/>
            <x v="742"/>
            <x v="746"/>
            <x v="750"/>
            <x v="758"/>
            <x v="762"/>
            <x v="766"/>
            <x v="770"/>
            <x v="778"/>
            <x v="782"/>
            <x v="786"/>
            <x v="790"/>
            <x v="794"/>
            <x v="798"/>
            <x v="802"/>
            <x v="810"/>
            <x v="814"/>
          </reference>
        </references>
      </pivotArea>
    </format>
    <format dxfId="170">
      <pivotArea dataOnly="0" labelOnly="1" fieldPosition="0">
        <references count="1">
          <reference field="2" count="50">
            <x v="556"/>
            <x v="565"/>
            <x v="567"/>
            <x v="568"/>
            <x v="576"/>
            <x v="578"/>
            <x v="579"/>
            <x v="599"/>
            <x v="607"/>
            <x v="615"/>
            <x v="616"/>
            <x v="618"/>
            <x v="627"/>
            <x v="635"/>
            <x v="638"/>
            <x v="639"/>
            <x v="661"/>
            <x v="662"/>
            <x v="663"/>
            <x v="666"/>
            <x v="667"/>
            <x v="669"/>
            <x v="670"/>
            <x v="672"/>
            <x v="674"/>
            <x v="675"/>
            <x v="677"/>
            <x v="680"/>
            <x v="681"/>
            <x v="682"/>
            <x v="683"/>
            <x v="732"/>
            <x v="733"/>
            <x v="736"/>
            <x v="740"/>
            <x v="748"/>
            <x v="752"/>
            <x v="756"/>
            <x v="760"/>
            <x v="764"/>
            <x v="768"/>
            <x v="772"/>
            <x v="780"/>
            <x v="784"/>
            <x v="788"/>
            <x v="792"/>
            <x v="800"/>
            <x v="804"/>
            <x v="808"/>
            <x v="816"/>
          </reference>
        </references>
      </pivotArea>
    </format>
    <format dxfId="169">
      <pivotArea dataOnly="0" labelOnly="1" fieldPosition="0">
        <references count="1">
          <reference field="2" count="50">
            <x v="550"/>
            <x v="557"/>
            <x v="558"/>
            <x v="564"/>
            <x v="569"/>
            <x v="581"/>
            <x v="591"/>
            <x v="592"/>
            <x v="594"/>
            <x v="595"/>
            <x v="600"/>
            <x v="611"/>
            <x v="621"/>
            <x v="622"/>
            <x v="632"/>
            <x v="685"/>
            <x v="687"/>
            <x v="689"/>
            <x v="690"/>
            <x v="691"/>
            <x v="692"/>
            <x v="693"/>
            <x v="695"/>
            <x v="696"/>
            <x v="698"/>
            <x v="700"/>
            <x v="702"/>
            <x v="703"/>
            <x v="704"/>
            <x v="705"/>
            <x v="706"/>
            <x v="708"/>
            <x v="709"/>
            <x v="735"/>
            <x v="737"/>
            <x v="741"/>
            <x v="745"/>
            <x v="747"/>
            <x v="749"/>
            <x v="751"/>
            <x v="755"/>
            <x v="759"/>
            <x v="761"/>
            <x v="763"/>
            <x v="765"/>
            <x v="767"/>
            <x v="771"/>
            <x v="779"/>
            <x v="781"/>
            <x v="783"/>
          </reference>
        </references>
      </pivotArea>
    </format>
    <format dxfId="168">
      <pivotArea dataOnly="0" labelOnly="1" fieldPosition="0">
        <references count="1">
          <reference field="2" count="50">
            <x v="304"/>
            <x v="335"/>
            <x v="358"/>
            <x v="359"/>
            <x v="468"/>
            <x v="484"/>
            <x v="500"/>
            <x v="516"/>
            <x v="532"/>
            <x v="552"/>
            <x v="559"/>
            <x v="585"/>
            <x v="586"/>
            <x v="587"/>
            <x v="589"/>
            <x v="603"/>
            <x v="604"/>
            <x v="606"/>
            <x v="609"/>
            <x v="610"/>
            <x v="624"/>
            <x v="634"/>
            <x v="637"/>
            <x v="711"/>
            <x v="713"/>
            <x v="714"/>
            <x v="716"/>
            <x v="717"/>
            <x v="718"/>
            <x v="723"/>
            <x v="725"/>
            <x v="726"/>
            <x v="727"/>
            <x v="728"/>
            <x v="729"/>
            <x v="787"/>
            <x v="789"/>
            <x v="791"/>
            <x v="793"/>
            <x v="795"/>
            <x v="799"/>
            <x v="801"/>
            <x v="803"/>
            <x v="809"/>
            <x v="811"/>
            <x v="815"/>
            <x v="817"/>
            <x v="819"/>
            <x v="820"/>
            <x v="822"/>
          </reference>
        </references>
      </pivotArea>
    </format>
    <format dxfId="167">
      <pivotArea dataOnly="0" labelOnly="1" fieldPosition="0">
        <references count="1">
          <reference field="2" count="50">
            <x v="285"/>
            <x v="305"/>
            <x v="306"/>
            <x v="307"/>
            <x v="309"/>
            <x v="310"/>
            <x v="311"/>
            <x v="312"/>
            <x v="340"/>
            <x v="345"/>
            <x v="351"/>
            <x v="361"/>
            <x v="362"/>
            <x v="363"/>
            <x v="366"/>
            <x v="367"/>
            <x v="369"/>
            <x v="371"/>
            <x v="372"/>
            <x v="373"/>
            <x v="374"/>
            <x v="375"/>
            <x v="376"/>
            <x v="377"/>
            <x v="379"/>
            <x v="380"/>
            <x v="383"/>
            <x v="385"/>
            <x v="454"/>
            <x v="456"/>
            <x v="458"/>
            <x v="460"/>
            <x v="462"/>
            <x v="464"/>
            <x v="466"/>
            <x v="470"/>
            <x v="472"/>
            <x v="474"/>
            <x v="476"/>
            <x v="478"/>
            <x v="488"/>
            <x v="492"/>
            <x v="496"/>
            <x v="504"/>
            <x v="512"/>
            <x v="520"/>
            <x v="524"/>
            <x v="528"/>
            <x v="540"/>
            <x v="544"/>
          </reference>
        </references>
      </pivotArea>
    </format>
    <format dxfId="166">
      <pivotArea dataOnly="0" labelOnly="1" fieldPosition="0">
        <references count="1">
          <reference field="2" count="50">
            <x v="282"/>
            <x v="286"/>
            <x v="287"/>
            <x v="288"/>
            <x v="289"/>
            <x v="297"/>
            <x v="314"/>
            <x v="315"/>
            <x v="316"/>
            <x v="320"/>
            <x v="336"/>
            <x v="337"/>
            <x v="347"/>
            <x v="349"/>
            <x v="355"/>
            <x v="386"/>
            <x v="387"/>
            <x v="388"/>
            <x v="392"/>
            <x v="394"/>
            <x v="395"/>
            <x v="397"/>
            <x v="399"/>
            <x v="400"/>
            <x v="401"/>
            <x v="402"/>
            <x v="403"/>
            <x v="405"/>
            <x v="407"/>
            <x v="408"/>
            <x v="409"/>
            <x v="453"/>
            <x v="455"/>
            <x v="457"/>
            <x v="461"/>
            <x v="465"/>
            <x v="467"/>
            <x v="486"/>
            <x v="490"/>
            <x v="498"/>
            <x v="502"/>
            <x v="506"/>
            <x v="510"/>
            <x v="514"/>
            <x v="526"/>
            <x v="530"/>
            <x v="534"/>
            <x v="538"/>
            <x v="546"/>
            <x v="547"/>
          </reference>
        </references>
      </pivotArea>
    </format>
    <format dxfId="165">
      <pivotArea dataOnly="0" labelOnly="1" fieldPosition="0">
        <references count="1">
          <reference field="2" count="50">
            <x v="283"/>
            <x v="290"/>
            <x v="296"/>
            <x v="321"/>
            <x v="322"/>
            <x v="323"/>
            <x v="324"/>
            <x v="326"/>
            <x v="327"/>
            <x v="338"/>
            <x v="343"/>
            <x v="344"/>
            <x v="413"/>
            <x v="414"/>
            <x v="415"/>
            <x v="416"/>
            <x v="417"/>
            <x v="418"/>
            <x v="420"/>
            <x v="421"/>
            <x v="422"/>
            <x v="423"/>
            <x v="424"/>
            <x v="425"/>
            <x v="428"/>
            <x v="429"/>
            <x v="431"/>
            <x v="433"/>
            <x v="434"/>
            <x v="469"/>
            <x v="473"/>
            <x v="475"/>
            <x v="479"/>
            <x v="481"/>
            <x v="483"/>
            <x v="485"/>
            <x v="487"/>
            <x v="489"/>
            <x v="491"/>
            <x v="493"/>
            <x v="495"/>
            <x v="497"/>
            <x v="501"/>
            <x v="503"/>
            <x v="507"/>
            <x v="509"/>
            <x v="511"/>
            <x v="513"/>
            <x v="515"/>
            <x v="548"/>
          </reference>
        </references>
      </pivotArea>
    </format>
    <format dxfId="164">
      <pivotArea dataOnly="0" labelOnly="1" fieldPosition="0">
        <references count="1">
          <reference field="2" count="50">
            <x v="9"/>
            <x v="29"/>
            <x v="30"/>
            <x v="31"/>
            <x v="70"/>
            <x v="88"/>
            <x v="89"/>
            <x v="93"/>
            <x v="181"/>
            <x v="189"/>
            <x v="197"/>
            <x v="205"/>
            <x v="213"/>
            <x v="221"/>
            <x v="245"/>
            <x v="261"/>
            <x v="277"/>
            <x v="278"/>
            <x v="284"/>
            <x v="291"/>
            <x v="293"/>
            <x v="294"/>
            <x v="301"/>
            <x v="302"/>
            <x v="303"/>
            <x v="331"/>
            <x v="334"/>
            <x v="348"/>
            <x v="350"/>
            <x v="356"/>
            <x v="411"/>
            <x v="412"/>
            <x v="436"/>
            <x v="437"/>
            <x v="438"/>
            <x v="439"/>
            <x v="440"/>
            <x v="441"/>
            <x v="442"/>
            <x v="446"/>
            <x v="450"/>
            <x v="521"/>
            <x v="523"/>
            <x v="525"/>
            <x v="527"/>
            <x v="529"/>
            <x v="531"/>
            <x v="535"/>
            <x v="545"/>
            <x v="549"/>
          </reference>
        </references>
      </pivotArea>
    </format>
    <format dxfId="163">
      <pivotArea dataOnly="0" labelOnly="1" fieldPosition="0">
        <references count="1">
          <reference field="2" count="50">
            <x v="4"/>
            <x v="8"/>
            <x v="11"/>
            <x v="17"/>
            <x v="25"/>
            <x v="32"/>
            <x v="33"/>
            <x v="34"/>
            <x v="35"/>
            <x v="38"/>
            <x v="39"/>
            <x v="62"/>
            <x v="65"/>
            <x v="67"/>
            <x v="72"/>
            <x v="84"/>
            <x v="94"/>
            <x v="97"/>
            <x v="98"/>
            <x v="99"/>
            <x v="100"/>
            <x v="101"/>
            <x v="102"/>
            <x v="103"/>
            <x v="104"/>
            <x v="105"/>
            <x v="106"/>
            <x v="107"/>
            <x v="108"/>
            <x v="110"/>
            <x v="112"/>
            <x v="115"/>
            <x v="116"/>
            <x v="179"/>
            <x v="183"/>
            <x v="185"/>
            <x v="187"/>
            <x v="191"/>
            <x v="193"/>
            <x v="195"/>
            <x v="199"/>
            <x v="201"/>
            <x v="203"/>
            <x v="217"/>
            <x v="219"/>
            <x v="225"/>
            <x v="237"/>
            <x v="241"/>
            <x v="257"/>
            <x v="269"/>
          </reference>
        </references>
      </pivotArea>
    </format>
    <format dxfId="162">
      <pivotArea dataOnly="0" labelOnly="1" fieldPosition="0">
        <references count="1">
          <reference field="2" count="50">
            <x v="0"/>
            <x v="12"/>
            <x v="40"/>
            <x v="41"/>
            <x v="42"/>
            <x v="44"/>
            <x v="60"/>
            <x v="61"/>
            <x v="73"/>
            <x v="82"/>
            <x v="83"/>
            <x v="86"/>
            <x v="119"/>
            <x v="120"/>
            <x v="121"/>
            <x v="122"/>
            <x v="123"/>
            <x v="125"/>
            <x v="126"/>
            <x v="128"/>
            <x v="129"/>
            <x v="132"/>
            <x v="133"/>
            <x v="134"/>
            <x v="139"/>
            <x v="140"/>
            <x v="141"/>
            <x v="142"/>
            <x v="143"/>
            <x v="180"/>
            <x v="182"/>
            <x v="184"/>
            <x v="186"/>
            <x v="188"/>
            <x v="190"/>
            <x v="192"/>
            <x v="194"/>
            <x v="198"/>
            <x v="200"/>
            <x v="223"/>
            <x v="227"/>
            <x v="231"/>
            <x v="239"/>
            <x v="243"/>
            <x v="247"/>
            <x v="251"/>
            <x v="259"/>
            <x v="267"/>
            <x v="271"/>
            <x v="273"/>
          </reference>
        </references>
      </pivotArea>
    </format>
    <format dxfId="161">
      <pivotArea dataOnly="0" labelOnly="1" fieldPosition="0">
        <references count="1">
          <reference field="2" count="50">
            <x v="2"/>
            <x v="5"/>
            <x v="7"/>
            <x v="13"/>
            <x v="18"/>
            <x v="19"/>
            <x v="21"/>
            <x v="22"/>
            <x v="23"/>
            <x v="24"/>
            <x v="45"/>
            <x v="46"/>
            <x v="47"/>
            <x v="48"/>
            <x v="49"/>
            <x v="51"/>
            <x v="53"/>
            <x v="55"/>
            <x v="68"/>
            <x v="75"/>
            <x v="76"/>
            <x v="79"/>
            <x v="144"/>
            <x v="145"/>
            <x v="147"/>
            <x v="149"/>
            <x v="150"/>
            <x v="153"/>
            <x v="154"/>
            <x v="155"/>
            <x v="156"/>
            <x v="159"/>
            <x v="160"/>
            <x v="163"/>
            <x v="164"/>
            <x v="165"/>
            <x v="204"/>
            <x v="206"/>
            <x v="208"/>
            <x v="214"/>
            <x v="216"/>
            <x v="222"/>
            <x v="224"/>
            <x v="226"/>
            <x v="228"/>
            <x v="230"/>
            <x v="234"/>
            <x v="240"/>
            <x v="250"/>
            <x v="252"/>
          </reference>
        </references>
      </pivotArea>
    </format>
    <format dxfId="160">
      <pivotArea dataOnly="0" labelOnly="1" fieldPosition="0">
        <references count="1">
          <reference field="2" count="23">
            <x v="16"/>
            <x v="27"/>
            <x v="56"/>
            <x v="58"/>
            <x v="59"/>
            <x v="135"/>
            <x v="136"/>
            <x v="137"/>
            <x v="169"/>
            <x v="170"/>
            <x v="171"/>
            <x v="172"/>
            <x v="174"/>
            <x v="177"/>
            <x v="254"/>
            <x v="256"/>
            <x v="258"/>
            <x v="260"/>
            <x v="262"/>
            <x v="264"/>
            <x v="266"/>
            <x v="270"/>
            <x v="274"/>
          </reference>
        </references>
      </pivotArea>
    </format>
    <format dxfId="159">
      <pivotArea dataOnly="0" labelOnly="1" grandRow="1" outline="0" fieldPosition="0"/>
    </format>
    <format dxfId="158">
      <pivotArea dataOnly="0" labelOnly="1" outline="0" axis="axisValues" fieldPosition="0"/>
    </format>
    <format dxfId="157">
      <pivotArea type="all" dataOnly="0" outline="0" fieldPosition="0"/>
    </format>
    <format dxfId="156">
      <pivotArea outline="0" collapsedLevelsAreSubtotals="1" fieldPosition="0"/>
    </format>
    <format dxfId="155">
      <pivotArea field="2" type="button" dataOnly="0" labelOnly="1" outline="0" axis="axisRow" fieldPosition="0"/>
    </format>
    <format dxfId="154">
      <pivotArea dataOnly="0" labelOnly="1" fieldPosition="0">
        <references count="1">
          <reference field="2" count="50">
            <x v="6"/>
            <x v="52"/>
            <x v="71"/>
            <x v="77"/>
            <x v="85"/>
            <x v="111"/>
            <x v="113"/>
            <x v="127"/>
            <x v="151"/>
            <x v="215"/>
            <x v="218"/>
            <x v="229"/>
            <x v="279"/>
            <x v="280"/>
            <x v="295"/>
            <x v="308"/>
            <x v="329"/>
            <x v="346"/>
            <x v="352"/>
            <x v="384"/>
            <x v="390"/>
            <x v="393"/>
            <x v="396"/>
            <x v="406"/>
            <x v="419"/>
            <x v="426"/>
            <x v="517"/>
            <x v="518"/>
            <x v="533"/>
            <x v="553"/>
            <x v="562"/>
            <x v="571"/>
            <x v="572"/>
            <x v="575"/>
            <x v="590"/>
            <x v="596"/>
            <x v="605"/>
            <x v="640"/>
            <x v="649"/>
            <x v="657"/>
            <x v="697"/>
            <x v="701"/>
            <x v="715"/>
            <x v="721"/>
            <x v="722"/>
            <x v="753"/>
            <x v="757"/>
            <x v="769"/>
            <x v="777"/>
            <x v="805"/>
          </reference>
        </references>
      </pivotArea>
    </format>
    <format dxfId="153">
      <pivotArea dataOnly="0" labelOnly="1" fieldPosition="0">
        <references count="1">
          <reference field="2" count="50">
            <x v="28"/>
            <x v="43"/>
            <x v="50"/>
            <x v="64"/>
            <x v="80"/>
            <x v="81"/>
            <x v="87"/>
            <x v="92"/>
            <x v="118"/>
            <x v="162"/>
            <x v="166"/>
            <x v="209"/>
            <x v="210"/>
            <x v="220"/>
            <x v="232"/>
            <x v="281"/>
            <x v="298"/>
            <x v="319"/>
            <x v="382"/>
            <x v="427"/>
            <x v="432"/>
            <x v="447"/>
            <x v="448"/>
            <x v="459"/>
            <x v="499"/>
            <x v="522"/>
            <x v="542"/>
            <x v="580"/>
            <x v="582"/>
            <x v="608"/>
            <x v="617"/>
            <x v="620"/>
            <x v="629"/>
            <x v="633"/>
            <x v="650"/>
            <x v="671"/>
            <x v="673"/>
            <x v="676"/>
            <x v="678"/>
            <x v="688"/>
            <x v="707"/>
            <x v="719"/>
            <x v="720"/>
            <x v="739"/>
            <x v="773"/>
            <x v="774"/>
            <x v="776"/>
            <x v="785"/>
            <x v="797"/>
            <x v="818"/>
          </reference>
        </references>
      </pivotArea>
    </format>
    <format dxfId="152">
      <pivotArea dataOnly="0" labelOnly="1" fieldPosition="0">
        <references count="1">
          <reference field="2" count="50">
            <x v="3"/>
            <x v="14"/>
            <x v="36"/>
            <x v="57"/>
            <x v="78"/>
            <x v="96"/>
            <x v="138"/>
            <x v="168"/>
            <x v="175"/>
            <x v="178"/>
            <x v="211"/>
            <x v="212"/>
            <x v="233"/>
            <x v="236"/>
            <x v="242"/>
            <x v="249"/>
            <x v="253"/>
            <x v="255"/>
            <x v="263"/>
            <x v="268"/>
            <x v="275"/>
            <x v="292"/>
            <x v="299"/>
            <x v="318"/>
            <x v="339"/>
            <x v="364"/>
            <x v="389"/>
            <x v="398"/>
            <x v="430"/>
            <x v="443"/>
            <x v="444"/>
            <x v="449"/>
            <x v="451"/>
            <x v="482"/>
            <x v="505"/>
            <x v="508"/>
            <x v="536"/>
            <x v="541"/>
            <x v="566"/>
            <x v="584"/>
            <x v="602"/>
            <x v="619"/>
            <x v="679"/>
            <x v="684"/>
            <x v="686"/>
            <x v="724"/>
            <x v="738"/>
            <x v="743"/>
            <x v="744"/>
            <x v="813"/>
          </reference>
        </references>
      </pivotArea>
    </format>
    <format dxfId="151">
      <pivotArea dataOnly="0" labelOnly="1" fieldPosition="0">
        <references count="1">
          <reference field="2" count="50">
            <x v="124"/>
            <x v="130"/>
            <x v="276"/>
            <x v="317"/>
            <x v="330"/>
            <x v="332"/>
            <x v="333"/>
            <x v="341"/>
            <x v="342"/>
            <x v="354"/>
            <x v="357"/>
            <x v="365"/>
            <x v="368"/>
            <x v="404"/>
            <x v="435"/>
            <x v="477"/>
            <x v="539"/>
            <x v="551"/>
            <x v="561"/>
            <x v="570"/>
            <x v="574"/>
            <x v="577"/>
            <x v="583"/>
            <x v="588"/>
            <x v="593"/>
            <x v="597"/>
            <x v="601"/>
            <x v="623"/>
            <x v="625"/>
            <x v="626"/>
            <x v="631"/>
            <x v="646"/>
            <x v="659"/>
            <x v="660"/>
            <x v="664"/>
            <x v="665"/>
            <x v="668"/>
            <x v="694"/>
            <x v="699"/>
            <x v="710"/>
            <x v="712"/>
            <x v="731"/>
            <x v="734"/>
            <x v="754"/>
            <x v="775"/>
            <x v="796"/>
            <x v="806"/>
            <x v="807"/>
            <x v="812"/>
            <x v="821"/>
          </reference>
        </references>
      </pivotArea>
    </format>
    <format dxfId="150">
      <pivotArea dataOnly="0" labelOnly="1" fieldPosition="0">
        <references count="1">
          <reference field="2" count="50">
            <x v="1"/>
            <x v="10"/>
            <x v="15"/>
            <x v="20"/>
            <x v="26"/>
            <x v="54"/>
            <x v="63"/>
            <x v="66"/>
            <x v="74"/>
            <x v="90"/>
            <x v="91"/>
            <x v="95"/>
            <x v="114"/>
            <x v="117"/>
            <x v="131"/>
            <x v="146"/>
            <x v="158"/>
            <x v="161"/>
            <x v="167"/>
            <x v="173"/>
            <x v="176"/>
            <x v="196"/>
            <x v="202"/>
            <x v="207"/>
            <x v="235"/>
            <x v="238"/>
            <x v="244"/>
            <x v="246"/>
            <x v="248"/>
            <x v="265"/>
            <x v="300"/>
            <x v="313"/>
            <x v="325"/>
            <x v="328"/>
            <x v="353"/>
            <x v="360"/>
            <x v="370"/>
            <x v="378"/>
            <x v="381"/>
            <x v="391"/>
            <x v="410"/>
            <x v="445"/>
            <x v="452"/>
            <x v="463"/>
            <x v="471"/>
            <x v="480"/>
            <x v="494"/>
            <x v="519"/>
            <x v="537"/>
            <x v="543"/>
          </reference>
        </references>
      </pivotArea>
    </format>
    <format dxfId="149">
      <pivotArea dataOnly="0" labelOnly="1" fieldPosition="0">
        <references count="1">
          <reference field="2" count="50">
            <x v="37"/>
            <x v="69"/>
            <x v="109"/>
            <x v="148"/>
            <x v="152"/>
            <x v="157"/>
            <x v="272"/>
            <x v="554"/>
            <x v="555"/>
            <x v="560"/>
            <x v="563"/>
            <x v="573"/>
            <x v="598"/>
            <x v="612"/>
            <x v="613"/>
            <x v="614"/>
            <x v="628"/>
            <x v="630"/>
            <x v="636"/>
            <x v="641"/>
            <x v="642"/>
            <x v="643"/>
            <x v="644"/>
            <x v="645"/>
            <x v="647"/>
            <x v="648"/>
            <x v="651"/>
            <x v="652"/>
            <x v="653"/>
            <x v="654"/>
            <x v="655"/>
            <x v="656"/>
            <x v="658"/>
            <x v="730"/>
            <x v="742"/>
            <x v="746"/>
            <x v="750"/>
            <x v="758"/>
            <x v="762"/>
            <x v="766"/>
            <x v="770"/>
            <x v="778"/>
            <x v="782"/>
            <x v="786"/>
            <x v="790"/>
            <x v="794"/>
            <x v="798"/>
            <x v="802"/>
            <x v="810"/>
            <x v="814"/>
          </reference>
        </references>
      </pivotArea>
    </format>
    <format dxfId="148">
      <pivotArea dataOnly="0" labelOnly="1" fieldPosition="0">
        <references count="1">
          <reference field="2" count="50">
            <x v="556"/>
            <x v="565"/>
            <x v="567"/>
            <x v="568"/>
            <x v="576"/>
            <x v="578"/>
            <x v="579"/>
            <x v="599"/>
            <x v="607"/>
            <x v="615"/>
            <x v="616"/>
            <x v="618"/>
            <x v="627"/>
            <x v="635"/>
            <x v="638"/>
            <x v="639"/>
            <x v="661"/>
            <x v="662"/>
            <x v="663"/>
            <x v="666"/>
            <x v="667"/>
            <x v="669"/>
            <x v="670"/>
            <x v="672"/>
            <x v="674"/>
            <x v="675"/>
            <x v="677"/>
            <x v="680"/>
            <x v="681"/>
            <x v="682"/>
            <x v="683"/>
            <x v="732"/>
            <x v="733"/>
            <x v="736"/>
            <x v="740"/>
            <x v="748"/>
            <x v="752"/>
            <x v="756"/>
            <x v="760"/>
            <x v="764"/>
            <x v="768"/>
            <x v="772"/>
            <x v="780"/>
            <x v="784"/>
            <x v="788"/>
            <x v="792"/>
            <x v="800"/>
            <x v="804"/>
            <x v="808"/>
            <x v="816"/>
          </reference>
        </references>
      </pivotArea>
    </format>
    <format dxfId="147">
      <pivotArea dataOnly="0" labelOnly="1" fieldPosition="0">
        <references count="1">
          <reference field="2" count="50">
            <x v="550"/>
            <x v="557"/>
            <x v="558"/>
            <x v="564"/>
            <x v="569"/>
            <x v="581"/>
            <x v="591"/>
            <x v="592"/>
            <x v="594"/>
            <x v="595"/>
            <x v="600"/>
            <x v="611"/>
            <x v="621"/>
            <x v="622"/>
            <x v="632"/>
            <x v="685"/>
            <x v="687"/>
            <x v="689"/>
            <x v="690"/>
            <x v="691"/>
            <x v="692"/>
            <x v="693"/>
            <x v="695"/>
            <x v="696"/>
            <x v="698"/>
            <x v="700"/>
            <x v="702"/>
            <x v="703"/>
            <x v="704"/>
            <x v="705"/>
            <x v="706"/>
            <x v="708"/>
            <x v="709"/>
            <x v="735"/>
            <x v="737"/>
            <x v="741"/>
            <x v="745"/>
            <x v="747"/>
            <x v="749"/>
            <x v="751"/>
            <x v="755"/>
            <x v="759"/>
            <x v="761"/>
            <x v="763"/>
            <x v="765"/>
            <x v="767"/>
            <x v="771"/>
            <x v="779"/>
            <x v="781"/>
            <x v="783"/>
          </reference>
        </references>
      </pivotArea>
    </format>
    <format dxfId="146">
      <pivotArea dataOnly="0" labelOnly="1" fieldPosition="0">
        <references count="1">
          <reference field="2" count="50">
            <x v="304"/>
            <x v="335"/>
            <x v="358"/>
            <x v="359"/>
            <x v="468"/>
            <x v="484"/>
            <x v="500"/>
            <x v="516"/>
            <x v="532"/>
            <x v="552"/>
            <x v="559"/>
            <x v="585"/>
            <x v="586"/>
            <x v="587"/>
            <x v="589"/>
            <x v="603"/>
            <x v="604"/>
            <x v="606"/>
            <x v="609"/>
            <x v="610"/>
            <x v="624"/>
            <x v="634"/>
            <x v="637"/>
            <x v="711"/>
            <x v="713"/>
            <x v="714"/>
            <x v="716"/>
            <x v="717"/>
            <x v="718"/>
            <x v="723"/>
            <x v="725"/>
            <x v="726"/>
            <x v="727"/>
            <x v="728"/>
            <x v="729"/>
            <x v="787"/>
            <x v="789"/>
            <x v="791"/>
            <x v="793"/>
            <x v="795"/>
            <x v="799"/>
            <x v="801"/>
            <x v="803"/>
            <x v="809"/>
            <x v="811"/>
            <x v="815"/>
            <x v="817"/>
            <x v="819"/>
            <x v="820"/>
            <x v="822"/>
          </reference>
        </references>
      </pivotArea>
    </format>
    <format dxfId="145">
      <pivotArea dataOnly="0" labelOnly="1" fieldPosition="0">
        <references count="1">
          <reference field="2" count="50">
            <x v="285"/>
            <x v="305"/>
            <x v="306"/>
            <x v="307"/>
            <x v="309"/>
            <x v="310"/>
            <x v="311"/>
            <x v="312"/>
            <x v="340"/>
            <x v="345"/>
            <x v="351"/>
            <x v="361"/>
            <x v="362"/>
            <x v="363"/>
            <x v="366"/>
            <x v="367"/>
            <x v="369"/>
            <x v="371"/>
            <x v="372"/>
            <x v="373"/>
            <x v="374"/>
            <x v="375"/>
            <x v="376"/>
            <x v="377"/>
            <x v="379"/>
            <x v="380"/>
            <x v="383"/>
            <x v="385"/>
            <x v="454"/>
            <x v="456"/>
            <x v="458"/>
            <x v="460"/>
            <x v="462"/>
            <x v="464"/>
            <x v="466"/>
            <x v="470"/>
            <x v="472"/>
            <x v="474"/>
            <x v="476"/>
            <x v="478"/>
            <x v="488"/>
            <x v="492"/>
            <x v="496"/>
            <x v="504"/>
            <x v="512"/>
            <x v="520"/>
            <x v="524"/>
            <x v="528"/>
            <x v="540"/>
            <x v="544"/>
          </reference>
        </references>
      </pivotArea>
    </format>
    <format dxfId="144">
      <pivotArea dataOnly="0" labelOnly="1" fieldPosition="0">
        <references count="1">
          <reference field="2" count="50">
            <x v="282"/>
            <x v="286"/>
            <x v="287"/>
            <x v="288"/>
            <x v="289"/>
            <x v="297"/>
            <x v="314"/>
            <x v="315"/>
            <x v="316"/>
            <x v="320"/>
            <x v="336"/>
            <x v="337"/>
            <x v="347"/>
            <x v="349"/>
            <x v="355"/>
            <x v="386"/>
            <x v="387"/>
            <x v="388"/>
            <x v="392"/>
            <x v="394"/>
            <x v="395"/>
            <x v="397"/>
            <x v="399"/>
            <x v="400"/>
            <x v="401"/>
            <x v="402"/>
            <x v="403"/>
            <x v="405"/>
            <x v="407"/>
            <x v="408"/>
            <x v="409"/>
            <x v="453"/>
            <x v="455"/>
            <x v="457"/>
            <x v="461"/>
            <x v="465"/>
            <x v="467"/>
            <x v="486"/>
            <x v="490"/>
            <x v="498"/>
            <x v="502"/>
            <x v="506"/>
            <x v="510"/>
            <x v="514"/>
            <x v="526"/>
            <x v="530"/>
            <x v="534"/>
            <x v="538"/>
            <x v="546"/>
            <x v="547"/>
          </reference>
        </references>
      </pivotArea>
    </format>
    <format dxfId="143">
      <pivotArea dataOnly="0" labelOnly="1" fieldPosition="0">
        <references count="1">
          <reference field="2" count="50">
            <x v="283"/>
            <x v="290"/>
            <x v="296"/>
            <x v="321"/>
            <x v="322"/>
            <x v="323"/>
            <x v="324"/>
            <x v="326"/>
            <x v="327"/>
            <x v="338"/>
            <x v="343"/>
            <x v="344"/>
            <x v="413"/>
            <x v="414"/>
            <x v="415"/>
            <x v="416"/>
            <x v="417"/>
            <x v="418"/>
            <x v="420"/>
            <x v="421"/>
            <x v="422"/>
            <x v="423"/>
            <x v="424"/>
            <x v="425"/>
            <x v="428"/>
            <x v="429"/>
            <x v="431"/>
            <x v="433"/>
            <x v="434"/>
            <x v="469"/>
            <x v="473"/>
            <x v="475"/>
            <x v="479"/>
            <x v="481"/>
            <x v="483"/>
            <x v="485"/>
            <x v="487"/>
            <x v="489"/>
            <x v="491"/>
            <x v="493"/>
            <x v="495"/>
            <x v="497"/>
            <x v="501"/>
            <x v="503"/>
            <x v="507"/>
            <x v="509"/>
            <x v="511"/>
            <x v="513"/>
            <x v="515"/>
            <x v="548"/>
          </reference>
        </references>
      </pivotArea>
    </format>
    <format dxfId="142">
      <pivotArea dataOnly="0" labelOnly="1" fieldPosition="0">
        <references count="1">
          <reference field="2" count="50">
            <x v="9"/>
            <x v="29"/>
            <x v="30"/>
            <x v="31"/>
            <x v="70"/>
            <x v="88"/>
            <x v="89"/>
            <x v="93"/>
            <x v="181"/>
            <x v="189"/>
            <x v="197"/>
            <x v="205"/>
            <x v="213"/>
            <x v="221"/>
            <x v="245"/>
            <x v="261"/>
            <x v="277"/>
            <x v="278"/>
            <x v="284"/>
            <x v="291"/>
            <x v="293"/>
            <x v="294"/>
            <x v="301"/>
            <x v="302"/>
            <x v="303"/>
            <x v="331"/>
            <x v="334"/>
            <x v="348"/>
            <x v="350"/>
            <x v="356"/>
            <x v="411"/>
            <x v="412"/>
            <x v="436"/>
            <x v="437"/>
            <x v="438"/>
            <x v="439"/>
            <x v="440"/>
            <x v="441"/>
            <x v="442"/>
            <x v="446"/>
            <x v="450"/>
            <x v="521"/>
            <x v="523"/>
            <x v="525"/>
            <x v="527"/>
            <x v="529"/>
            <x v="531"/>
            <x v="535"/>
            <x v="545"/>
            <x v="549"/>
          </reference>
        </references>
      </pivotArea>
    </format>
    <format dxfId="141">
      <pivotArea dataOnly="0" labelOnly="1" fieldPosition="0">
        <references count="1">
          <reference field="2" count="50">
            <x v="4"/>
            <x v="8"/>
            <x v="11"/>
            <x v="17"/>
            <x v="25"/>
            <x v="32"/>
            <x v="33"/>
            <x v="34"/>
            <x v="35"/>
            <x v="38"/>
            <x v="39"/>
            <x v="62"/>
            <x v="65"/>
            <x v="67"/>
            <x v="72"/>
            <x v="84"/>
            <x v="94"/>
            <x v="97"/>
            <x v="98"/>
            <x v="99"/>
            <x v="100"/>
            <x v="101"/>
            <x v="102"/>
            <x v="103"/>
            <x v="104"/>
            <x v="105"/>
            <x v="106"/>
            <x v="107"/>
            <x v="108"/>
            <x v="110"/>
            <x v="112"/>
            <x v="115"/>
            <x v="116"/>
            <x v="179"/>
            <x v="183"/>
            <x v="185"/>
            <x v="187"/>
            <x v="191"/>
            <x v="193"/>
            <x v="195"/>
            <x v="199"/>
            <x v="201"/>
            <x v="203"/>
            <x v="217"/>
            <x v="219"/>
            <x v="225"/>
            <x v="237"/>
            <x v="241"/>
            <x v="257"/>
            <x v="269"/>
          </reference>
        </references>
      </pivotArea>
    </format>
    <format dxfId="140">
      <pivotArea dataOnly="0" labelOnly="1" fieldPosition="0">
        <references count="1">
          <reference field="2" count="50">
            <x v="0"/>
            <x v="12"/>
            <x v="40"/>
            <x v="41"/>
            <x v="42"/>
            <x v="44"/>
            <x v="60"/>
            <x v="61"/>
            <x v="73"/>
            <x v="82"/>
            <x v="83"/>
            <x v="86"/>
            <x v="119"/>
            <x v="120"/>
            <x v="121"/>
            <x v="122"/>
            <x v="123"/>
            <x v="125"/>
            <x v="126"/>
            <x v="128"/>
            <x v="129"/>
            <x v="132"/>
            <x v="133"/>
            <x v="134"/>
            <x v="139"/>
            <x v="140"/>
            <x v="141"/>
            <x v="142"/>
            <x v="143"/>
            <x v="180"/>
            <x v="182"/>
            <x v="184"/>
            <x v="186"/>
            <x v="188"/>
            <x v="190"/>
            <x v="192"/>
            <x v="194"/>
            <x v="198"/>
            <x v="200"/>
            <x v="223"/>
            <x v="227"/>
            <x v="231"/>
            <x v="239"/>
            <x v="243"/>
            <x v="247"/>
            <x v="251"/>
            <x v="259"/>
            <x v="267"/>
            <x v="271"/>
            <x v="273"/>
          </reference>
        </references>
      </pivotArea>
    </format>
    <format dxfId="139">
      <pivotArea dataOnly="0" labelOnly="1" fieldPosition="0">
        <references count="1">
          <reference field="2" count="50">
            <x v="2"/>
            <x v="5"/>
            <x v="7"/>
            <x v="13"/>
            <x v="18"/>
            <x v="19"/>
            <x v="21"/>
            <x v="22"/>
            <x v="23"/>
            <x v="24"/>
            <x v="45"/>
            <x v="46"/>
            <x v="47"/>
            <x v="48"/>
            <x v="49"/>
            <x v="51"/>
            <x v="53"/>
            <x v="55"/>
            <x v="68"/>
            <x v="75"/>
            <x v="76"/>
            <x v="79"/>
            <x v="144"/>
            <x v="145"/>
            <x v="147"/>
            <x v="149"/>
            <x v="150"/>
            <x v="153"/>
            <x v="154"/>
            <x v="155"/>
            <x v="156"/>
            <x v="159"/>
            <x v="160"/>
            <x v="163"/>
            <x v="164"/>
            <x v="165"/>
            <x v="204"/>
            <x v="206"/>
            <x v="208"/>
            <x v="214"/>
            <x v="216"/>
            <x v="222"/>
            <x v="224"/>
            <x v="226"/>
            <x v="228"/>
            <x v="230"/>
            <x v="234"/>
            <x v="240"/>
            <x v="250"/>
            <x v="252"/>
          </reference>
        </references>
      </pivotArea>
    </format>
    <format dxfId="138">
      <pivotArea dataOnly="0" labelOnly="1" fieldPosition="0">
        <references count="1">
          <reference field="2" count="23">
            <x v="16"/>
            <x v="27"/>
            <x v="56"/>
            <x v="58"/>
            <x v="59"/>
            <x v="135"/>
            <x v="136"/>
            <x v="137"/>
            <x v="169"/>
            <x v="170"/>
            <x v="171"/>
            <x v="172"/>
            <x v="174"/>
            <x v="177"/>
            <x v="254"/>
            <x v="256"/>
            <x v="258"/>
            <x v="260"/>
            <x v="262"/>
            <x v="264"/>
            <x v="266"/>
            <x v="270"/>
            <x v="274"/>
          </reference>
        </references>
      </pivotArea>
    </format>
    <format dxfId="137">
      <pivotArea dataOnly="0" labelOnly="1" grandRow="1" outline="0" fieldPosition="0"/>
    </format>
    <format dxfId="136">
      <pivotArea dataOnly="0" labelOnly="1" outline="0" axis="axisValues" fieldPosition="0"/>
    </format>
    <format dxfId="135">
      <pivotArea type="all" dataOnly="0" outline="0" fieldPosition="0"/>
    </format>
    <format dxfId="134">
      <pivotArea outline="0" collapsedLevelsAreSubtotals="1" fieldPosition="0"/>
    </format>
    <format dxfId="133">
      <pivotArea field="2" type="button" dataOnly="0" labelOnly="1" outline="0" axis="axisRow" fieldPosition="0"/>
    </format>
    <format dxfId="132">
      <pivotArea dataOnly="0" labelOnly="1" fieldPosition="0">
        <references count="1">
          <reference field="2" count="50">
            <x v="6"/>
            <x v="52"/>
            <x v="71"/>
            <x v="77"/>
            <x v="85"/>
            <x v="111"/>
            <x v="113"/>
            <x v="127"/>
            <x v="151"/>
            <x v="215"/>
            <x v="218"/>
            <x v="229"/>
            <x v="279"/>
            <x v="280"/>
            <x v="295"/>
            <x v="308"/>
            <x v="329"/>
            <x v="346"/>
            <x v="352"/>
            <x v="384"/>
            <x v="390"/>
            <x v="393"/>
            <x v="396"/>
            <x v="406"/>
            <x v="419"/>
            <x v="426"/>
            <x v="517"/>
            <x v="518"/>
            <x v="533"/>
            <x v="553"/>
            <x v="562"/>
            <x v="571"/>
            <x v="572"/>
            <x v="575"/>
            <x v="590"/>
            <x v="596"/>
            <x v="605"/>
            <x v="640"/>
            <x v="649"/>
            <x v="657"/>
            <x v="697"/>
            <x v="701"/>
            <x v="715"/>
            <x v="721"/>
            <x v="722"/>
            <x v="753"/>
            <x v="757"/>
            <x v="769"/>
            <x v="777"/>
            <x v="805"/>
          </reference>
        </references>
      </pivotArea>
    </format>
    <format dxfId="131">
      <pivotArea dataOnly="0" labelOnly="1" fieldPosition="0">
        <references count="1">
          <reference field="2" count="50">
            <x v="28"/>
            <x v="43"/>
            <x v="50"/>
            <x v="64"/>
            <x v="80"/>
            <x v="81"/>
            <x v="87"/>
            <x v="92"/>
            <x v="118"/>
            <x v="162"/>
            <x v="166"/>
            <x v="209"/>
            <x v="210"/>
            <x v="220"/>
            <x v="232"/>
            <x v="281"/>
            <x v="298"/>
            <x v="319"/>
            <x v="382"/>
            <x v="427"/>
            <x v="432"/>
            <x v="447"/>
            <x v="448"/>
            <x v="459"/>
            <x v="499"/>
            <x v="522"/>
            <x v="542"/>
            <x v="580"/>
            <x v="582"/>
            <x v="608"/>
            <x v="617"/>
            <x v="620"/>
            <x v="629"/>
            <x v="633"/>
            <x v="650"/>
            <x v="671"/>
            <x v="673"/>
            <x v="676"/>
            <x v="678"/>
            <x v="688"/>
            <x v="707"/>
            <x v="719"/>
            <x v="720"/>
            <x v="739"/>
            <x v="773"/>
            <x v="774"/>
            <x v="776"/>
            <x v="785"/>
            <x v="797"/>
            <x v="818"/>
          </reference>
        </references>
      </pivotArea>
    </format>
    <format dxfId="130">
      <pivotArea dataOnly="0" labelOnly="1" fieldPosition="0">
        <references count="1">
          <reference field="2" count="50">
            <x v="3"/>
            <x v="14"/>
            <x v="36"/>
            <x v="57"/>
            <x v="78"/>
            <x v="96"/>
            <x v="138"/>
            <x v="168"/>
            <x v="175"/>
            <x v="178"/>
            <x v="211"/>
            <x v="212"/>
            <x v="233"/>
            <x v="236"/>
            <x v="242"/>
            <x v="249"/>
            <x v="253"/>
            <x v="255"/>
            <x v="263"/>
            <x v="268"/>
            <x v="275"/>
            <x v="292"/>
            <x v="299"/>
            <x v="318"/>
            <x v="339"/>
            <x v="364"/>
            <x v="389"/>
            <x v="398"/>
            <x v="430"/>
            <x v="443"/>
            <x v="444"/>
            <x v="449"/>
            <x v="451"/>
            <x v="482"/>
            <x v="505"/>
            <x v="508"/>
            <x v="536"/>
            <x v="541"/>
            <x v="566"/>
            <x v="584"/>
            <x v="602"/>
            <x v="619"/>
            <x v="679"/>
            <x v="684"/>
            <x v="686"/>
            <x v="724"/>
            <x v="738"/>
            <x v="743"/>
            <x v="744"/>
            <x v="813"/>
          </reference>
        </references>
      </pivotArea>
    </format>
    <format dxfId="129">
      <pivotArea dataOnly="0" labelOnly="1" fieldPosition="0">
        <references count="1">
          <reference field="2" count="50">
            <x v="124"/>
            <x v="130"/>
            <x v="276"/>
            <x v="317"/>
            <x v="330"/>
            <x v="332"/>
            <x v="333"/>
            <x v="341"/>
            <x v="342"/>
            <x v="354"/>
            <x v="357"/>
            <x v="365"/>
            <x v="368"/>
            <x v="404"/>
            <x v="435"/>
            <x v="477"/>
            <x v="539"/>
            <x v="551"/>
            <x v="561"/>
            <x v="570"/>
            <x v="574"/>
            <x v="577"/>
            <x v="583"/>
            <x v="588"/>
            <x v="593"/>
            <x v="597"/>
            <x v="601"/>
            <x v="623"/>
            <x v="625"/>
            <x v="626"/>
            <x v="631"/>
            <x v="646"/>
            <x v="659"/>
            <x v="660"/>
            <x v="664"/>
            <x v="665"/>
            <x v="668"/>
            <x v="694"/>
            <x v="699"/>
            <x v="710"/>
            <x v="712"/>
            <x v="731"/>
            <x v="734"/>
            <x v="754"/>
            <x v="775"/>
            <x v="796"/>
            <x v="806"/>
            <x v="807"/>
            <x v="812"/>
            <x v="821"/>
          </reference>
        </references>
      </pivotArea>
    </format>
    <format dxfId="128">
      <pivotArea dataOnly="0" labelOnly="1" fieldPosition="0">
        <references count="1">
          <reference field="2" count="50">
            <x v="1"/>
            <x v="10"/>
            <x v="15"/>
            <x v="20"/>
            <x v="26"/>
            <x v="54"/>
            <x v="63"/>
            <x v="66"/>
            <x v="74"/>
            <x v="90"/>
            <x v="91"/>
            <x v="95"/>
            <x v="114"/>
            <x v="117"/>
            <x v="131"/>
            <x v="146"/>
            <x v="158"/>
            <x v="161"/>
            <x v="167"/>
            <x v="173"/>
            <x v="176"/>
            <x v="196"/>
            <x v="202"/>
            <x v="207"/>
            <x v="235"/>
            <x v="238"/>
            <x v="244"/>
            <x v="246"/>
            <x v="248"/>
            <x v="265"/>
            <x v="300"/>
            <x v="313"/>
            <x v="325"/>
            <x v="328"/>
            <x v="353"/>
            <x v="360"/>
            <x v="370"/>
            <x v="378"/>
            <x v="381"/>
            <x v="391"/>
            <x v="410"/>
            <x v="445"/>
            <x v="452"/>
            <x v="463"/>
            <x v="471"/>
            <x v="480"/>
            <x v="494"/>
            <x v="519"/>
            <x v="537"/>
            <x v="543"/>
          </reference>
        </references>
      </pivotArea>
    </format>
    <format dxfId="127">
      <pivotArea dataOnly="0" labelOnly="1" fieldPosition="0">
        <references count="1">
          <reference field="2" count="50">
            <x v="37"/>
            <x v="69"/>
            <x v="109"/>
            <x v="148"/>
            <x v="152"/>
            <x v="157"/>
            <x v="272"/>
            <x v="554"/>
            <x v="555"/>
            <x v="560"/>
            <x v="563"/>
            <x v="573"/>
            <x v="598"/>
            <x v="612"/>
            <x v="613"/>
            <x v="614"/>
            <x v="628"/>
            <x v="630"/>
            <x v="636"/>
            <x v="641"/>
            <x v="642"/>
            <x v="643"/>
            <x v="644"/>
            <x v="645"/>
            <x v="647"/>
            <x v="648"/>
            <x v="651"/>
            <x v="652"/>
            <x v="653"/>
            <x v="654"/>
            <x v="655"/>
            <x v="656"/>
            <x v="658"/>
            <x v="730"/>
            <x v="742"/>
            <x v="746"/>
            <x v="750"/>
            <x v="758"/>
            <x v="762"/>
            <x v="766"/>
            <x v="770"/>
            <x v="778"/>
            <x v="782"/>
            <x v="786"/>
            <x v="790"/>
            <x v="794"/>
            <x v="798"/>
            <x v="802"/>
            <x v="810"/>
            <x v="814"/>
          </reference>
        </references>
      </pivotArea>
    </format>
    <format dxfId="126">
      <pivotArea dataOnly="0" labelOnly="1" fieldPosition="0">
        <references count="1">
          <reference field="2" count="50">
            <x v="556"/>
            <x v="565"/>
            <x v="567"/>
            <x v="568"/>
            <x v="576"/>
            <x v="578"/>
            <x v="579"/>
            <x v="599"/>
            <x v="607"/>
            <x v="615"/>
            <x v="616"/>
            <x v="618"/>
            <x v="627"/>
            <x v="635"/>
            <x v="638"/>
            <x v="639"/>
            <x v="661"/>
            <x v="662"/>
            <x v="663"/>
            <x v="666"/>
            <x v="667"/>
            <x v="669"/>
            <x v="670"/>
            <x v="672"/>
            <x v="674"/>
            <x v="675"/>
            <x v="677"/>
            <x v="680"/>
            <x v="681"/>
            <x v="682"/>
            <x v="683"/>
            <x v="732"/>
            <x v="733"/>
            <x v="736"/>
            <x v="740"/>
            <x v="748"/>
            <x v="752"/>
            <x v="756"/>
            <x v="760"/>
            <x v="764"/>
            <x v="768"/>
            <x v="772"/>
            <x v="780"/>
            <x v="784"/>
            <x v="788"/>
            <x v="792"/>
            <x v="800"/>
            <x v="804"/>
            <x v="808"/>
            <x v="816"/>
          </reference>
        </references>
      </pivotArea>
    </format>
    <format dxfId="125">
      <pivotArea dataOnly="0" labelOnly="1" fieldPosition="0">
        <references count="1">
          <reference field="2" count="50">
            <x v="550"/>
            <x v="557"/>
            <x v="558"/>
            <x v="564"/>
            <x v="569"/>
            <x v="581"/>
            <x v="591"/>
            <x v="592"/>
            <x v="594"/>
            <x v="595"/>
            <x v="600"/>
            <x v="611"/>
            <x v="621"/>
            <x v="622"/>
            <x v="632"/>
            <x v="685"/>
            <x v="687"/>
            <x v="689"/>
            <x v="690"/>
            <x v="691"/>
            <x v="692"/>
            <x v="693"/>
            <x v="695"/>
            <x v="696"/>
            <x v="698"/>
            <x v="700"/>
            <x v="702"/>
            <x v="703"/>
            <x v="704"/>
            <x v="705"/>
            <x v="706"/>
            <x v="708"/>
            <x v="709"/>
            <x v="735"/>
            <x v="737"/>
            <x v="741"/>
            <x v="745"/>
            <x v="747"/>
            <x v="749"/>
            <x v="751"/>
            <x v="755"/>
            <x v="759"/>
            <x v="761"/>
            <x v="763"/>
            <x v="765"/>
            <x v="767"/>
            <x v="771"/>
            <x v="779"/>
            <x v="781"/>
            <x v="783"/>
          </reference>
        </references>
      </pivotArea>
    </format>
    <format dxfId="124">
      <pivotArea dataOnly="0" labelOnly="1" fieldPosition="0">
        <references count="1">
          <reference field="2" count="50">
            <x v="304"/>
            <x v="335"/>
            <x v="358"/>
            <x v="359"/>
            <x v="468"/>
            <x v="484"/>
            <x v="500"/>
            <x v="516"/>
            <x v="532"/>
            <x v="552"/>
            <x v="559"/>
            <x v="585"/>
            <x v="586"/>
            <x v="587"/>
            <x v="589"/>
            <x v="603"/>
            <x v="604"/>
            <x v="606"/>
            <x v="609"/>
            <x v="610"/>
            <x v="624"/>
            <x v="634"/>
            <x v="637"/>
            <x v="711"/>
            <x v="713"/>
            <x v="714"/>
            <x v="716"/>
            <x v="717"/>
            <x v="718"/>
            <x v="723"/>
            <x v="725"/>
            <x v="726"/>
            <x v="727"/>
            <x v="728"/>
            <x v="729"/>
            <x v="787"/>
            <x v="789"/>
            <x v="791"/>
            <x v="793"/>
            <x v="795"/>
            <x v="799"/>
            <x v="801"/>
            <x v="803"/>
            <x v="809"/>
            <x v="811"/>
            <x v="815"/>
            <x v="817"/>
            <x v="819"/>
            <x v="820"/>
            <x v="822"/>
          </reference>
        </references>
      </pivotArea>
    </format>
    <format dxfId="123">
      <pivotArea dataOnly="0" labelOnly="1" fieldPosition="0">
        <references count="1">
          <reference field="2" count="50">
            <x v="285"/>
            <x v="305"/>
            <x v="306"/>
            <x v="307"/>
            <x v="309"/>
            <x v="310"/>
            <x v="311"/>
            <x v="312"/>
            <x v="340"/>
            <x v="345"/>
            <x v="351"/>
            <x v="361"/>
            <x v="362"/>
            <x v="363"/>
            <x v="366"/>
            <x v="367"/>
            <x v="369"/>
            <x v="371"/>
            <x v="372"/>
            <x v="373"/>
            <x v="374"/>
            <x v="375"/>
            <x v="376"/>
            <x v="377"/>
            <x v="379"/>
            <x v="380"/>
            <x v="383"/>
            <x v="385"/>
            <x v="454"/>
            <x v="456"/>
            <x v="458"/>
            <x v="460"/>
            <x v="462"/>
            <x v="464"/>
            <x v="466"/>
            <x v="470"/>
            <x v="472"/>
            <x v="474"/>
            <x v="476"/>
            <x v="478"/>
            <x v="488"/>
            <x v="492"/>
            <x v="496"/>
            <x v="504"/>
            <x v="512"/>
            <x v="520"/>
            <x v="524"/>
            <x v="528"/>
            <x v="540"/>
            <x v="544"/>
          </reference>
        </references>
      </pivotArea>
    </format>
    <format dxfId="122">
      <pivotArea dataOnly="0" labelOnly="1" fieldPosition="0">
        <references count="1">
          <reference field="2" count="50">
            <x v="282"/>
            <x v="286"/>
            <x v="287"/>
            <x v="288"/>
            <x v="289"/>
            <x v="297"/>
            <x v="314"/>
            <x v="315"/>
            <x v="316"/>
            <x v="320"/>
            <x v="336"/>
            <x v="337"/>
            <x v="347"/>
            <x v="349"/>
            <x v="355"/>
            <x v="386"/>
            <x v="387"/>
            <x v="388"/>
            <x v="392"/>
            <x v="394"/>
            <x v="395"/>
            <x v="397"/>
            <x v="399"/>
            <x v="400"/>
            <x v="401"/>
            <x v="402"/>
            <x v="403"/>
            <x v="405"/>
            <x v="407"/>
            <x v="408"/>
            <x v="409"/>
            <x v="453"/>
            <x v="455"/>
            <x v="457"/>
            <x v="461"/>
            <x v="465"/>
            <x v="467"/>
            <x v="486"/>
            <x v="490"/>
            <x v="498"/>
            <x v="502"/>
            <x v="506"/>
            <x v="510"/>
            <x v="514"/>
            <x v="526"/>
            <x v="530"/>
            <x v="534"/>
            <x v="538"/>
            <x v="546"/>
            <x v="547"/>
          </reference>
        </references>
      </pivotArea>
    </format>
    <format dxfId="121">
      <pivotArea dataOnly="0" labelOnly="1" fieldPosition="0">
        <references count="1">
          <reference field="2" count="50">
            <x v="283"/>
            <x v="290"/>
            <x v="296"/>
            <x v="321"/>
            <x v="322"/>
            <x v="323"/>
            <x v="324"/>
            <x v="326"/>
            <x v="327"/>
            <x v="338"/>
            <x v="343"/>
            <x v="344"/>
            <x v="413"/>
            <x v="414"/>
            <x v="415"/>
            <x v="416"/>
            <x v="417"/>
            <x v="418"/>
            <x v="420"/>
            <x v="421"/>
            <x v="422"/>
            <x v="423"/>
            <x v="424"/>
            <x v="425"/>
            <x v="428"/>
            <x v="429"/>
            <x v="431"/>
            <x v="433"/>
            <x v="434"/>
            <x v="469"/>
            <x v="473"/>
            <x v="475"/>
            <x v="479"/>
            <x v="481"/>
            <x v="483"/>
            <x v="485"/>
            <x v="487"/>
            <x v="489"/>
            <x v="491"/>
            <x v="493"/>
            <x v="495"/>
            <x v="497"/>
            <x v="501"/>
            <x v="503"/>
            <x v="507"/>
            <x v="509"/>
            <x v="511"/>
            <x v="513"/>
            <x v="515"/>
            <x v="548"/>
          </reference>
        </references>
      </pivotArea>
    </format>
    <format dxfId="120">
      <pivotArea dataOnly="0" labelOnly="1" fieldPosition="0">
        <references count="1">
          <reference field="2" count="50">
            <x v="9"/>
            <x v="29"/>
            <x v="30"/>
            <x v="31"/>
            <x v="70"/>
            <x v="88"/>
            <x v="89"/>
            <x v="93"/>
            <x v="181"/>
            <x v="189"/>
            <x v="197"/>
            <x v="205"/>
            <x v="213"/>
            <x v="221"/>
            <x v="245"/>
            <x v="261"/>
            <x v="277"/>
            <x v="278"/>
            <x v="284"/>
            <x v="291"/>
            <x v="293"/>
            <x v="294"/>
            <x v="301"/>
            <x v="302"/>
            <x v="303"/>
            <x v="331"/>
            <x v="334"/>
            <x v="348"/>
            <x v="350"/>
            <x v="356"/>
            <x v="411"/>
            <x v="412"/>
            <x v="436"/>
            <x v="437"/>
            <x v="438"/>
            <x v="439"/>
            <x v="440"/>
            <x v="441"/>
            <x v="442"/>
            <x v="446"/>
            <x v="450"/>
            <x v="521"/>
            <x v="523"/>
            <x v="525"/>
            <x v="527"/>
            <x v="529"/>
            <x v="531"/>
            <x v="535"/>
            <x v="545"/>
            <x v="549"/>
          </reference>
        </references>
      </pivotArea>
    </format>
    <format dxfId="119">
      <pivotArea dataOnly="0" labelOnly="1" fieldPosition="0">
        <references count="1">
          <reference field="2" count="50">
            <x v="4"/>
            <x v="8"/>
            <x v="11"/>
            <x v="17"/>
            <x v="25"/>
            <x v="32"/>
            <x v="33"/>
            <x v="34"/>
            <x v="35"/>
            <x v="38"/>
            <x v="39"/>
            <x v="62"/>
            <x v="65"/>
            <x v="67"/>
            <x v="72"/>
            <x v="84"/>
            <x v="94"/>
            <x v="97"/>
            <x v="98"/>
            <x v="99"/>
            <x v="100"/>
            <x v="101"/>
            <x v="102"/>
            <x v="103"/>
            <x v="104"/>
            <x v="105"/>
            <x v="106"/>
            <x v="107"/>
            <x v="108"/>
            <x v="110"/>
            <x v="112"/>
            <x v="115"/>
            <x v="116"/>
            <x v="179"/>
            <x v="183"/>
            <x v="185"/>
            <x v="187"/>
            <x v="191"/>
            <x v="193"/>
            <x v="195"/>
            <x v="199"/>
            <x v="201"/>
            <x v="203"/>
            <x v="217"/>
            <x v="219"/>
            <x v="225"/>
            <x v="237"/>
            <x v="241"/>
            <x v="257"/>
            <x v="269"/>
          </reference>
        </references>
      </pivotArea>
    </format>
    <format dxfId="118">
      <pivotArea dataOnly="0" labelOnly="1" fieldPosition="0">
        <references count="1">
          <reference field="2" count="50">
            <x v="0"/>
            <x v="12"/>
            <x v="40"/>
            <x v="41"/>
            <x v="42"/>
            <x v="44"/>
            <x v="60"/>
            <x v="61"/>
            <x v="73"/>
            <x v="82"/>
            <x v="83"/>
            <x v="86"/>
            <x v="119"/>
            <x v="120"/>
            <x v="121"/>
            <x v="122"/>
            <x v="123"/>
            <x v="125"/>
            <x v="126"/>
            <x v="128"/>
            <x v="129"/>
            <x v="132"/>
            <x v="133"/>
            <x v="134"/>
            <x v="139"/>
            <x v="140"/>
            <x v="141"/>
            <x v="142"/>
            <x v="143"/>
            <x v="180"/>
            <x v="182"/>
            <x v="184"/>
            <x v="186"/>
            <x v="188"/>
            <x v="190"/>
            <x v="192"/>
            <x v="194"/>
            <x v="198"/>
            <x v="200"/>
            <x v="223"/>
            <x v="227"/>
            <x v="231"/>
            <x v="239"/>
            <x v="243"/>
            <x v="247"/>
            <x v="251"/>
            <x v="259"/>
            <x v="267"/>
            <x v="271"/>
            <x v="273"/>
          </reference>
        </references>
      </pivotArea>
    </format>
    <format dxfId="117">
      <pivotArea dataOnly="0" labelOnly="1" fieldPosition="0">
        <references count="1">
          <reference field="2" count="50">
            <x v="2"/>
            <x v="5"/>
            <x v="7"/>
            <x v="13"/>
            <x v="18"/>
            <x v="19"/>
            <x v="21"/>
            <x v="22"/>
            <x v="23"/>
            <x v="24"/>
            <x v="45"/>
            <x v="46"/>
            <x v="47"/>
            <x v="48"/>
            <x v="49"/>
            <x v="51"/>
            <x v="53"/>
            <x v="55"/>
            <x v="68"/>
            <x v="75"/>
            <x v="76"/>
            <x v="79"/>
            <x v="144"/>
            <x v="145"/>
            <x v="147"/>
            <x v="149"/>
            <x v="150"/>
            <x v="153"/>
            <x v="154"/>
            <x v="155"/>
            <x v="156"/>
            <x v="159"/>
            <x v="160"/>
            <x v="163"/>
            <x v="164"/>
            <x v="165"/>
            <x v="204"/>
            <x v="206"/>
            <x v="208"/>
            <x v="214"/>
            <x v="216"/>
            <x v="222"/>
            <x v="224"/>
            <x v="226"/>
            <x v="228"/>
            <x v="230"/>
            <x v="234"/>
            <x v="240"/>
            <x v="250"/>
            <x v="252"/>
          </reference>
        </references>
      </pivotArea>
    </format>
    <format dxfId="116">
      <pivotArea dataOnly="0" labelOnly="1" fieldPosition="0">
        <references count="1">
          <reference field="2" count="23">
            <x v="16"/>
            <x v="27"/>
            <x v="56"/>
            <x v="58"/>
            <x v="59"/>
            <x v="135"/>
            <x v="136"/>
            <x v="137"/>
            <x v="169"/>
            <x v="170"/>
            <x v="171"/>
            <x v="172"/>
            <x v="174"/>
            <x v="177"/>
            <x v="254"/>
            <x v="256"/>
            <x v="258"/>
            <x v="260"/>
            <x v="262"/>
            <x v="264"/>
            <x v="266"/>
            <x v="270"/>
            <x v="274"/>
          </reference>
        </references>
      </pivotArea>
    </format>
    <format dxfId="115">
      <pivotArea dataOnly="0" labelOnly="1" grandRow="1" outline="0" fieldPosition="0"/>
    </format>
    <format dxfId="114">
      <pivotArea dataOnly="0" labelOnly="1" outline="0" axis="axisValues" fieldPosition="0"/>
    </format>
    <format dxfId="113">
      <pivotArea collapsedLevelsAreSubtotals="1" fieldPosition="0">
        <references count="1">
          <reference field="2" count="153">
            <x v="3"/>
            <x v="6"/>
            <x v="14"/>
            <x v="28"/>
            <x v="36"/>
            <x v="43"/>
            <x v="50"/>
            <x v="52"/>
            <x v="57"/>
            <x v="64"/>
            <x v="71"/>
            <x v="77"/>
            <x v="78"/>
            <x v="80"/>
            <x v="81"/>
            <x v="85"/>
            <x v="87"/>
            <x v="92"/>
            <x v="96"/>
            <x v="111"/>
            <x v="113"/>
            <x v="118"/>
            <x v="124"/>
            <x v="127"/>
            <x v="130"/>
            <x v="138"/>
            <x v="151"/>
            <x v="162"/>
            <x v="166"/>
            <x v="168"/>
            <x v="175"/>
            <x v="178"/>
            <x v="209"/>
            <x v="210"/>
            <x v="211"/>
            <x v="212"/>
            <x v="215"/>
            <x v="218"/>
            <x v="220"/>
            <x v="229"/>
            <x v="232"/>
            <x v="233"/>
            <x v="236"/>
            <x v="242"/>
            <x v="249"/>
            <x v="253"/>
            <x v="255"/>
            <x v="263"/>
            <x v="268"/>
            <x v="275"/>
            <x v="279"/>
            <x v="280"/>
            <x v="281"/>
            <x v="292"/>
            <x v="295"/>
            <x v="298"/>
            <x v="299"/>
            <x v="308"/>
            <x v="318"/>
            <x v="319"/>
            <x v="329"/>
            <x v="339"/>
            <x v="346"/>
            <x v="352"/>
            <x v="364"/>
            <x v="382"/>
            <x v="384"/>
            <x v="389"/>
            <x v="390"/>
            <x v="393"/>
            <x v="396"/>
            <x v="398"/>
            <x v="406"/>
            <x v="419"/>
            <x v="426"/>
            <x v="427"/>
            <x v="430"/>
            <x v="432"/>
            <x v="443"/>
            <x v="444"/>
            <x v="447"/>
            <x v="448"/>
            <x v="449"/>
            <x v="451"/>
            <x v="459"/>
            <x v="482"/>
            <x v="499"/>
            <x v="505"/>
            <x v="508"/>
            <x v="517"/>
            <x v="518"/>
            <x v="522"/>
            <x v="533"/>
            <x v="536"/>
            <x v="541"/>
            <x v="542"/>
            <x v="553"/>
            <x v="562"/>
            <x v="566"/>
            <x v="571"/>
            <x v="572"/>
            <x v="575"/>
            <x v="580"/>
            <x v="582"/>
            <x v="584"/>
            <x v="590"/>
            <x v="596"/>
            <x v="602"/>
            <x v="605"/>
            <x v="608"/>
            <x v="617"/>
            <x v="619"/>
            <x v="620"/>
            <x v="629"/>
            <x v="633"/>
            <x v="640"/>
            <x v="649"/>
            <x v="650"/>
            <x v="657"/>
            <x v="671"/>
            <x v="673"/>
            <x v="676"/>
            <x v="678"/>
            <x v="679"/>
            <x v="684"/>
            <x v="686"/>
            <x v="688"/>
            <x v="697"/>
            <x v="701"/>
            <x v="707"/>
            <x v="715"/>
            <x v="719"/>
            <x v="720"/>
            <x v="721"/>
            <x v="722"/>
            <x v="724"/>
            <x v="738"/>
            <x v="739"/>
            <x v="743"/>
            <x v="744"/>
            <x v="753"/>
            <x v="757"/>
            <x v="769"/>
            <x v="773"/>
            <x v="774"/>
            <x v="776"/>
            <x v="777"/>
            <x v="785"/>
            <x v="797"/>
            <x v="805"/>
            <x v="807"/>
            <x v="813"/>
            <x v="818"/>
          </reference>
        </references>
      </pivotArea>
    </format>
    <format dxfId="112">
      <pivotArea dataOnly="0" labelOnly="1" fieldPosition="0">
        <references count="1">
          <reference field="2" count="50">
            <x v="6"/>
            <x v="52"/>
            <x v="71"/>
            <x v="77"/>
            <x v="85"/>
            <x v="111"/>
            <x v="113"/>
            <x v="127"/>
            <x v="151"/>
            <x v="215"/>
            <x v="218"/>
            <x v="229"/>
            <x v="279"/>
            <x v="280"/>
            <x v="295"/>
            <x v="308"/>
            <x v="329"/>
            <x v="346"/>
            <x v="352"/>
            <x v="384"/>
            <x v="390"/>
            <x v="393"/>
            <x v="396"/>
            <x v="406"/>
            <x v="419"/>
            <x v="426"/>
            <x v="517"/>
            <x v="518"/>
            <x v="533"/>
            <x v="553"/>
            <x v="562"/>
            <x v="571"/>
            <x v="572"/>
            <x v="575"/>
            <x v="590"/>
            <x v="596"/>
            <x v="605"/>
            <x v="640"/>
            <x v="649"/>
            <x v="657"/>
            <x v="697"/>
            <x v="701"/>
            <x v="715"/>
            <x v="721"/>
            <x v="722"/>
            <x v="753"/>
            <x v="757"/>
            <x v="769"/>
            <x v="777"/>
            <x v="805"/>
          </reference>
        </references>
      </pivotArea>
    </format>
    <format dxfId="111">
      <pivotArea dataOnly="0" labelOnly="1" fieldPosition="0">
        <references count="1">
          <reference field="2" count="50">
            <x v="28"/>
            <x v="43"/>
            <x v="50"/>
            <x v="64"/>
            <x v="80"/>
            <x v="81"/>
            <x v="87"/>
            <x v="92"/>
            <x v="118"/>
            <x v="162"/>
            <x v="166"/>
            <x v="209"/>
            <x v="210"/>
            <x v="220"/>
            <x v="232"/>
            <x v="281"/>
            <x v="298"/>
            <x v="319"/>
            <x v="382"/>
            <x v="427"/>
            <x v="432"/>
            <x v="447"/>
            <x v="448"/>
            <x v="459"/>
            <x v="499"/>
            <x v="522"/>
            <x v="542"/>
            <x v="580"/>
            <x v="582"/>
            <x v="608"/>
            <x v="617"/>
            <x v="620"/>
            <x v="629"/>
            <x v="633"/>
            <x v="650"/>
            <x v="671"/>
            <x v="673"/>
            <x v="676"/>
            <x v="678"/>
            <x v="688"/>
            <x v="707"/>
            <x v="719"/>
            <x v="720"/>
            <x v="739"/>
            <x v="773"/>
            <x v="774"/>
            <x v="776"/>
            <x v="785"/>
            <x v="797"/>
            <x v="818"/>
          </reference>
        </references>
      </pivotArea>
    </format>
    <format dxfId="110">
      <pivotArea dataOnly="0" labelOnly="1" fieldPosition="0">
        <references count="1">
          <reference field="2" count="50">
            <x v="3"/>
            <x v="14"/>
            <x v="36"/>
            <x v="57"/>
            <x v="78"/>
            <x v="96"/>
            <x v="138"/>
            <x v="168"/>
            <x v="175"/>
            <x v="178"/>
            <x v="211"/>
            <x v="212"/>
            <x v="233"/>
            <x v="236"/>
            <x v="242"/>
            <x v="249"/>
            <x v="253"/>
            <x v="255"/>
            <x v="263"/>
            <x v="268"/>
            <x v="275"/>
            <x v="292"/>
            <x v="299"/>
            <x v="318"/>
            <x v="339"/>
            <x v="364"/>
            <x v="389"/>
            <x v="398"/>
            <x v="430"/>
            <x v="443"/>
            <x v="444"/>
            <x v="449"/>
            <x v="451"/>
            <x v="482"/>
            <x v="505"/>
            <x v="508"/>
            <x v="536"/>
            <x v="541"/>
            <x v="566"/>
            <x v="584"/>
            <x v="602"/>
            <x v="619"/>
            <x v="679"/>
            <x v="684"/>
            <x v="686"/>
            <x v="724"/>
            <x v="738"/>
            <x v="743"/>
            <x v="744"/>
            <x v="813"/>
          </reference>
        </references>
      </pivotArea>
    </format>
    <format dxfId="109">
      <pivotArea dataOnly="0" labelOnly="1" fieldPosition="0">
        <references count="1">
          <reference field="2" count="3">
            <x v="124"/>
            <x v="130"/>
            <x v="807"/>
          </reference>
        </references>
      </pivotArea>
    </format>
    <format dxfId="108">
      <pivotArea field="2" type="button" dataOnly="0" labelOnly="1" outline="0" axis="axisRow" fieldPosition="0"/>
    </format>
    <format dxfId="107">
      <pivotArea dataOnly="0" labelOnly="1" outline="0" axis="axisValues" fieldPosition="0"/>
    </format>
    <format dxfId="106">
      <pivotArea collapsedLevelsAreSubtotals="1" fieldPosition="0">
        <references count="1">
          <reference field="2" count="171">
            <x v="3"/>
            <x v="6"/>
            <x v="14"/>
            <x v="28"/>
            <x v="36"/>
            <x v="43"/>
            <x v="50"/>
            <x v="52"/>
            <x v="57"/>
            <x v="64"/>
            <x v="71"/>
            <x v="77"/>
            <x v="78"/>
            <x v="80"/>
            <x v="81"/>
            <x v="85"/>
            <x v="87"/>
            <x v="92"/>
            <x v="96"/>
            <x v="111"/>
            <x v="113"/>
            <x v="118"/>
            <x v="124"/>
            <x v="127"/>
            <x v="130"/>
            <x v="138"/>
            <x v="151"/>
            <x v="162"/>
            <x v="166"/>
            <x v="168"/>
            <x v="175"/>
            <x v="178"/>
            <x v="209"/>
            <x v="210"/>
            <x v="211"/>
            <x v="212"/>
            <x v="215"/>
            <x v="218"/>
            <x v="220"/>
            <x v="229"/>
            <x v="232"/>
            <x v="233"/>
            <x v="236"/>
            <x v="242"/>
            <x v="249"/>
            <x v="253"/>
            <x v="255"/>
            <x v="263"/>
            <x v="268"/>
            <x v="275"/>
            <x v="279"/>
            <x v="280"/>
            <x v="281"/>
            <x v="292"/>
            <x v="295"/>
            <x v="298"/>
            <x v="299"/>
            <x v="308"/>
            <x v="318"/>
            <x v="319"/>
            <x v="329"/>
            <x v="339"/>
            <x v="346"/>
            <x v="352"/>
            <x v="364"/>
            <x v="382"/>
            <x v="384"/>
            <x v="389"/>
            <x v="390"/>
            <x v="393"/>
            <x v="396"/>
            <x v="398"/>
            <x v="406"/>
            <x v="419"/>
            <x v="426"/>
            <x v="427"/>
            <x v="430"/>
            <x v="432"/>
            <x v="443"/>
            <x v="444"/>
            <x v="447"/>
            <x v="448"/>
            <x v="449"/>
            <x v="451"/>
            <x v="459"/>
            <x v="482"/>
            <x v="499"/>
            <x v="505"/>
            <x v="508"/>
            <x v="517"/>
            <x v="518"/>
            <x v="522"/>
            <x v="533"/>
            <x v="536"/>
            <x v="541"/>
            <x v="542"/>
            <x v="551"/>
            <x v="553"/>
            <x v="561"/>
            <x v="562"/>
            <x v="566"/>
            <x v="570"/>
            <x v="571"/>
            <x v="572"/>
            <x v="575"/>
            <x v="580"/>
            <x v="582"/>
            <x v="583"/>
            <x v="584"/>
            <x v="588"/>
            <x v="590"/>
            <x v="593"/>
            <x v="596"/>
            <x v="602"/>
            <x v="605"/>
            <x v="608"/>
            <x v="617"/>
            <x v="619"/>
            <x v="620"/>
            <x v="623"/>
            <x v="625"/>
            <x v="626"/>
            <x v="629"/>
            <x v="631"/>
            <x v="633"/>
            <x v="640"/>
            <x v="646"/>
            <x v="649"/>
            <x v="650"/>
            <x v="657"/>
            <x v="659"/>
            <x v="671"/>
            <x v="673"/>
            <x v="676"/>
            <x v="678"/>
            <x v="679"/>
            <x v="684"/>
            <x v="686"/>
            <x v="688"/>
            <x v="697"/>
            <x v="699"/>
            <x v="701"/>
            <x v="707"/>
            <x v="710"/>
            <x v="715"/>
            <x v="719"/>
            <x v="720"/>
            <x v="721"/>
            <x v="722"/>
            <x v="724"/>
            <x v="731"/>
            <x v="738"/>
            <x v="739"/>
            <x v="743"/>
            <x v="744"/>
            <x v="753"/>
            <x v="757"/>
            <x v="769"/>
            <x v="773"/>
            <x v="774"/>
            <x v="775"/>
            <x v="776"/>
            <x v="777"/>
            <x v="785"/>
            <x v="796"/>
            <x v="797"/>
            <x v="805"/>
            <x v="807"/>
            <x v="813"/>
            <x v="818"/>
            <x v="821"/>
          </reference>
        </references>
      </pivotArea>
    </format>
    <format dxfId="105">
      <pivotArea field="2" type="button" dataOnly="0" labelOnly="1" outline="0" axis="axisRow" fieldPosition="0"/>
    </format>
    <format dxfId="104">
      <pivotArea dataOnly="0" labelOnly="1" fieldPosition="0">
        <references count="1">
          <reference field="2" count="50">
            <x v="6"/>
            <x v="52"/>
            <x v="71"/>
            <x v="77"/>
            <x v="85"/>
            <x v="111"/>
            <x v="113"/>
            <x v="127"/>
            <x v="151"/>
            <x v="215"/>
            <x v="218"/>
            <x v="229"/>
            <x v="279"/>
            <x v="280"/>
            <x v="295"/>
            <x v="308"/>
            <x v="329"/>
            <x v="346"/>
            <x v="352"/>
            <x v="384"/>
            <x v="390"/>
            <x v="393"/>
            <x v="396"/>
            <x v="406"/>
            <x v="419"/>
            <x v="426"/>
            <x v="517"/>
            <x v="518"/>
            <x v="533"/>
            <x v="553"/>
            <x v="562"/>
            <x v="571"/>
            <x v="572"/>
            <x v="575"/>
            <x v="590"/>
            <x v="596"/>
            <x v="605"/>
            <x v="640"/>
            <x v="649"/>
            <x v="657"/>
            <x v="697"/>
            <x v="701"/>
            <x v="715"/>
            <x v="721"/>
            <x v="722"/>
            <x v="753"/>
            <x v="757"/>
            <x v="769"/>
            <x v="777"/>
            <x v="805"/>
          </reference>
        </references>
      </pivotArea>
    </format>
    <format dxfId="103">
      <pivotArea dataOnly="0" labelOnly="1" fieldPosition="0">
        <references count="1">
          <reference field="2" count="50">
            <x v="28"/>
            <x v="43"/>
            <x v="50"/>
            <x v="64"/>
            <x v="80"/>
            <x v="81"/>
            <x v="87"/>
            <x v="92"/>
            <x v="118"/>
            <x v="162"/>
            <x v="166"/>
            <x v="209"/>
            <x v="210"/>
            <x v="220"/>
            <x v="232"/>
            <x v="281"/>
            <x v="298"/>
            <x v="319"/>
            <x v="382"/>
            <x v="427"/>
            <x v="432"/>
            <x v="447"/>
            <x v="448"/>
            <x v="459"/>
            <x v="499"/>
            <x v="522"/>
            <x v="542"/>
            <x v="580"/>
            <x v="582"/>
            <x v="608"/>
            <x v="617"/>
            <x v="620"/>
            <x v="629"/>
            <x v="633"/>
            <x v="650"/>
            <x v="671"/>
            <x v="673"/>
            <x v="676"/>
            <x v="678"/>
            <x v="688"/>
            <x v="707"/>
            <x v="719"/>
            <x v="720"/>
            <x v="739"/>
            <x v="773"/>
            <x v="774"/>
            <x v="776"/>
            <x v="785"/>
            <x v="797"/>
            <x v="818"/>
          </reference>
        </references>
      </pivotArea>
    </format>
    <format dxfId="102">
      <pivotArea dataOnly="0" labelOnly="1" fieldPosition="0">
        <references count="1">
          <reference field="2" count="50">
            <x v="3"/>
            <x v="14"/>
            <x v="36"/>
            <x v="57"/>
            <x v="78"/>
            <x v="96"/>
            <x v="138"/>
            <x v="168"/>
            <x v="175"/>
            <x v="178"/>
            <x v="211"/>
            <x v="212"/>
            <x v="233"/>
            <x v="236"/>
            <x v="242"/>
            <x v="249"/>
            <x v="253"/>
            <x v="255"/>
            <x v="263"/>
            <x v="268"/>
            <x v="275"/>
            <x v="292"/>
            <x v="299"/>
            <x v="318"/>
            <x v="339"/>
            <x v="364"/>
            <x v="389"/>
            <x v="398"/>
            <x v="430"/>
            <x v="443"/>
            <x v="444"/>
            <x v="449"/>
            <x v="451"/>
            <x v="482"/>
            <x v="505"/>
            <x v="508"/>
            <x v="536"/>
            <x v="541"/>
            <x v="566"/>
            <x v="584"/>
            <x v="602"/>
            <x v="619"/>
            <x v="679"/>
            <x v="684"/>
            <x v="686"/>
            <x v="724"/>
            <x v="738"/>
            <x v="743"/>
            <x v="744"/>
            <x v="813"/>
          </reference>
        </references>
      </pivotArea>
    </format>
    <format dxfId="101">
      <pivotArea dataOnly="0" labelOnly="1" fieldPosition="0">
        <references count="1">
          <reference field="2" count="21">
            <x v="124"/>
            <x v="130"/>
            <x v="551"/>
            <x v="561"/>
            <x v="570"/>
            <x v="583"/>
            <x v="588"/>
            <x v="593"/>
            <x v="623"/>
            <x v="625"/>
            <x v="626"/>
            <x v="631"/>
            <x v="646"/>
            <x v="659"/>
            <x v="699"/>
            <x v="710"/>
            <x v="731"/>
            <x v="775"/>
            <x v="796"/>
            <x v="807"/>
            <x v="821"/>
          </reference>
        </references>
      </pivotArea>
    </format>
    <format dxfId="100">
      <pivotArea dataOnly="0" labelOnly="1" outline="0" axis="axisValues" fieldPosition="0"/>
    </format>
    <format dxfId="99">
      <pivotArea collapsedLevelsAreSubtotals="1" fieldPosition="0">
        <references count="1">
          <reference field="2" count="171">
            <x v="3"/>
            <x v="6"/>
            <x v="14"/>
            <x v="28"/>
            <x v="36"/>
            <x v="43"/>
            <x v="50"/>
            <x v="52"/>
            <x v="57"/>
            <x v="64"/>
            <x v="71"/>
            <x v="77"/>
            <x v="78"/>
            <x v="80"/>
            <x v="81"/>
            <x v="85"/>
            <x v="87"/>
            <x v="92"/>
            <x v="96"/>
            <x v="111"/>
            <x v="113"/>
            <x v="118"/>
            <x v="124"/>
            <x v="127"/>
            <x v="130"/>
            <x v="138"/>
            <x v="151"/>
            <x v="162"/>
            <x v="166"/>
            <x v="168"/>
            <x v="175"/>
            <x v="178"/>
            <x v="209"/>
            <x v="210"/>
            <x v="211"/>
            <x v="212"/>
            <x v="215"/>
            <x v="218"/>
            <x v="220"/>
            <x v="229"/>
            <x v="232"/>
            <x v="233"/>
            <x v="236"/>
            <x v="242"/>
            <x v="249"/>
            <x v="253"/>
            <x v="255"/>
            <x v="263"/>
            <x v="268"/>
            <x v="275"/>
            <x v="279"/>
            <x v="280"/>
            <x v="281"/>
            <x v="292"/>
            <x v="295"/>
            <x v="298"/>
            <x v="299"/>
            <x v="308"/>
            <x v="318"/>
            <x v="319"/>
            <x v="329"/>
            <x v="339"/>
            <x v="346"/>
            <x v="352"/>
            <x v="364"/>
            <x v="382"/>
            <x v="384"/>
            <x v="389"/>
            <x v="390"/>
            <x v="393"/>
            <x v="396"/>
            <x v="398"/>
            <x v="406"/>
            <x v="419"/>
            <x v="426"/>
            <x v="427"/>
            <x v="430"/>
            <x v="432"/>
            <x v="443"/>
            <x v="444"/>
            <x v="447"/>
            <x v="448"/>
            <x v="449"/>
            <x v="451"/>
            <x v="459"/>
            <x v="482"/>
            <x v="499"/>
            <x v="505"/>
            <x v="508"/>
            <x v="517"/>
            <x v="518"/>
            <x v="522"/>
            <x v="533"/>
            <x v="536"/>
            <x v="541"/>
            <x v="542"/>
            <x v="551"/>
            <x v="553"/>
            <x v="561"/>
            <x v="562"/>
            <x v="566"/>
            <x v="570"/>
            <x v="571"/>
            <x v="572"/>
            <x v="575"/>
            <x v="580"/>
            <x v="582"/>
            <x v="583"/>
            <x v="584"/>
            <x v="588"/>
            <x v="590"/>
            <x v="593"/>
            <x v="596"/>
            <x v="602"/>
            <x v="605"/>
            <x v="608"/>
            <x v="617"/>
            <x v="619"/>
            <x v="620"/>
            <x v="623"/>
            <x v="625"/>
            <x v="626"/>
            <x v="629"/>
            <x v="631"/>
            <x v="633"/>
            <x v="640"/>
            <x v="646"/>
            <x v="649"/>
            <x v="650"/>
            <x v="657"/>
            <x v="659"/>
            <x v="671"/>
            <x v="673"/>
            <x v="676"/>
            <x v="678"/>
            <x v="679"/>
            <x v="684"/>
            <x v="686"/>
            <x v="688"/>
            <x v="697"/>
            <x v="699"/>
            <x v="701"/>
            <x v="707"/>
            <x v="710"/>
            <x v="715"/>
            <x v="719"/>
            <x v="720"/>
            <x v="721"/>
            <x v="722"/>
            <x v="724"/>
            <x v="731"/>
            <x v="738"/>
            <x v="739"/>
            <x v="743"/>
            <x v="744"/>
            <x v="753"/>
            <x v="757"/>
            <x v="769"/>
            <x v="773"/>
            <x v="774"/>
            <x v="775"/>
            <x v="776"/>
            <x v="777"/>
            <x v="785"/>
            <x v="796"/>
            <x v="797"/>
            <x v="805"/>
            <x v="807"/>
            <x v="813"/>
            <x v="818"/>
            <x v="821"/>
          </reference>
        </references>
      </pivotArea>
    </format>
    <format dxfId="98">
      <pivotArea field="2" type="button" dataOnly="0" labelOnly="1" outline="0" axis="axisRow" fieldPosition="0"/>
    </format>
    <format dxfId="97">
      <pivotArea dataOnly="0" labelOnly="1" fieldPosition="0">
        <references count="1">
          <reference field="2" count="50">
            <x v="6"/>
            <x v="52"/>
            <x v="71"/>
            <x v="77"/>
            <x v="85"/>
            <x v="111"/>
            <x v="113"/>
            <x v="127"/>
            <x v="151"/>
            <x v="215"/>
            <x v="218"/>
            <x v="229"/>
            <x v="279"/>
            <x v="280"/>
            <x v="295"/>
            <x v="308"/>
            <x v="329"/>
            <x v="346"/>
            <x v="352"/>
            <x v="384"/>
            <x v="390"/>
            <x v="393"/>
            <x v="396"/>
            <x v="406"/>
            <x v="419"/>
            <x v="426"/>
            <x v="517"/>
            <x v="518"/>
            <x v="533"/>
            <x v="553"/>
            <x v="562"/>
            <x v="571"/>
            <x v="572"/>
            <x v="575"/>
            <x v="590"/>
            <x v="596"/>
            <x v="605"/>
            <x v="640"/>
            <x v="649"/>
            <x v="657"/>
            <x v="697"/>
            <x v="701"/>
            <x v="715"/>
            <x v="721"/>
            <x v="722"/>
            <x v="753"/>
            <x v="757"/>
            <x v="769"/>
            <x v="777"/>
            <x v="805"/>
          </reference>
        </references>
      </pivotArea>
    </format>
    <format dxfId="96">
      <pivotArea dataOnly="0" labelOnly="1" fieldPosition="0">
        <references count="1">
          <reference field="2" count="50">
            <x v="28"/>
            <x v="43"/>
            <x v="50"/>
            <x v="64"/>
            <x v="80"/>
            <x v="81"/>
            <x v="87"/>
            <x v="92"/>
            <x v="118"/>
            <x v="162"/>
            <x v="166"/>
            <x v="209"/>
            <x v="210"/>
            <x v="220"/>
            <x v="232"/>
            <x v="281"/>
            <x v="298"/>
            <x v="319"/>
            <x v="382"/>
            <x v="427"/>
            <x v="432"/>
            <x v="447"/>
            <x v="448"/>
            <x v="459"/>
            <x v="499"/>
            <x v="522"/>
            <x v="542"/>
            <x v="580"/>
            <x v="582"/>
            <x v="608"/>
            <x v="617"/>
            <x v="620"/>
            <x v="629"/>
            <x v="633"/>
            <x v="650"/>
            <x v="671"/>
            <x v="673"/>
            <x v="676"/>
            <x v="678"/>
            <x v="688"/>
            <x v="707"/>
            <x v="719"/>
            <x v="720"/>
            <x v="739"/>
            <x v="773"/>
            <x v="774"/>
            <x v="776"/>
            <x v="785"/>
            <x v="797"/>
            <x v="818"/>
          </reference>
        </references>
      </pivotArea>
    </format>
    <format dxfId="95">
      <pivotArea dataOnly="0" labelOnly="1" fieldPosition="0">
        <references count="1">
          <reference field="2" count="50">
            <x v="3"/>
            <x v="14"/>
            <x v="36"/>
            <x v="57"/>
            <x v="78"/>
            <x v="96"/>
            <x v="138"/>
            <x v="168"/>
            <x v="175"/>
            <x v="178"/>
            <x v="211"/>
            <x v="212"/>
            <x v="233"/>
            <x v="236"/>
            <x v="242"/>
            <x v="249"/>
            <x v="253"/>
            <x v="255"/>
            <x v="263"/>
            <x v="268"/>
            <x v="275"/>
            <x v="292"/>
            <x v="299"/>
            <x v="318"/>
            <x v="339"/>
            <x v="364"/>
            <x v="389"/>
            <x v="398"/>
            <x v="430"/>
            <x v="443"/>
            <x v="444"/>
            <x v="449"/>
            <x v="451"/>
            <x v="482"/>
            <x v="505"/>
            <x v="508"/>
            <x v="536"/>
            <x v="541"/>
            <x v="566"/>
            <x v="584"/>
            <x v="602"/>
            <x v="619"/>
            <x v="679"/>
            <x v="684"/>
            <x v="686"/>
            <x v="724"/>
            <x v="738"/>
            <x v="743"/>
            <x v="744"/>
            <x v="813"/>
          </reference>
        </references>
      </pivotArea>
    </format>
    <format dxfId="94">
      <pivotArea dataOnly="0" labelOnly="1" fieldPosition="0">
        <references count="1">
          <reference field="2" count="21">
            <x v="124"/>
            <x v="130"/>
            <x v="551"/>
            <x v="561"/>
            <x v="570"/>
            <x v="583"/>
            <x v="588"/>
            <x v="593"/>
            <x v="623"/>
            <x v="625"/>
            <x v="626"/>
            <x v="631"/>
            <x v="646"/>
            <x v="659"/>
            <x v="699"/>
            <x v="710"/>
            <x v="731"/>
            <x v="775"/>
            <x v="796"/>
            <x v="807"/>
            <x v="821"/>
          </reference>
        </references>
      </pivotArea>
    </format>
    <format dxfId="93">
      <pivotArea dataOnly="0" labelOnly="1" outline="0" axis="axisValues" fieldPosition="0"/>
    </format>
    <format dxfId="92">
      <pivotArea collapsedLevelsAreSubtotals="1" fieldPosition="0">
        <references count="1">
          <reference field="2" count="171">
            <x v="3"/>
            <x v="6"/>
            <x v="14"/>
            <x v="28"/>
            <x v="36"/>
            <x v="43"/>
            <x v="50"/>
            <x v="52"/>
            <x v="57"/>
            <x v="64"/>
            <x v="71"/>
            <x v="77"/>
            <x v="78"/>
            <x v="80"/>
            <x v="81"/>
            <x v="85"/>
            <x v="87"/>
            <x v="92"/>
            <x v="96"/>
            <x v="111"/>
            <x v="113"/>
            <x v="118"/>
            <x v="124"/>
            <x v="127"/>
            <x v="130"/>
            <x v="138"/>
            <x v="151"/>
            <x v="162"/>
            <x v="166"/>
            <x v="168"/>
            <x v="175"/>
            <x v="178"/>
            <x v="209"/>
            <x v="210"/>
            <x v="211"/>
            <x v="212"/>
            <x v="215"/>
            <x v="218"/>
            <x v="220"/>
            <x v="229"/>
            <x v="232"/>
            <x v="233"/>
            <x v="236"/>
            <x v="242"/>
            <x v="249"/>
            <x v="253"/>
            <x v="255"/>
            <x v="263"/>
            <x v="268"/>
            <x v="275"/>
            <x v="279"/>
            <x v="280"/>
            <x v="281"/>
            <x v="292"/>
            <x v="295"/>
            <x v="298"/>
            <x v="299"/>
            <x v="308"/>
            <x v="318"/>
            <x v="319"/>
            <x v="329"/>
            <x v="339"/>
            <x v="346"/>
            <x v="352"/>
            <x v="364"/>
            <x v="382"/>
            <x v="384"/>
            <x v="389"/>
            <x v="390"/>
            <x v="393"/>
            <x v="396"/>
            <x v="398"/>
            <x v="406"/>
            <x v="419"/>
            <x v="426"/>
            <x v="427"/>
            <x v="430"/>
            <x v="432"/>
            <x v="443"/>
            <x v="444"/>
            <x v="447"/>
            <x v="448"/>
            <x v="449"/>
            <x v="451"/>
            <x v="459"/>
            <x v="482"/>
            <x v="499"/>
            <x v="505"/>
            <x v="508"/>
            <x v="517"/>
            <x v="518"/>
            <x v="522"/>
            <x v="533"/>
            <x v="536"/>
            <x v="541"/>
            <x v="542"/>
            <x v="551"/>
            <x v="553"/>
            <x v="561"/>
            <x v="562"/>
            <x v="566"/>
            <x v="570"/>
            <x v="571"/>
            <x v="572"/>
            <x v="575"/>
            <x v="580"/>
            <x v="582"/>
            <x v="583"/>
            <x v="584"/>
            <x v="588"/>
            <x v="590"/>
            <x v="593"/>
            <x v="596"/>
            <x v="602"/>
            <x v="605"/>
            <x v="608"/>
            <x v="617"/>
            <x v="619"/>
            <x v="620"/>
            <x v="623"/>
            <x v="625"/>
            <x v="626"/>
            <x v="629"/>
            <x v="631"/>
            <x v="633"/>
            <x v="640"/>
            <x v="646"/>
            <x v="649"/>
            <x v="650"/>
            <x v="657"/>
            <x v="659"/>
            <x v="671"/>
            <x v="673"/>
            <x v="676"/>
            <x v="678"/>
            <x v="679"/>
            <x v="684"/>
            <x v="686"/>
            <x v="688"/>
            <x v="697"/>
            <x v="699"/>
            <x v="701"/>
            <x v="707"/>
            <x v="710"/>
            <x v="715"/>
            <x v="719"/>
            <x v="720"/>
            <x v="721"/>
            <x v="722"/>
            <x v="724"/>
            <x v="731"/>
            <x v="738"/>
            <x v="739"/>
            <x v="743"/>
            <x v="744"/>
            <x v="753"/>
            <x v="757"/>
            <x v="769"/>
            <x v="773"/>
            <x v="774"/>
            <x v="775"/>
            <x v="776"/>
            <x v="777"/>
            <x v="785"/>
            <x v="796"/>
            <x v="797"/>
            <x v="805"/>
            <x v="807"/>
            <x v="813"/>
            <x v="818"/>
            <x v="821"/>
          </reference>
        </references>
      </pivotArea>
    </format>
    <format dxfId="91">
      <pivotArea field="2" type="button" dataOnly="0" labelOnly="1" outline="0" axis="axisRow" fieldPosition="0"/>
    </format>
    <format dxfId="90">
      <pivotArea dataOnly="0" labelOnly="1" fieldPosition="0">
        <references count="1">
          <reference field="2" count="50">
            <x v="6"/>
            <x v="52"/>
            <x v="71"/>
            <x v="77"/>
            <x v="85"/>
            <x v="111"/>
            <x v="113"/>
            <x v="127"/>
            <x v="151"/>
            <x v="215"/>
            <x v="218"/>
            <x v="229"/>
            <x v="279"/>
            <x v="280"/>
            <x v="295"/>
            <x v="308"/>
            <x v="329"/>
            <x v="346"/>
            <x v="352"/>
            <x v="384"/>
            <x v="390"/>
            <x v="393"/>
            <x v="396"/>
            <x v="406"/>
            <x v="419"/>
            <x v="426"/>
            <x v="517"/>
            <x v="518"/>
            <x v="533"/>
            <x v="553"/>
            <x v="562"/>
            <x v="571"/>
            <x v="572"/>
            <x v="575"/>
            <x v="590"/>
            <x v="596"/>
            <x v="605"/>
            <x v="640"/>
            <x v="649"/>
            <x v="657"/>
            <x v="697"/>
            <x v="701"/>
            <x v="715"/>
            <x v="721"/>
            <x v="722"/>
            <x v="753"/>
            <x v="757"/>
            <x v="769"/>
            <x v="777"/>
            <x v="805"/>
          </reference>
        </references>
      </pivotArea>
    </format>
    <format dxfId="89">
      <pivotArea dataOnly="0" labelOnly="1" fieldPosition="0">
        <references count="1">
          <reference field="2" count="50">
            <x v="28"/>
            <x v="43"/>
            <x v="50"/>
            <x v="64"/>
            <x v="80"/>
            <x v="81"/>
            <x v="87"/>
            <x v="92"/>
            <x v="118"/>
            <x v="162"/>
            <x v="166"/>
            <x v="209"/>
            <x v="210"/>
            <x v="220"/>
            <x v="232"/>
            <x v="281"/>
            <x v="298"/>
            <x v="319"/>
            <x v="382"/>
            <x v="427"/>
            <x v="432"/>
            <x v="447"/>
            <x v="448"/>
            <x v="459"/>
            <x v="499"/>
            <x v="522"/>
            <x v="542"/>
            <x v="580"/>
            <x v="582"/>
            <x v="608"/>
            <x v="617"/>
            <x v="620"/>
            <x v="629"/>
            <x v="633"/>
            <x v="650"/>
            <x v="671"/>
            <x v="673"/>
            <x v="676"/>
            <x v="678"/>
            <x v="688"/>
            <x v="707"/>
            <x v="719"/>
            <x v="720"/>
            <x v="739"/>
            <x v="773"/>
            <x v="774"/>
            <x v="776"/>
            <x v="785"/>
            <x v="797"/>
            <x v="818"/>
          </reference>
        </references>
      </pivotArea>
    </format>
    <format dxfId="88">
      <pivotArea dataOnly="0" labelOnly="1" fieldPosition="0">
        <references count="1">
          <reference field="2" count="50">
            <x v="3"/>
            <x v="14"/>
            <x v="36"/>
            <x v="57"/>
            <x v="78"/>
            <x v="96"/>
            <x v="138"/>
            <x v="168"/>
            <x v="175"/>
            <x v="178"/>
            <x v="211"/>
            <x v="212"/>
            <x v="233"/>
            <x v="236"/>
            <x v="242"/>
            <x v="249"/>
            <x v="253"/>
            <x v="255"/>
            <x v="263"/>
            <x v="268"/>
            <x v="275"/>
            <x v="292"/>
            <x v="299"/>
            <x v="318"/>
            <x v="339"/>
            <x v="364"/>
            <x v="389"/>
            <x v="398"/>
            <x v="430"/>
            <x v="443"/>
            <x v="444"/>
            <x v="449"/>
            <x v="451"/>
            <x v="482"/>
            <x v="505"/>
            <x v="508"/>
            <x v="536"/>
            <x v="541"/>
            <x v="566"/>
            <x v="584"/>
            <x v="602"/>
            <x v="619"/>
            <x v="679"/>
            <x v="684"/>
            <x v="686"/>
            <x v="724"/>
            <x v="738"/>
            <x v="743"/>
            <x v="744"/>
            <x v="813"/>
          </reference>
        </references>
      </pivotArea>
    </format>
    <format dxfId="87">
      <pivotArea dataOnly="0" labelOnly="1" fieldPosition="0">
        <references count="1">
          <reference field="2" count="21">
            <x v="124"/>
            <x v="130"/>
            <x v="551"/>
            <x v="561"/>
            <x v="570"/>
            <x v="583"/>
            <x v="588"/>
            <x v="593"/>
            <x v="623"/>
            <x v="625"/>
            <x v="626"/>
            <x v="631"/>
            <x v="646"/>
            <x v="659"/>
            <x v="699"/>
            <x v="710"/>
            <x v="731"/>
            <x v="775"/>
            <x v="796"/>
            <x v="807"/>
            <x v="821"/>
          </reference>
        </references>
      </pivotArea>
    </format>
    <format dxfId="86">
      <pivotArea dataOnly="0" labelOnly="1" outline="0" axis="axisValues" fieldPosition="0"/>
    </format>
    <format dxfId="85">
      <pivotArea collapsedLevelsAreSubtotals="1" fieldPosition="0">
        <references count="1">
          <reference field="2" count="1">
            <x v="384"/>
          </reference>
        </references>
      </pivotArea>
    </format>
    <format dxfId="84">
      <pivotArea dataOnly="0" labelOnly="1" fieldPosition="0">
        <references count="1">
          <reference field="2" count="1">
            <x v="384"/>
          </reference>
        </references>
      </pivotArea>
    </format>
    <format dxfId="83">
      <pivotArea collapsedLevelsAreSubtotals="1" fieldPosition="0">
        <references count="1">
          <reference field="2" count="1">
            <x v="605"/>
          </reference>
        </references>
      </pivotArea>
    </format>
    <format dxfId="82">
      <pivotArea dataOnly="0" labelOnly="1" fieldPosition="0">
        <references count="1">
          <reference field="2" count="1">
            <x v="605"/>
          </reference>
        </references>
      </pivotArea>
    </format>
    <format dxfId="81">
      <pivotArea collapsedLevelsAreSubtotals="1" fieldPosition="0">
        <references count="1">
          <reference field="2" count="1">
            <x v="722"/>
          </reference>
        </references>
      </pivotArea>
    </format>
    <format dxfId="80">
      <pivotArea dataOnly="0" labelOnly="1" fieldPosition="0">
        <references count="1">
          <reference field="2" count="1">
            <x v="722"/>
          </reference>
        </references>
      </pivotArea>
    </format>
    <format dxfId="79">
      <pivotArea collapsedLevelsAreSubtotals="1" fieldPosition="0">
        <references count="1">
          <reference field="2" count="1">
            <x v="753"/>
          </reference>
        </references>
      </pivotArea>
    </format>
    <format dxfId="78">
      <pivotArea dataOnly="0" labelOnly="1" fieldPosition="0">
        <references count="1">
          <reference field="2" count="1">
            <x v="753"/>
          </reference>
        </references>
      </pivotArea>
    </format>
    <format dxfId="77">
      <pivotArea collapsedLevelsAreSubtotals="1" fieldPosition="0">
        <references count="1">
          <reference field="2" count="1">
            <x v="111"/>
          </reference>
        </references>
      </pivotArea>
    </format>
    <format dxfId="76">
      <pivotArea dataOnly="0" labelOnly="1" fieldPosition="0">
        <references count="1">
          <reference field="2" count="1">
            <x v="111"/>
          </reference>
        </references>
      </pivotArea>
    </format>
    <format dxfId="75">
      <pivotArea collapsedLevelsAreSubtotals="1" fieldPosition="0">
        <references count="1">
          <reference field="2" count="1">
            <x v="721"/>
          </reference>
        </references>
      </pivotArea>
    </format>
    <format dxfId="74">
      <pivotArea dataOnly="0" labelOnly="1" fieldPosition="0">
        <references count="1">
          <reference field="2" count="1">
            <x v="721"/>
          </reference>
        </references>
      </pivotArea>
    </format>
    <format dxfId="73">
      <pivotArea collapsedLevelsAreSubtotals="1" fieldPosition="0">
        <references count="1">
          <reference field="2" count="1">
            <x v="562"/>
          </reference>
        </references>
      </pivotArea>
    </format>
    <format dxfId="72">
      <pivotArea dataOnly="0" labelOnly="1" fieldPosition="0">
        <references count="1">
          <reference field="2" count="1">
            <x v="562"/>
          </reference>
        </references>
      </pivotArea>
    </format>
    <format dxfId="71">
      <pivotArea collapsedLevelsAreSubtotals="1" fieldPosition="0">
        <references count="1">
          <reference field="2" count="1">
            <x v="113"/>
          </reference>
        </references>
      </pivotArea>
    </format>
    <format dxfId="70">
      <pivotArea dataOnly="0" labelOnly="1" fieldPosition="0">
        <references count="1">
          <reference field="2" count="1">
            <x v="113"/>
          </reference>
        </references>
      </pivotArea>
    </format>
    <format dxfId="69">
      <pivotArea collapsedLevelsAreSubtotals="1" fieldPosition="0">
        <references count="1">
          <reference field="2" count="1">
            <x v="553"/>
          </reference>
        </references>
      </pivotArea>
    </format>
    <format dxfId="68">
      <pivotArea dataOnly="0" labelOnly="1" fieldPosition="0">
        <references count="1">
          <reference field="2" count="1">
            <x v="553"/>
          </reference>
        </references>
      </pivotArea>
    </format>
    <format dxfId="67">
      <pivotArea collapsedLevelsAreSubtotals="1" fieldPosition="0">
        <references count="1">
          <reference field="2" count="1">
            <x v="308"/>
          </reference>
        </references>
      </pivotArea>
    </format>
    <format dxfId="66">
      <pivotArea dataOnly="0" labelOnly="1" fieldPosition="0">
        <references count="1">
          <reference field="2" count="1">
            <x v="308"/>
          </reference>
        </references>
      </pivotArea>
    </format>
    <format dxfId="65">
      <pivotArea collapsedLevelsAreSubtotals="1" fieldPosition="0">
        <references count="1">
          <reference field="2" count="1">
            <x v="279"/>
          </reference>
        </references>
      </pivotArea>
    </format>
    <format dxfId="64">
      <pivotArea dataOnly="0" labelOnly="1" fieldPosition="0">
        <references count="1">
          <reference field="2" count="1">
            <x v="279"/>
          </reference>
        </references>
      </pivotArea>
    </format>
    <format dxfId="63">
      <pivotArea collapsedLevelsAreSubtotals="1" fieldPosition="0">
        <references count="1">
          <reference field="2" count="1">
            <x v="215"/>
          </reference>
        </references>
      </pivotArea>
    </format>
    <format dxfId="62">
      <pivotArea dataOnly="0" labelOnly="1" fieldPosition="0">
        <references count="1">
          <reference field="2" count="1">
            <x v="215"/>
          </reference>
        </references>
      </pivotArea>
    </format>
    <format dxfId="61">
      <pivotArea collapsedLevelsAreSubtotals="1" fieldPosition="0">
        <references count="1">
          <reference field="2" count="1">
            <x v="715"/>
          </reference>
        </references>
      </pivotArea>
    </format>
    <format dxfId="60">
      <pivotArea dataOnly="0" labelOnly="1" fieldPosition="0">
        <references count="1">
          <reference field="2" count="1">
            <x v="715"/>
          </reference>
        </references>
      </pivotArea>
    </format>
    <format dxfId="59">
      <pivotArea collapsedLevelsAreSubtotals="1" fieldPosition="0">
        <references count="1">
          <reference field="2" count="1">
            <x v="533"/>
          </reference>
        </references>
      </pivotArea>
    </format>
    <format dxfId="58">
      <pivotArea dataOnly="0" labelOnly="1" fieldPosition="0">
        <references count="1">
          <reference field="2" count="1">
            <x v="533"/>
          </reference>
        </references>
      </pivotArea>
    </format>
    <format dxfId="57">
      <pivotArea collapsedLevelsAreSubtotals="1" fieldPosition="0">
        <references count="1">
          <reference field="2" count="1">
            <x v="640"/>
          </reference>
        </references>
      </pivotArea>
    </format>
    <format dxfId="56">
      <pivotArea dataOnly="0" labelOnly="1" fieldPosition="0">
        <references count="1">
          <reference field="2" count="1">
            <x v="640"/>
          </reference>
        </references>
      </pivotArea>
    </format>
    <format dxfId="55">
      <pivotArea collapsedLevelsAreSubtotals="1" fieldPosition="0">
        <references count="1">
          <reference field="2" count="1">
            <x v="517"/>
          </reference>
        </references>
      </pivotArea>
    </format>
    <format dxfId="54">
      <pivotArea dataOnly="0" labelOnly="1" fieldPosition="0">
        <references count="1">
          <reference field="2" count="1">
            <x v="517"/>
          </reference>
        </references>
      </pivotArea>
    </format>
    <format dxfId="53">
      <pivotArea collapsedLevelsAreSubtotals="1" fieldPosition="0">
        <references count="1">
          <reference field="2" count="1">
            <x v="393"/>
          </reference>
        </references>
      </pivotArea>
    </format>
    <format dxfId="52">
      <pivotArea dataOnly="0" labelOnly="1" fieldPosition="0">
        <references count="1">
          <reference field="2" count="1">
            <x v="393"/>
          </reference>
        </references>
      </pivotArea>
    </format>
    <format dxfId="51">
      <pivotArea collapsedLevelsAreSubtotals="1" fieldPosition="0">
        <references count="1">
          <reference field="2" count="1">
            <x v="229"/>
          </reference>
        </references>
      </pivotArea>
    </format>
    <format dxfId="50">
      <pivotArea dataOnly="0" labelOnly="1" fieldPosition="0">
        <references count="1">
          <reference field="2" count="1">
            <x v="229"/>
          </reference>
        </references>
      </pivotArea>
    </format>
    <format dxfId="49">
      <pivotArea collapsedLevelsAreSubtotals="1" fieldPosition="0">
        <references count="1">
          <reference field="2" count="1">
            <x v="151"/>
          </reference>
        </references>
      </pivotArea>
    </format>
    <format dxfId="48">
      <pivotArea dataOnly="0" labelOnly="1" fieldPosition="0">
        <references count="1">
          <reference field="2" count="1">
            <x v="151"/>
          </reference>
        </references>
      </pivotArea>
    </format>
    <format dxfId="47">
      <pivotArea collapsedLevelsAreSubtotals="1" fieldPosition="0">
        <references count="1">
          <reference field="2" count="1">
            <x v="85"/>
          </reference>
        </references>
      </pivotArea>
    </format>
    <format dxfId="46">
      <pivotArea dataOnly="0" labelOnly="1" fieldPosition="0">
        <references count="1">
          <reference field="2" count="1">
            <x v="85"/>
          </reference>
        </references>
      </pivotArea>
    </format>
    <format dxfId="45">
      <pivotArea collapsedLevelsAreSubtotals="1" fieldPosition="0">
        <references count="1">
          <reference field="2" count="1">
            <x v="701"/>
          </reference>
        </references>
      </pivotArea>
    </format>
    <format dxfId="44">
      <pivotArea dataOnly="0" labelOnly="1" fieldPosition="0">
        <references count="1">
          <reference field="2" count="1">
            <x v="701"/>
          </reference>
        </references>
      </pivotArea>
    </format>
    <format dxfId="43">
      <pivotArea collapsedLevelsAreSubtotals="1" fieldPosition="0">
        <references count="1">
          <reference field="2" count="1">
            <x v="419"/>
          </reference>
        </references>
      </pivotArea>
    </format>
    <format dxfId="42">
      <pivotArea dataOnly="0" labelOnly="1" fieldPosition="0">
        <references count="1">
          <reference field="2" count="1">
            <x v="419"/>
          </reference>
        </references>
      </pivotArea>
    </format>
    <format dxfId="41">
      <pivotArea collapsedLevelsAreSubtotals="1" fieldPosition="0">
        <references count="1">
          <reference field="2" count="1">
            <x v="295"/>
          </reference>
        </references>
      </pivotArea>
    </format>
    <format dxfId="40">
      <pivotArea dataOnly="0" labelOnly="1" fieldPosition="0">
        <references count="1">
          <reference field="2" count="1">
            <x v="295"/>
          </reference>
        </references>
      </pivotArea>
    </format>
    <format dxfId="39">
      <pivotArea collapsedLevelsAreSubtotals="1" fieldPosition="0">
        <references count="1">
          <reference field="2" count="1">
            <x v="352"/>
          </reference>
        </references>
      </pivotArea>
    </format>
    <format dxfId="38">
      <pivotArea dataOnly="0" labelOnly="1" fieldPosition="0">
        <references count="1">
          <reference field="2" count="1">
            <x v="352"/>
          </reference>
        </references>
      </pivotArea>
    </format>
    <format dxfId="37">
      <pivotArea collapsedLevelsAreSubtotals="1" fieldPosition="0">
        <references count="1">
          <reference field="2" count="1">
            <x v="6"/>
          </reference>
        </references>
      </pivotArea>
    </format>
    <format dxfId="36">
      <pivotArea dataOnly="0" labelOnly="1" fieldPosition="0">
        <references count="1">
          <reference field="2" count="1">
            <x v="6"/>
          </reference>
        </references>
      </pivotArea>
    </format>
    <format dxfId="35">
      <pivotArea collapsedLevelsAreSubtotals="1" fieldPosition="0">
        <references count="1">
          <reference field="2" count="1">
            <x v="28"/>
          </reference>
        </references>
      </pivotArea>
    </format>
    <format dxfId="34">
      <pivotArea dataOnly="0" labelOnly="1" fieldPosition="0">
        <references count="1">
          <reference field="2" count="1">
            <x v="28"/>
          </reference>
        </references>
      </pivotArea>
    </format>
    <format dxfId="33">
      <pivotArea collapsedLevelsAreSubtotals="1" fieldPosition="0">
        <references count="1">
          <reference field="2" count="1">
            <x v="776"/>
          </reference>
        </references>
      </pivotArea>
    </format>
    <format dxfId="32">
      <pivotArea dataOnly="0" labelOnly="1" fieldPosition="0">
        <references count="1">
          <reference field="2" count="1">
            <x v="776"/>
          </reference>
        </references>
      </pivotArea>
    </format>
    <format dxfId="31">
      <pivotArea collapsedLevelsAreSubtotals="1" fieldPosition="0">
        <references count="1">
          <reference field="2" count="1">
            <x v="620"/>
          </reference>
        </references>
      </pivotArea>
    </format>
    <format dxfId="30">
      <pivotArea dataOnly="0" labelOnly="1" fieldPosition="0">
        <references count="1">
          <reference field="2" count="1">
            <x v="620"/>
          </reference>
        </references>
      </pivotArea>
    </format>
    <format dxfId="29">
      <pivotArea collapsedLevelsAreSubtotals="1" fieldPosition="0">
        <references count="1">
          <reference field="2" count="1">
            <x v="650"/>
          </reference>
        </references>
      </pivotArea>
    </format>
    <format dxfId="28">
      <pivotArea dataOnly="0" labelOnly="1" fieldPosition="0">
        <references count="1">
          <reference field="2" count="1">
            <x v="650"/>
          </reference>
        </references>
      </pivotArea>
    </format>
    <format dxfId="27">
      <pivotArea collapsedLevelsAreSubtotals="1" fieldPosition="0">
        <references count="1">
          <reference field="2" count="113">
            <x v="3"/>
            <x v="14"/>
            <x v="36"/>
            <x v="43"/>
            <x v="50"/>
            <x v="57"/>
            <x v="64"/>
            <x v="78"/>
            <x v="80"/>
            <x v="81"/>
            <x v="87"/>
            <x v="92"/>
            <x v="96"/>
            <x v="118"/>
            <x v="124"/>
            <x v="130"/>
            <x v="138"/>
            <x v="162"/>
            <x v="166"/>
            <x v="168"/>
            <x v="175"/>
            <x v="178"/>
            <x v="210"/>
            <x v="211"/>
            <x v="212"/>
            <x v="220"/>
            <x v="232"/>
            <x v="233"/>
            <x v="236"/>
            <x v="242"/>
            <x v="249"/>
            <x v="253"/>
            <x v="255"/>
            <x v="263"/>
            <x v="268"/>
            <x v="275"/>
            <x v="281"/>
            <x v="292"/>
            <x v="298"/>
            <x v="299"/>
            <x v="318"/>
            <x v="319"/>
            <x v="339"/>
            <x v="364"/>
            <x v="382"/>
            <x v="389"/>
            <x v="398"/>
            <x v="427"/>
            <x v="430"/>
            <x v="432"/>
            <x v="443"/>
            <x v="444"/>
            <x v="447"/>
            <x v="448"/>
            <x v="449"/>
            <x v="451"/>
            <x v="459"/>
            <x v="482"/>
            <x v="499"/>
            <x v="505"/>
            <x v="508"/>
            <x v="522"/>
            <x v="536"/>
            <x v="541"/>
            <x v="542"/>
            <x v="551"/>
            <x v="561"/>
            <x v="566"/>
            <x v="570"/>
            <x v="582"/>
            <x v="583"/>
            <x v="584"/>
            <x v="588"/>
            <x v="593"/>
            <x v="602"/>
            <x v="617"/>
            <x v="619"/>
            <x v="623"/>
            <x v="625"/>
            <x v="626"/>
            <x v="629"/>
            <x v="631"/>
            <x v="633"/>
            <x v="646"/>
            <x v="659"/>
            <x v="671"/>
            <x v="673"/>
            <x v="676"/>
            <x v="678"/>
            <x v="679"/>
            <x v="684"/>
            <x v="686"/>
            <x v="688"/>
            <x v="699"/>
            <x v="707"/>
            <x v="710"/>
            <x v="719"/>
            <x v="720"/>
            <x v="724"/>
            <x v="731"/>
            <x v="738"/>
            <x v="739"/>
            <x v="743"/>
            <x v="744"/>
            <x v="773"/>
            <x v="774"/>
            <x v="775"/>
            <x v="796"/>
            <x v="797"/>
            <x v="807"/>
            <x v="813"/>
            <x v="818"/>
            <x v="821"/>
          </reference>
        </references>
      </pivotArea>
    </format>
    <format dxfId="26">
      <pivotArea dataOnly="0" labelOnly="1" fieldPosition="0">
        <references count="1">
          <reference field="2" count="50">
            <x v="43"/>
            <x v="50"/>
            <x v="64"/>
            <x v="80"/>
            <x v="81"/>
            <x v="87"/>
            <x v="92"/>
            <x v="118"/>
            <x v="162"/>
            <x v="166"/>
            <x v="210"/>
            <x v="220"/>
            <x v="232"/>
            <x v="281"/>
            <x v="298"/>
            <x v="319"/>
            <x v="382"/>
            <x v="427"/>
            <x v="432"/>
            <x v="447"/>
            <x v="448"/>
            <x v="459"/>
            <x v="499"/>
            <x v="522"/>
            <x v="542"/>
            <x v="582"/>
            <x v="602"/>
            <x v="617"/>
            <x v="619"/>
            <x v="629"/>
            <x v="633"/>
            <x v="671"/>
            <x v="673"/>
            <x v="676"/>
            <x v="678"/>
            <x v="684"/>
            <x v="688"/>
            <x v="707"/>
            <x v="719"/>
            <x v="720"/>
            <x v="724"/>
            <x v="738"/>
            <x v="739"/>
            <x v="743"/>
            <x v="744"/>
            <x v="773"/>
            <x v="774"/>
            <x v="797"/>
            <x v="813"/>
            <x v="818"/>
          </reference>
        </references>
      </pivotArea>
    </format>
    <format dxfId="25">
      <pivotArea dataOnly="0" labelOnly="1" fieldPosition="0">
        <references count="1">
          <reference field="2" count="50">
            <x v="3"/>
            <x v="14"/>
            <x v="36"/>
            <x v="57"/>
            <x v="78"/>
            <x v="96"/>
            <x v="124"/>
            <x v="130"/>
            <x v="138"/>
            <x v="168"/>
            <x v="175"/>
            <x v="178"/>
            <x v="211"/>
            <x v="212"/>
            <x v="233"/>
            <x v="236"/>
            <x v="242"/>
            <x v="249"/>
            <x v="253"/>
            <x v="255"/>
            <x v="263"/>
            <x v="268"/>
            <x v="275"/>
            <x v="292"/>
            <x v="299"/>
            <x v="318"/>
            <x v="339"/>
            <x v="364"/>
            <x v="389"/>
            <x v="398"/>
            <x v="430"/>
            <x v="443"/>
            <x v="444"/>
            <x v="449"/>
            <x v="451"/>
            <x v="482"/>
            <x v="505"/>
            <x v="508"/>
            <x v="536"/>
            <x v="541"/>
            <x v="551"/>
            <x v="566"/>
            <x v="584"/>
            <x v="593"/>
            <x v="623"/>
            <x v="679"/>
            <x v="686"/>
            <x v="775"/>
            <x v="807"/>
            <x v="821"/>
          </reference>
        </references>
      </pivotArea>
    </format>
    <format dxfId="24">
      <pivotArea dataOnly="0" labelOnly="1" fieldPosition="0">
        <references count="1">
          <reference field="2" count="13">
            <x v="561"/>
            <x v="570"/>
            <x v="583"/>
            <x v="588"/>
            <x v="625"/>
            <x v="626"/>
            <x v="631"/>
            <x v="646"/>
            <x v="659"/>
            <x v="699"/>
            <x v="710"/>
            <x v="731"/>
            <x v="79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_rels/rdRichValueWebImage.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s://image-cdn-fa.spotifycdn.com/image/ab67616d00001e025e12c35cb4c848a927ef4b69" TargetMode="Externa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blip r:id="rId2"/>
  </webImageSrd>
</webImagesSrd>
</file>

<file path=xl/richData/rdrichvalue.xml><?xml version="1.0" encoding="utf-8"?>
<rvData xmlns="http://schemas.microsoft.com/office/spreadsheetml/2017/richdata" count="1">
  <rv s="0">
    <v>0</v>
    <v>1</v>
    <v>0</v>
    <v>250</v>
    <v>3</v>
    <v>250</v>
    <v>Cover</v>
  </rv>
</rvData>
</file>

<file path=xl/richData/rdrichvaluestructure.xml><?xml version="1.0" encoding="utf-8"?>
<rvStructures xmlns="http://schemas.microsoft.com/office/spreadsheetml/2017/richdata" count="1">
  <s t="_webimage">
    <k n="WebImageIdentifier" t="i"/>
    <k n="CalcOrigin" t="i"/>
    <k n="ComputedImage" t="b"/>
    <k n="ImageHeight"/>
    <k n="ImageSizing" t="i"/>
    <k n="ImageWidth"/>
    <k n="Text" t="s"/>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1EFCFC9-1C8B-4DCD-8CE4-38815723D187}" name="Raw_Data" displayName="Raw_Data" ref="A1:V1870" totalsRowShown="0" headerRowDxfId="23" dataDxfId="22">
  <autoFilter ref="A1:V1870" xr:uid="{51EFCFC9-1C8B-4DCD-8CE4-38815723D187}"/>
  <sortState xmlns:xlrd2="http://schemas.microsoft.com/office/spreadsheetml/2017/richdata2" ref="A2:V1870">
    <sortCondition ref="A1:A1870"/>
  </sortState>
  <tableColumns count="22">
    <tableColumn id="1" xr3:uid="{3693A899-8A47-402F-A3AE-6764F5E0514D}" name="id" dataDxfId="21"/>
    <tableColumn id="2" xr3:uid="{964878BC-18AE-4A76-8F41-ABB8AF0AB5C8}" name="uri" dataDxfId="20"/>
    <tableColumn id="3" xr3:uid="{443CF58C-6B00-45EF-923B-73A1D8C005A2}" name="artist_names" dataDxfId="19"/>
    <tableColumn id="4" xr3:uid="{DAEEDC42-692A-4986-8A70-139491EBEEBE}" name="track_name" dataDxfId="18"/>
    <tableColumn id="5" xr3:uid="{DC0774AE-F827-4103-A9C7-28CC64579B28}" name="source" dataDxfId="17"/>
    <tableColumn id="6" xr3:uid="{90DAE29C-762D-4865-9964-030A8DFB519C}" name="peak_rank" dataDxfId="16"/>
    <tableColumn id="7" xr3:uid="{A4563B3F-B98C-4825-B117-310166FB2731}" name="weeks_on_chart" dataDxfId="15"/>
    <tableColumn id="8" xr3:uid="{92487ACF-035E-45D2-B609-FAFC0E64A484}" name="duration" dataDxfId="14"/>
    <tableColumn id="9" xr3:uid="{73D8096C-E70F-42B2-ADE7-9758BD32EBBD}" name="explicit" dataDxfId="13"/>
    <tableColumn id="10" xr3:uid="{5DC7FFAF-DE25-4224-BE39-3F95BBBC7D1C}" name="danceability" dataDxfId="12"/>
    <tableColumn id="11" xr3:uid="{3C7AB251-C973-4A9C-B33D-3E02C9C7540A}" name="energy" dataDxfId="11"/>
    <tableColumn id="12" xr3:uid="{B6BA63B5-12A1-48EF-A35B-75C05ED27D85}" name="loudness" dataDxfId="10"/>
    <tableColumn id="13" xr3:uid="{19F491F1-B751-4FD6-8107-8B84D8BC7BAE}" name="speechiness" dataDxfId="9"/>
    <tableColumn id="14" xr3:uid="{3964B6B8-72E9-4438-B9C1-3F4AF203896F}" name="acousticness" dataDxfId="8"/>
    <tableColumn id="15" xr3:uid="{CD3D796F-F345-40A0-8ED4-A636824A28E1}" name="instrumentalness" dataDxfId="7"/>
    <tableColumn id="16" xr3:uid="{97F577C3-DFB4-40F9-8D55-A43A56D8AC93}" name="liveness" dataDxfId="6"/>
    <tableColumn id="17" xr3:uid="{9EF9E6AA-6F20-43D1-9415-70AA82BE571E}" name="valence" dataDxfId="5"/>
    <tableColumn id="18" xr3:uid="{DB56FC47-E44A-4A66-8D9B-C1F644FF10E4}" name="tempo" dataDxfId="4"/>
    <tableColumn id="19" xr3:uid="{49277096-215D-4C20-A6EE-B44645DCAE7D}" name="genre" dataDxfId="3"/>
    <tableColumn id="20" xr3:uid="{0E16FEBE-A95A-4E78-B779-0D4D0825DED0}" name="release_date" dataDxfId="2"/>
    <tableColumn id="21" xr3:uid="{4996450D-9E67-4EE2-A6CB-2009E600F788}" name="cover_url" dataDxfId="1"/>
    <tableColumn id="22" xr3:uid="{9E30F3EA-EE39-40EB-8A69-ACBC8A3EE50A}" name="is_christmas" dataDxfId="0"/>
  </tableColumns>
  <tableStyleInfo name="Table Style 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hyperlink" Target="https://charts.spotify.com/" TargetMode="External"/><Relationship Id="rId1" Type="http://schemas.openxmlformats.org/officeDocument/2006/relationships/hyperlink" Target="https://developer.spotify.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5B03E-0719-DA40-B19D-EDC7C16775D0}">
  <sheetPr codeName="Sheet1"/>
  <dimension ref="A1:G133"/>
  <sheetViews>
    <sheetView tabSelected="1" zoomScaleNormal="100" workbookViewId="0"/>
  </sheetViews>
  <sheetFormatPr defaultColWidth="10.875" defaultRowHeight="15.75"/>
  <cols>
    <col min="1" max="1" width="7" style="36" customWidth="1"/>
    <col min="2" max="2" width="30.125" style="36" bestFit="1" customWidth="1"/>
    <col min="3" max="3" width="126.125" style="36" bestFit="1" customWidth="1"/>
    <col min="4" max="4" width="10.625" style="36" customWidth="1"/>
    <col min="5" max="16384" width="10.875" style="36"/>
  </cols>
  <sheetData>
    <row r="1" spans="1:7" ht="16.5" customHeight="1">
      <c r="A1" s="78"/>
      <c r="B1" s="79"/>
      <c r="C1" s="79"/>
      <c r="D1" s="80"/>
      <c r="E1" s="80"/>
      <c r="F1" s="80"/>
      <c r="G1" s="80"/>
    </row>
    <row r="2" spans="1:7" ht="28.5">
      <c r="A2" s="78"/>
      <c r="B2" s="130" t="s">
        <v>3383</v>
      </c>
      <c r="C2" s="130"/>
      <c r="D2" s="81"/>
      <c r="E2" s="81"/>
      <c r="F2" s="81"/>
      <c r="G2" s="81"/>
    </row>
    <row r="3" spans="1:7" ht="15.95" customHeight="1">
      <c r="A3" s="78"/>
      <c r="B3" s="122" t="s">
        <v>2</v>
      </c>
      <c r="C3" s="122"/>
      <c r="D3" s="80"/>
      <c r="E3" s="80"/>
      <c r="F3" s="80"/>
      <c r="G3" s="80"/>
    </row>
    <row r="4" spans="1:7" ht="15.95" customHeight="1">
      <c r="A4" s="78"/>
      <c r="B4" s="122"/>
      <c r="C4" s="122"/>
      <c r="D4" s="80"/>
      <c r="E4" s="80"/>
      <c r="F4" s="80"/>
      <c r="G4" s="80"/>
    </row>
    <row r="5" spans="1:7">
      <c r="A5" s="78"/>
      <c r="B5" s="79"/>
      <c r="C5" s="79"/>
      <c r="D5" s="80"/>
      <c r="E5" s="80"/>
      <c r="F5" s="80"/>
      <c r="G5" s="80"/>
    </row>
    <row r="6" spans="1:7">
      <c r="A6" s="78"/>
      <c r="B6" s="105" t="s">
        <v>16</v>
      </c>
      <c r="C6" s="106" t="s">
        <v>3376</v>
      </c>
      <c r="D6" s="80"/>
      <c r="E6" s="80"/>
      <c r="F6" s="80"/>
      <c r="G6" s="80"/>
    </row>
    <row r="7" spans="1:7">
      <c r="A7" s="78"/>
      <c r="B7" s="78"/>
      <c r="C7" s="35"/>
      <c r="D7" s="80"/>
      <c r="E7" s="80"/>
      <c r="F7" s="80"/>
      <c r="G7" s="80"/>
    </row>
    <row r="8" spans="1:7">
      <c r="A8" s="78"/>
      <c r="B8" s="105" t="s">
        <v>3377</v>
      </c>
      <c r="C8" s="131" t="s">
        <v>3378</v>
      </c>
      <c r="D8" s="80"/>
      <c r="E8" s="80"/>
      <c r="F8" s="80"/>
      <c r="G8" s="80"/>
    </row>
    <row r="9" spans="1:7">
      <c r="A9" s="78"/>
      <c r="B9" s="82"/>
      <c r="C9" s="131"/>
      <c r="D9" s="80"/>
      <c r="E9" s="80"/>
      <c r="F9" s="80"/>
      <c r="G9" s="80"/>
    </row>
    <row r="10" spans="1:7">
      <c r="A10" s="78"/>
      <c r="B10" s="82"/>
      <c r="C10" s="131"/>
      <c r="D10" s="80"/>
      <c r="E10" s="80"/>
      <c r="F10" s="80"/>
      <c r="G10" s="80"/>
    </row>
    <row r="11" spans="1:7">
      <c r="A11" s="78"/>
      <c r="B11" s="83"/>
      <c r="C11" s="79"/>
      <c r="D11" s="80"/>
      <c r="E11" s="80"/>
      <c r="F11" s="80"/>
      <c r="G11" s="80"/>
    </row>
    <row r="12" spans="1:7" ht="24">
      <c r="A12" s="78"/>
      <c r="B12" s="120" t="s">
        <v>8</v>
      </c>
      <c r="C12" s="120"/>
      <c r="D12" s="80"/>
      <c r="E12" s="80"/>
      <c r="F12" s="80"/>
      <c r="G12" s="80"/>
    </row>
    <row r="13" spans="1:7">
      <c r="A13" s="78"/>
      <c r="B13" s="122" t="s">
        <v>11</v>
      </c>
      <c r="C13" s="122"/>
      <c r="D13" s="80"/>
      <c r="E13" s="80"/>
      <c r="F13" s="80"/>
      <c r="G13" s="80"/>
    </row>
    <row r="14" spans="1:7">
      <c r="A14" s="78"/>
      <c r="B14" s="122"/>
      <c r="C14" s="122"/>
      <c r="D14" s="80"/>
      <c r="E14" s="80"/>
      <c r="F14" s="80"/>
      <c r="G14" s="80"/>
    </row>
    <row r="15" spans="1:7">
      <c r="A15" s="78"/>
      <c r="B15" s="84"/>
      <c r="C15" s="84"/>
      <c r="D15" s="80"/>
      <c r="E15" s="80"/>
      <c r="F15" s="80"/>
      <c r="G15" s="80"/>
    </row>
    <row r="16" spans="1:7">
      <c r="A16" s="78"/>
      <c r="B16" s="82" t="s">
        <v>17</v>
      </c>
      <c r="C16" s="107" t="s">
        <v>4975</v>
      </c>
      <c r="D16" s="80"/>
      <c r="E16" s="80"/>
      <c r="F16" s="80"/>
      <c r="G16" s="80"/>
    </row>
    <row r="17" spans="1:7">
      <c r="A17" s="78"/>
      <c r="B17" s="82"/>
      <c r="C17" s="108" t="s">
        <v>3380</v>
      </c>
      <c r="D17" s="80"/>
      <c r="E17" s="80"/>
      <c r="F17" s="80"/>
      <c r="G17" s="80"/>
    </row>
    <row r="18" spans="1:7">
      <c r="A18" s="78"/>
      <c r="B18" s="82"/>
      <c r="C18" s="108" t="s">
        <v>3379</v>
      </c>
      <c r="D18" s="80"/>
      <c r="E18" s="80"/>
      <c r="F18" s="80"/>
      <c r="G18" s="80"/>
    </row>
    <row r="19" spans="1:7">
      <c r="A19" s="78"/>
      <c r="B19" s="84"/>
      <c r="C19" s="78"/>
      <c r="D19" s="80"/>
      <c r="E19" s="80"/>
      <c r="F19" s="80"/>
      <c r="G19" s="80"/>
    </row>
    <row r="20" spans="1:7" ht="17.100000000000001" customHeight="1">
      <c r="A20" s="78"/>
      <c r="B20" s="85" t="s">
        <v>12</v>
      </c>
      <c r="C20" s="123" t="s">
        <v>3381</v>
      </c>
      <c r="D20" s="80"/>
      <c r="E20" s="80"/>
      <c r="F20" s="80"/>
      <c r="G20" s="80"/>
    </row>
    <row r="21" spans="1:7" ht="17.100000000000001" customHeight="1">
      <c r="A21" s="78"/>
      <c r="B21" s="85"/>
      <c r="C21" s="123"/>
      <c r="D21" s="80"/>
      <c r="E21" s="80"/>
      <c r="F21" s="80"/>
      <c r="G21" s="80"/>
    </row>
    <row r="22" spans="1:7" ht="17.100000000000001" customHeight="1">
      <c r="A22" s="78"/>
      <c r="B22" s="85"/>
      <c r="C22" s="123"/>
      <c r="D22" s="80"/>
      <c r="E22" s="80"/>
      <c r="F22" s="80"/>
      <c r="G22" s="80"/>
    </row>
    <row r="23" spans="1:7" ht="17.100000000000001" customHeight="1">
      <c r="A23" s="78"/>
      <c r="B23" s="85"/>
      <c r="C23" s="123"/>
      <c r="D23" s="80"/>
      <c r="E23" s="80"/>
      <c r="F23" s="80"/>
      <c r="G23" s="80"/>
    </row>
    <row r="24" spans="1:7">
      <c r="A24" s="78"/>
      <c r="B24" s="86"/>
      <c r="C24" s="123"/>
      <c r="D24" s="80"/>
      <c r="E24" s="80"/>
      <c r="F24" s="80"/>
      <c r="G24" s="80"/>
    </row>
    <row r="25" spans="1:7" ht="17.100000000000001" customHeight="1">
      <c r="A25" s="78"/>
      <c r="B25" s="85" t="s">
        <v>13</v>
      </c>
      <c r="C25" s="123" t="s">
        <v>3382</v>
      </c>
      <c r="D25" s="80"/>
      <c r="E25" s="80"/>
      <c r="F25" s="80"/>
      <c r="G25" s="80"/>
    </row>
    <row r="26" spans="1:7" ht="17.100000000000001" customHeight="1">
      <c r="A26" s="78"/>
      <c r="B26" s="85"/>
      <c r="C26" s="123"/>
      <c r="D26" s="80"/>
      <c r="E26" s="80"/>
      <c r="F26" s="80"/>
      <c r="G26" s="80"/>
    </row>
    <row r="27" spans="1:7" ht="17.100000000000001" customHeight="1">
      <c r="A27" s="78"/>
      <c r="B27" s="85"/>
      <c r="C27" s="123"/>
      <c r="D27" s="80"/>
      <c r="E27" s="80"/>
      <c r="F27" s="80"/>
      <c r="G27" s="80"/>
    </row>
    <row r="28" spans="1:7">
      <c r="A28" s="78"/>
      <c r="B28" s="86"/>
      <c r="C28" s="123"/>
      <c r="D28" s="80"/>
      <c r="E28" s="80"/>
      <c r="F28" s="80"/>
      <c r="G28" s="80"/>
    </row>
    <row r="29" spans="1:7" ht="15.95" customHeight="1">
      <c r="A29" s="78"/>
      <c r="B29" s="85" t="s">
        <v>14</v>
      </c>
      <c r="C29" s="123" t="s">
        <v>4974</v>
      </c>
      <c r="D29" s="80"/>
      <c r="E29" s="80"/>
      <c r="F29" s="80"/>
      <c r="G29" s="80"/>
    </row>
    <row r="30" spans="1:7">
      <c r="A30" s="78"/>
      <c r="B30" s="87"/>
      <c r="C30" s="123"/>
      <c r="D30" s="80"/>
      <c r="E30" s="80"/>
      <c r="F30" s="80"/>
      <c r="G30" s="80"/>
    </row>
    <row r="31" spans="1:7" ht="116.25" customHeight="1">
      <c r="A31" s="78"/>
      <c r="B31" s="83"/>
      <c r="C31" s="123"/>
      <c r="D31" s="80"/>
      <c r="E31" s="80"/>
      <c r="F31" s="80"/>
      <c r="G31" s="80"/>
    </row>
    <row r="32" spans="1:7" ht="15.95" customHeight="1">
      <c r="A32" s="78"/>
      <c r="B32" s="84"/>
      <c r="C32" s="78"/>
      <c r="D32" s="88"/>
      <c r="E32" s="88"/>
      <c r="F32" s="88"/>
      <c r="G32" s="88"/>
    </row>
    <row r="33" spans="1:7" ht="24">
      <c r="A33" s="78"/>
      <c r="B33" s="120" t="s">
        <v>0</v>
      </c>
      <c r="C33" s="120"/>
      <c r="D33" s="80"/>
      <c r="E33" s="80"/>
      <c r="F33" s="80"/>
      <c r="G33" s="80"/>
    </row>
    <row r="34" spans="1:7" ht="15.95" customHeight="1">
      <c r="A34" s="78"/>
      <c r="B34" s="122" t="s">
        <v>22</v>
      </c>
      <c r="C34" s="122"/>
      <c r="D34" s="88"/>
      <c r="E34" s="88"/>
      <c r="F34" s="88"/>
      <c r="G34" s="88"/>
    </row>
    <row r="35" spans="1:7" ht="15.95" customHeight="1">
      <c r="A35" s="78"/>
      <c r="B35" s="122"/>
      <c r="C35" s="122"/>
      <c r="D35" s="88"/>
      <c r="E35" s="88"/>
      <c r="F35" s="88"/>
      <c r="G35" s="88"/>
    </row>
    <row r="36" spans="1:7" ht="27" customHeight="1">
      <c r="A36" s="78"/>
      <c r="B36" s="84"/>
      <c r="C36" s="78"/>
      <c r="D36" s="88"/>
      <c r="E36" s="88"/>
      <c r="F36" s="88"/>
      <c r="G36" s="88"/>
    </row>
    <row r="37" spans="1:7" ht="15.95" customHeight="1">
      <c r="A37" s="78"/>
      <c r="B37" s="89" t="s">
        <v>20</v>
      </c>
      <c r="C37" s="90" t="s">
        <v>21</v>
      </c>
      <c r="D37" s="88"/>
      <c r="E37" s="88"/>
      <c r="F37" s="88"/>
      <c r="G37" s="88"/>
    </row>
    <row r="38" spans="1:7" ht="30" customHeight="1">
      <c r="A38" s="78"/>
      <c r="B38" s="91" t="s">
        <v>4954</v>
      </c>
      <c r="C38" s="109" t="s">
        <v>4973</v>
      </c>
      <c r="D38" s="88"/>
      <c r="E38" s="88"/>
      <c r="F38" s="88"/>
      <c r="G38" s="88"/>
    </row>
    <row r="39" spans="1:7" ht="73.5" customHeight="1">
      <c r="A39" s="78"/>
      <c r="B39" s="92" t="s">
        <v>4955</v>
      </c>
      <c r="C39" s="110" t="s">
        <v>4972</v>
      </c>
      <c r="D39" s="88"/>
      <c r="E39" s="88"/>
      <c r="F39" s="88"/>
      <c r="G39" s="88"/>
    </row>
    <row r="40" spans="1:7" ht="56.25" customHeight="1">
      <c r="A40" s="78"/>
      <c r="B40" s="92" t="s">
        <v>4956</v>
      </c>
      <c r="C40" s="111" t="s">
        <v>4971</v>
      </c>
      <c r="D40" s="88"/>
      <c r="E40" s="88"/>
      <c r="F40" s="88"/>
      <c r="G40" s="88"/>
    </row>
    <row r="41" spans="1:7" ht="67.5" customHeight="1">
      <c r="A41" s="78"/>
      <c r="B41" s="92" t="s">
        <v>4957</v>
      </c>
      <c r="C41" s="111" t="s">
        <v>4970</v>
      </c>
      <c r="D41" s="88"/>
      <c r="E41" s="88"/>
      <c r="F41" s="88"/>
      <c r="G41" s="88"/>
    </row>
    <row r="42" spans="1:7" ht="74.25" customHeight="1">
      <c r="A42" s="78"/>
      <c r="B42" s="92" t="s">
        <v>4958</v>
      </c>
      <c r="C42" s="111" t="s">
        <v>4969</v>
      </c>
      <c r="D42" s="88"/>
      <c r="E42" s="88"/>
      <c r="F42" s="88"/>
      <c r="G42" s="88"/>
    </row>
    <row r="43" spans="1:7" ht="54" customHeight="1">
      <c r="A43" s="78"/>
      <c r="B43" s="92" t="s">
        <v>4959</v>
      </c>
      <c r="C43" s="111" t="s">
        <v>4968</v>
      </c>
      <c r="D43" s="88"/>
      <c r="E43" s="88"/>
      <c r="F43" s="88"/>
      <c r="G43" s="88"/>
    </row>
    <row r="44" spans="1:7" ht="53.25" customHeight="1">
      <c r="A44" s="78"/>
      <c r="B44" s="92" t="s">
        <v>4960</v>
      </c>
      <c r="C44" s="111" t="s">
        <v>4967</v>
      </c>
      <c r="D44" s="88"/>
      <c r="E44" s="88"/>
      <c r="F44" s="88"/>
      <c r="G44" s="88"/>
    </row>
    <row r="45" spans="1:7" ht="30" customHeight="1">
      <c r="A45" s="78"/>
      <c r="B45" s="92" t="s">
        <v>4961</v>
      </c>
      <c r="C45" s="111" t="s">
        <v>4966</v>
      </c>
      <c r="D45" s="88"/>
      <c r="E45" s="88"/>
      <c r="F45" s="88"/>
      <c r="G45" s="88"/>
    </row>
    <row r="46" spans="1:7" ht="72" customHeight="1">
      <c r="A46" s="78"/>
      <c r="B46" s="92" t="s">
        <v>4962</v>
      </c>
      <c r="C46" s="111" t="s">
        <v>4965</v>
      </c>
      <c r="D46" s="88"/>
      <c r="E46" s="88"/>
      <c r="F46" s="88"/>
      <c r="G46" s="88"/>
    </row>
    <row r="47" spans="1:7" ht="72" customHeight="1">
      <c r="A47" s="78"/>
      <c r="B47" s="92" t="s">
        <v>4963</v>
      </c>
      <c r="C47" s="111" t="s">
        <v>4964</v>
      </c>
      <c r="D47" s="93"/>
      <c r="E47" s="93"/>
      <c r="F47" s="93"/>
      <c r="G47" s="93"/>
    </row>
    <row r="48" spans="1:7" ht="29.25" customHeight="1">
      <c r="A48" s="78"/>
      <c r="B48" s="78"/>
      <c r="C48" s="78"/>
      <c r="D48" s="93"/>
      <c r="E48" s="93"/>
      <c r="F48" s="93"/>
      <c r="G48" s="93"/>
    </row>
    <row r="49" spans="1:7" ht="24">
      <c r="A49" s="78"/>
      <c r="B49" s="120" t="s">
        <v>7</v>
      </c>
      <c r="C49" s="120"/>
      <c r="D49" s="93"/>
      <c r="E49" s="93"/>
      <c r="F49" s="93"/>
      <c r="G49" s="93"/>
    </row>
    <row r="50" spans="1:7">
      <c r="A50" s="78"/>
      <c r="B50" s="122" t="s">
        <v>25</v>
      </c>
      <c r="C50" s="122"/>
      <c r="D50" s="93"/>
      <c r="E50" s="93"/>
      <c r="F50" s="93"/>
      <c r="G50" s="93"/>
    </row>
    <row r="51" spans="1:7">
      <c r="A51" s="78"/>
      <c r="B51" s="122"/>
      <c r="C51" s="122"/>
      <c r="D51" s="93"/>
      <c r="E51" s="93"/>
      <c r="F51" s="93"/>
      <c r="G51" s="93"/>
    </row>
    <row r="52" spans="1:7" ht="15.75" customHeight="1">
      <c r="A52" s="78"/>
      <c r="B52" s="89"/>
      <c r="C52" s="89"/>
      <c r="D52" s="93"/>
      <c r="E52" s="93"/>
      <c r="F52" s="93"/>
      <c r="G52" s="93"/>
    </row>
    <row r="53" spans="1:7">
      <c r="A53" s="78"/>
      <c r="B53" s="102" t="s">
        <v>18</v>
      </c>
      <c r="C53" s="102" t="s">
        <v>23</v>
      </c>
      <c r="D53" s="93"/>
      <c r="E53" s="93"/>
      <c r="F53" s="93"/>
      <c r="G53" s="93"/>
    </row>
    <row r="54" spans="1:7" ht="133.5" customHeight="1">
      <c r="A54" s="78"/>
      <c r="B54" s="91" t="s">
        <v>4977</v>
      </c>
      <c r="C54" s="112" t="s">
        <v>4978</v>
      </c>
      <c r="D54" s="93"/>
      <c r="E54" s="93"/>
      <c r="F54" s="93"/>
      <c r="G54" s="93"/>
    </row>
    <row r="55" spans="1:7" ht="147" customHeight="1">
      <c r="A55" s="78"/>
      <c r="B55" s="91" t="s">
        <v>4981</v>
      </c>
      <c r="C55" s="113" t="s">
        <v>4979</v>
      </c>
      <c r="D55" s="93"/>
      <c r="E55" s="93"/>
      <c r="F55" s="93"/>
      <c r="G55" s="93"/>
    </row>
    <row r="56" spans="1:7" ht="136.5" customHeight="1">
      <c r="A56" s="78"/>
      <c r="B56" s="91" t="s">
        <v>4980</v>
      </c>
      <c r="C56" s="112" t="s">
        <v>4982</v>
      </c>
      <c r="D56" s="93"/>
      <c r="E56" s="93"/>
      <c r="F56" s="93"/>
      <c r="G56" s="93"/>
    </row>
    <row r="57" spans="1:7" ht="114.75" customHeight="1">
      <c r="A57" s="78"/>
      <c r="B57" s="91" t="s">
        <v>4984</v>
      </c>
      <c r="C57" s="112" t="s">
        <v>4983</v>
      </c>
      <c r="D57" s="93"/>
      <c r="E57" s="93"/>
      <c r="F57" s="93"/>
      <c r="G57" s="93"/>
    </row>
    <row r="58" spans="1:7" ht="164.25" customHeight="1">
      <c r="A58" s="78"/>
      <c r="B58" s="91" t="s">
        <v>4985</v>
      </c>
      <c r="C58" s="112" t="s">
        <v>4986</v>
      </c>
      <c r="D58" s="93"/>
      <c r="E58" s="93"/>
      <c r="F58" s="93"/>
      <c r="G58" s="93"/>
    </row>
    <row r="59" spans="1:7" ht="149.25" customHeight="1">
      <c r="A59" s="78"/>
      <c r="B59" s="91" t="s">
        <v>4988</v>
      </c>
      <c r="C59" s="112" t="s">
        <v>4987</v>
      </c>
      <c r="D59" s="93"/>
      <c r="E59" s="93"/>
      <c r="F59" s="93"/>
      <c r="G59" s="93"/>
    </row>
    <row r="60" spans="1:7">
      <c r="A60" s="78"/>
      <c r="B60" s="86"/>
      <c r="C60" s="86"/>
      <c r="D60" s="93"/>
      <c r="E60" s="93"/>
      <c r="F60" s="93"/>
      <c r="G60" s="93"/>
    </row>
    <row r="61" spans="1:7">
      <c r="A61" s="78"/>
      <c r="B61" s="86"/>
      <c r="C61" s="86"/>
      <c r="D61" s="93"/>
      <c r="E61" s="93"/>
      <c r="F61" s="93"/>
      <c r="G61" s="93"/>
    </row>
    <row r="62" spans="1:7" ht="24">
      <c r="A62" s="78"/>
      <c r="B62" s="120" t="s">
        <v>19</v>
      </c>
      <c r="C62" s="120"/>
      <c r="D62" s="93"/>
      <c r="E62" s="93"/>
      <c r="F62" s="93"/>
      <c r="G62" s="93"/>
    </row>
    <row r="63" spans="1:7">
      <c r="A63" s="78"/>
      <c r="B63" s="122" t="s">
        <v>24</v>
      </c>
      <c r="C63" s="122"/>
      <c r="D63" s="93"/>
      <c r="E63" s="93"/>
      <c r="F63" s="93"/>
      <c r="G63" s="93"/>
    </row>
    <row r="64" spans="1:7">
      <c r="A64" s="78"/>
      <c r="B64" s="122"/>
      <c r="C64" s="122"/>
      <c r="D64" s="93"/>
      <c r="E64" s="93"/>
      <c r="F64" s="93"/>
      <c r="G64" s="93"/>
    </row>
    <row r="65" spans="1:7" ht="38.25" customHeight="1">
      <c r="A65" s="78"/>
      <c r="B65" s="124" t="s">
        <v>4989</v>
      </c>
      <c r="C65" s="125"/>
      <c r="D65" s="93"/>
      <c r="E65" s="93"/>
      <c r="F65" s="93"/>
      <c r="G65" s="93"/>
    </row>
    <row r="66" spans="1:7" ht="33" customHeight="1">
      <c r="A66" s="78"/>
      <c r="B66" s="126"/>
      <c r="C66" s="127"/>
      <c r="D66" s="93"/>
      <c r="E66" s="93"/>
      <c r="F66" s="93"/>
      <c r="G66" s="93"/>
    </row>
    <row r="67" spans="1:7">
      <c r="A67" s="78"/>
      <c r="B67" s="126"/>
      <c r="C67" s="127"/>
      <c r="D67" s="93"/>
      <c r="E67" s="93"/>
      <c r="F67" s="93"/>
      <c r="G67" s="93"/>
    </row>
    <row r="68" spans="1:7">
      <c r="A68" s="78"/>
      <c r="B68" s="126"/>
      <c r="C68" s="127"/>
      <c r="D68" s="93"/>
      <c r="E68" s="93"/>
      <c r="F68" s="93"/>
      <c r="G68" s="93"/>
    </row>
    <row r="69" spans="1:7">
      <c r="A69" s="78"/>
      <c r="B69" s="126"/>
      <c r="C69" s="127"/>
      <c r="D69" s="93"/>
      <c r="E69" s="93"/>
      <c r="F69" s="93"/>
      <c r="G69" s="93"/>
    </row>
    <row r="70" spans="1:7" ht="84" customHeight="1">
      <c r="A70" s="78"/>
      <c r="B70" s="126"/>
      <c r="C70" s="127"/>
      <c r="D70" s="93"/>
      <c r="E70" s="93"/>
      <c r="F70" s="93"/>
      <c r="G70" s="93"/>
    </row>
    <row r="71" spans="1:7">
      <c r="A71" s="78"/>
      <c r="B71" s="126"/>
      <c r="C71" s="127"/>
      <c r="D71" s="93"/>
      <c r="E71" s="93"/>
      <c r="F71" s="93"/>
      <c r="G71" s="93"/>
    </row>
    <row r="72" spans="1:7">
      <c r="A72" s="78"/>
      <c r="B72" s="126"/>
      <c r="C72" s="127"/>
      <c r="D72" s="93"/>
      <c r="E72" s="93"/>
      <c r="F72" s="93"/>
      <c r="G72" s="93"/>
    </row>
    <row r="73" spans="1:7" ht="70.5" customHeight="1">
      <c r="A73" s="78"/>
      <c r="B73" s="126"/>
      <c r="C73" s="127"/>
      <c r="D73" s="93"/>
      <c r="E73" s="93"/>
      <c r="F73" s="93"/>
      <c r="G73" s="93"/>
    </row>
    <row r="74" spans="1:7" s="96" customFormat="1" ht="81.75" customHeight="1">
      <c r="A74" s="94"/>
      <c r="B74" s="128"/>
      <c r="C74" s="129"/>
      <c r="D74" s="95"/>
      <c r="E74" s="95"/>
      <c r="F74" s="95"/>
      <c r="G74" s="95"/>
    </row>
    <row r="75" spans="1:7" s="96" customFormat="1">
      <c r="A75" s="94"/>
      <c r="B75" s="97"/>
      <c r="C75" s="97"/>
      <c r="D75" s="95"/>
      <c r="E75" s="95"/>
      <c r="F75" s="95"/>
      <c r="G75" s="95"/>
    </row>
    <row r="76" spans="1:7" ht="24">
      <c r="A76" s="78"/>
      <c r="B76" s="120" t="s">
        <v>1</v>
      </c>
      <c r="C76" s="120"/>
      <c r="D76" s="80"/>
      <c r="E76" s="80"/>
      <c r="F76" s="80"/>
      <c r="G76" s="80"/>
    </row>
    <row r="77" spans="1:7">
      <c r="A77" s="78"/>
      <c r="B77" s="122" t="s">
        <v>10</v>
      </c>
      <c r="C77" s="122"/>
      <c r="D77" s="93"/>
      <c r="E77" s="93"/>
      <c r="F77" s="93"/>
      <c r="G77" s="93"/>
    </row>
    <row r="78" spans="1:7">
      <c r="A78" s="78"/>
      <c r="B78" s="122"/>
      <c r="C78" s="122"/>
      <c r="D78" s="93"/>
      <c r="E78" s="93"/>
      <c r="F78" s="93"/>
      <c r="G78" s="93"/>
    </row>
    <row r="79" spans="1:7">
      <c r="A79" s="78"/>
      <c r="B79" s="78"/>
      <c r="C79" s="78"/>
      <c r="D79" s="93"/>
      <c r="E79" s="93"/>
      <c r="F79" s="93"/>
      <c r="G79" s="93"/>
    </row>
    <row r="80" spans="1:7" ht="15.95" customHeight="1">
      <c r="A80" s="78"/>
      <c r="B80" s="104" t="s">
        <v>3</v>
      </c>
      <c r="C80" s="123" t="s">
        <v>4990</v>
      </c>
      <c r="D80" s="93"/>
      <c r="E80" s="93"/>
      <c r="F80" s="93"/>
      <c r="G80" s="93"/>
    </row>
    <row r="81" spans="1:7" ht="126" customHeight="1">
      <c r="A81" s="78"/>
      <c r="B81" s="97"/>
      <c r="C81" s="123"/>
    </row>
    <row r="82" spans="1:7" s="96" customFormat="1">
      <c r="A82" s="94"/>
      <c r="B82" s="104" t="s">
        <v>4</v>
      </c>
      <c r="C82" s="123" t="s">
        <v>4991</v>
      </c>
      <c r="D82" s="95"/>
      <c r="E82" s="95"/>
      <c r="F82" s="95"/>
      <c r="G82" s="95"/>
    </row>
    <row r="83" spans="1:7" ht="106.5" customHeight="1">
      <c r="A83" s="78"/>
      <c r="B83" s="97"/>
      <c r="C83" s="123"/>
      <c r="D83" s="119"/>
      <c r="E83" s="119"/>
      <c r="F83" s="119"/>
      <c r="G83" s="119"/>
    </row>
    <row r="84" spans="1:7">
      <c r="A84" s="78"/>
      <c r="B84" s="104" t="s">
        <v>5</v>
      </c>
      <c r="C84" s="123" t="s">
        <v>4992</v>
      </c>
      <c r="D84" s="119"/>
      <c r="E84" s="119"/>
      <c r="F84" s="119"/>
      <c r="G84" s="119"/>
    </row>
    <row r="85" spans="1:7" ht="184.5" customHeight="1">
      <c r="A85" s="78"/>
      <c r="B85" s="98"/>
      <c r="C85" s="123"/>
    </row>
    <row r="86" spans="1:7">
      <c r="A86" s="78"/>
      <c r="B86" s="104" t="s">
        <v>6</v>
      </c>
      <c r="C86" s="123" t="s">
        <v>5022</v>
      </c>
    </row>
    <row r="87" spans="1:7" ht="114" customHeight="1">
      <c r="A87" s="78"/>
      <c r="B87" s="97"/>
      <c r="C87" s="123"/>
    </row>
    <row r="88" spans="1:7">
      <c r="A88" s="78"/>
      <c r="B88" s="78"/>
      <c r="C88" s="99"/>
    </row>
    <row r="89" spans="1:7" ht="24">
      <c r="A89" s="78"/>
      <c r="B89" s="120" t="s">
        <v>9</v>
      </c>
      <c r="C89" s="120"/>
    </row>
    <row r="90" spans="1:7">
      <c r="A90" s="78"/>
      <c r="B90" s="122" t="s">
        <v>5010</v>
      </c>
      <c r="C90" s="122"/>
    </row>
    <row r="91" spans="1:7">
      <c r="A91" s="78"/>
      <c r="B91" s="122"/>
      <c r="C91" s="122"/>
    </row>
    <row r="92" spans="1:7">
      <c r="A92" s="78"/>
      <c r="B92" s="100"/>
      <c r="C92" s="100"/>
    </row>
    <row r="93" spans="1:7">
      <c r="A93" s="78"/>
      <c r="B93" s="103" t="s">
        <v>15</v>
      </c>
      <c r="C93" s="121" t="s">
        <v>4993</v>
      </c>
    </row>
    <row r="94" spans="1:7">
      <c r="A94" s="78"/>
      <c r="B94" s="100"/>
      <c r="C94" s="121"/>
    </row>
    <row r="95" spans="1:7">
      <c r="A95" s="78"/>
      <c r="B95" s="100"/>
      <c r="C95" s="121"/>
    </row>
    <row r="96" spans="1:7">
      <c r="A96" s="78"/>
      <c r="B96" s="94"/>
      <c r="C96" s="121"/>
    </row>
    <row r="97" spans="1:3" ht="170.25" customHeight="1">
      <c r="A97" s="78"/>
      <c r="B97" s="101"/>
      <c r="C97" s="121"/>
    </row>
    <row r="100" spans="1:3" ht="15.75" customHeight="1"/>
    <row r="111" spans="1:3" ht="99" customHeight="1"/>
    <row r="133" spans="2:3">
      <c r="B133" s="93"/>
      <c r="C133" s="93"/>
    </row>
  </sheetData>
  <mergeCells count="26">
    <mergeCell ref="B2:C2"/>
    <mergeCell ref="B76:C76"/>
    <mergeCell ref="B77:C78"/>
    <mergeCell ref="B33:C33"/>
    <mergeCell ref="C80:C81"/>
    <mergeCell ref="B12:C12"/>
    <mergeCell ref="B13:C14"/>
    <mergeCell ref="B34:C35"/>
    <mergeCell ref="B3:C4"/>
    <mergeCell ref="C20:C24"/>
    <mergeCell ref="C25:C28"/>
    <mergeCell ref="C29:C31"/>
    <mergeCell ref="B50:C51"/>
    <mergeCell ref="B63:C64"/>
    <mergeCell ref="B62:C62"/>
    <mergeCell ref="C8:C10"/>
    <mergeCell ref="D83:E84"/>
    <mergeCell ref="F83:G84"/>
    <mergeCell ref="B49:C49"/>
    <mergeCell ref="C93:C97"/>
    <mergeCell ref="B89:C89"/>
    <mergeCell ref="B90:C91"/>
    <mergeCell ref="C82:C83"/>
    <mergeCell ref="C84:C85"/>
    <mergeCell ref="C86:C87"/>
    <mergeCell ref="B65:C74"/>
  </mergeCells>
  <hyperlinks>
    <hyperlink ref="C18" r:id="rId1" xr:uid="{A4091675-F8D1-48A1-8A54-83DEC3E44908}"/>
    <hyperlink ref="C17" r:id="rId2" xr:uid="{0C04321A-912A-4DA2-A66E-3E8AAE8068C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B6C58-3114-402E-B451-7CBA2F97072C}">
  <sheetPr codeName="Sheet2"/>
  <dimension ref="B1:BH104"/>
  <sheetViews>
    <sheetView zoomScaleNormal="100" workbookViewId="0"/>
  </sheetViews>
  <sheetFormatPr defaultRowHeight="15"/>
  <cols>
    <col min="1" max="1" width="3.375" style="1" customWidth="1"/>
    <col min="2" max="2" width="20.875" style="1" customWidth="1"/>
    <col min="3" max="4" width="9" style="1"/>
    <col min="5" max="5" width="5.125" style="1" customWidth="1"/>
    <col min="6" max="6" width="26.625" style="1" customWidth="1"/>
    <col min="7" max="7" width="41.375" style="1" customWidth="1"/>
    <col min="8" max="8" width="5.375" style="1" customWidth="1"/>
    <col min="9" max="9" width="20" style="1" customWidth="1"/>
    <col min="10" max="10" width="31.5" style="1" customWidth="1"/>
    <col min="11" max="11" width="3.375" style="1" customWidth="1"/>
    <col min="12" max="12" width="4.75" style="1" customWidth="1"/>
    <col min="13" max="13" width="15.625" style="1" customWidth="1"/>
    <col min="14" max="14" width="9" style="1" customWidth="1"/>
    <col min="15" max="15" width="16.375" style="1" customWidth="1"/>
    <col min="16" max="33" width="9" style="1"/>
    <col min="34" max="34" width="21" style="1" customWidth="1"/>
    <col min="35" max="35" width="16.25" style="1" customWidth="1"/>
    <col min="36" max="36" width="9" style="1"/>
    <col min="37" max="37" width="3.375" style="1" customWidth="1"/>
    <col min="38" max="38" width="17.375" style="1" customWidth="1"/>
    <col min="39" max="16384" width="9" style="1"/>
  </cols>
  <sheetData>
    <row r="1" spans="2:60" ht="12.75" customHeight="1"/>
    <row r="2" spans="2:60" ht="37.5" customHeight="1">
      <c r="B2" s="138" t="s">
        <v>4994</v>
      </c>
      <c r="C2" s="138"/>
      <c r="D2" s="138"/>
      <c r="E2" s="138"/>
      <c r="F2" s="138"/>
      <c r="G2" s="138"/>
      <c r="H2" s="138"/>
      <c r="I2" s="138"/>
      <c r="J2" s="138"/>
      <c r="K2" s="138"/>
      <c r="L2" s="2"/>
      <c r="M2" s="2"/>
      <c r="N2" s="2"/>
      <c r="O2" s="2"/>
      <c r="P2" s="2"/>
    </row>
    <row r="3" spans="2:60">
      <c r="B3" s="11"/>
      <c r="C3" s="11"/>
      <c r="D3" s="11"/>
      <c r="E3" s="3"/>
      <c r="F3" s="3"/>
      <c r="G3" s="3"/>
      <c r="H3" s="3"/>
      <c r="I3" s="3"/>
      <c r="J3" s="3"/>
      <c r="K3" s="3"/>
    </row>
    <row r="4" spans="2:60" ht="37.5" customHeight="1">
      <c r="B4" s="141" t="e" vm="1">
        <f>IFERROR(_xlfn.IMAGE(INDEX(Raw_Data[cover_url], MATCH(G4, Raw_Data[track_name], 0)), "Cover", 3, 250, 250), "No image")</f>
        <v>#VALUE!</v>
      </c>
      <c r="C4" s="142"/>
      <c r="D4" s="143"/>
      <c r="E4" s="3"/>
      <c r="F4" s="20" t="s">
        <v>4995</v>
      </c>
      <c r="G4" s="21" t="s">
        <v>1527</v>
      </c>
      <c r="H4" s="14"/>
      <c r="I4" s="136" t="s">
        <v>3384</v>
      </c>
      <c r="J4" s="136"/>
      <c r="K4" s="3"/>
      <c r="AH4" s="32" t="s">
        <v>4304</v>
      </c>
      <c r="AI4" s="133" t="s">
        <v>4930</v>
      </c>
      <c r="AJ4" s="133"/>
      <c r="AK4" s="133"/>
      <c r="AL4" s="133"/>
      <c r="AM4" s="133"/>
      <c r="AN4" s="133"/>
      <c r="AO4" s="133"/>
      <c r="BH4" s="1">
        <f>MATCH(1,{1;2;3},0)</f>
        <v>1</v>
      </c>
    </row>
    <row r="5" spans="2:60" ht="8.25" customHeight="1">
      <c r="B5" s="144"/>
      <c r="C5" s="145"/>
      <c r="D5" s="146"/>
      <c r="E5" s="3"/>
      <c r="F5" s="12"/>
      <c r="G5" s="13"/>
      <c r="H5" s="3"/>
      <c r="I5" s="3"/>
      <c r="J5" s="4"/>
      <c r="K5" s="3"/>
      <c r="AH5" s="23"/>
      <c r="AI5" s="23"/>
      <c r="AJ5" s="23"/>
      <c r="AK5" s="23"/>
      <c r="AL5" s="23"/>
      <c r="AM5" s="23"/>
      <c r="AN5" s="23"/>
      <c r="AO5" s="23"/>
    </row>
    <row r="6" spans="2:60" ht="27" customHeight="1">
      <c r="B6" s="144"/>
      <c r="C6" s="145"/>
      <c r="D6" s="146"/>
      <c r="E6" s="3"/>
      <c r="F6" s="22" t="s">
        <v>5011</v>
      </c>
      <c r="G6" s="21" t="str" cm="1">
        <f t="array" aca="1" ref="G6" ca="1">IF(G4="", "", _xlfn.LET(_xlpm.lista, _xlfn._xlws.FILTER(Raw_Data[track_name], ISNUMBER(SEARCH(G4, Raw_Data[artist_names])) + ISNUMBER(SEARCH(G4, Raw_Data[track_name])), "No results"), _xlfn.TAKE(_xlfn.SORTBY(_xlpm.lista, _xlfn.RANDARRAY(ROWS(_xlpm.lista))), 10)))</f>
        <v>Everybody Wants To Rule The World</v>
      </c>
      <c r="H6" s="3"/>
      <c r="I6" s="28" t="s">
        <v>4923</v>
      </c>
      <c r="J6" s="24" t="str">
        <f>IFERROR(INDEX(Raw_Data[artist_names], MATCH(G4, Raw_Data[track_name], 0)), "Not found")</f>
        <v>Tears For Fears</v>
      </c>
      <c r="K6" s="3"/>
      <c r="AH6" s="31"/>
      <c r="AI6" s="135" t="s">
        <v>4305</v>
      </c>
      <c r="AJ6" s="135"/>
      <c r="AK6" s="23"/>
      <c r="AL6" s="31"/>
      <c r="AM6" s="134" t="s">
        <v>4309</v>
      </c>
      <c r="AN6" s="134"/>
      <c r="AO6" s="134"/>
    </row>
    <row r="7" spans="2:60" ht="19.5">
      <c r="B7" s="144"/>
      <c r="C7" s="145"/>
      <c r="D7" s="146"/>
      <c r="E7" s="3"/>
      <c r="F7" s="3"/>
      <c r="G7" s="30"/>
      <c r="H7" s="3"/>
      <c r="I7" s="23"/>
      <c r="J7" s="24"/>
      <c r="K7" s="3"/>
      <c r="AH7" s="28" t="s">
        <v>3364</v>
      </c>
      <c r="AI7" s="135"/>
      <c r="AJ7" s="135"/>
      <c r="AK7" s="23"/>
      <c r="AL7" s="28" t="s">
        <v>3362</v>
      </c>
      <c r="AM7" s="134"/>
      <c r="AN7" s="134"/>
      <c r="AO7" s="134"/>
    </row>
    <row r="8" spans="2:60" ht="39.75" customHeight="1">
      <c r="B8" s="144"/>
      <c r="C8" s="145"/>
      <c r="D8" s="146"/>
      <c r="E8" s="3"/>
      <c r="F8" s="3"/>
      <c r="G8" s="30"/>
      <c r="H8" s="3"/>
      <c r="I8" s="28" t="s">
        <v>4924</v>
      </c>
      <c r="J8" s="24" t="str">
        <f>IFERROR(INDEX(Raw_Data[source], MATCH(G4, Raw_Data[track_name], 0)), "Not found")</f>
        <v>UMC (Universal Music Catalogue)</v>
      </c>
      <c r="K8" s="3"/>
      <c r="AH8" s="23"/>
      <c r="AI8" s="135"/>
      <c r="AJ8" s="135"/>
      <c r="AK8" s="23"/>
      <c r="AL8" s="23"/>
      <c r="AM8" s="134"/>
      <c r="AN8" s="134"/>
      <c r="AO8" s="134"/>
    </row>
    <row r="9" spans="2:60" ht="19.5">
      <c r="B9" s="144"/>
      <c r="C9" s="145"/>
      <c r="D9" s="146"/>
      <c r="E9" s="3"/>
      <c r="F9" s="3"/>
      <c r="G9" s="30"/>
      <c r="H9" s="3"/>
      <c r="I9" s="23"/>
      <c r="J9" s="24"/>
      <c r="K9" s="3"/>
      <c r="AH9" s="23"/>
      <c r="AI9" s="135"/>
      <c r="AJ9" s="135"/>
      <c r="AK9" s="23"/>
      <c r="AL9" s="23"/>
      <c r="AM9" s="134"/>
      <c r="AN9" s="134"/>
      <c r="AO9" s="134"/>
    </row>
    <row r="10" spans="2:60" ht="15.75" customHeight="1">
      <c r="B10" s="144"/>
      <c r="C10" s="145"/>
      <c r="D10" s="146"/>
      <c r="E10" s="3"/>
      <c r="F10" s="3"/>
      <c r="G10" s="30"/>
      <c r="H10" s="3"/>
      <c r="I10" s="28" t="s">
        <v>4925</v>
      </c>
      <c r="J10" s="24">
        <f>IFERROR(INDEX(Raw_Data[peak_rank], MATCH(G4, Raw_Data[track_name], 0)), "Not found")</f>
        <v>51</v>
      </c>
      <c r="K10" s="3"/>
      <c r="AH10" s="23"/>
      <c r="AI10" s="135"/>
      <c r="AJ10" s="135"/>
      <c r="AK10" s="23"/>
      <c r="AL10" s="23"/>
      <c r="AM10" s="134"/>
      <c r="AN10" s="134"/>
      <c r="AO10" s="134"/>
    </row>
    <row r="11" spans="2:60" ht="20.25" customHeight="1">
      <c r="B11" s="144"/>
      <c r="C11" s="145"/>
      <c r="D11" s="146"/>
      <c r="E11" s="3"/>
      <c r="F11" s="3"/>
      <c r="G11" s="30"/>
      <c r="H11" s="3"/>
      <c r="I11" s="23"/>
      <c r="J11" s="24"/>
      <c r="K11" s="3"/>
      <c r="AH11" s="23"/>
      <c r="AI11" s="135"/>
      <c r="AJ11" s="135"/>
      <c r="AK11" s="23"/>
      <c r="AL11" s="23"/>
      <c r="AM11" s="134"/>
      <c r="AN11" s="134"/>
      <c r="AO11" s="134"/>
    </row>
    <row r="12" spans="2:60" ht="19.5">
      <c r="B12" s="144"/>
      <c r="C12" s="145"/>
      <c r="D12" s="146"/>
      <c r="E12" s="3"/>
      <c r="F12" s="3"/>
      <c r="G12" s="30"/>
      <c r="H12" s="3"/>
      <c r="I12" s="28" t="s">
        <v>4926</v>
      </c>
      <c r="J12" s="24">
        <f>IFERROR(INDEX(Raw_Data[weeks_on_chart], MATCH(G4, Raw_Data[track_name], 0)), "Not found")</f>
        <v>167</v>
      </c>
      <c r="K12" s="3"/>
      <c r="AH12" s="23"/>
      <c r="AI12" s="23"/>
      <c r="AJ12" s="23"/>
      <c r="AK12" s="23"/>
      <c r="AL12" s="23"/>
      <c r="AM12" s="23"/>
      <c r="AN12" s="23"/>
      <c r="AO12" s="23"/>
    </row>
    <row r="13" spans="2:60" ht="19.5">
      <c r="B13" s="144"/>
      <c r="C13" s="145"/>
      <c r="D13" s="146"/>
      <c r="E13" s="3"/>
      <c r="F13" s="3"/>
      <c r="G13" s="30"/>
      <c r="H13" s="3"/>
      <c r="I13" s="23"/>
      <c r="J13" s="24"/>
      <c r="K13" s="3"/>
      <c r="L13" s="5"/>
      <c r="AH13" s="28" t="s">
        <v>3363</v>
      </c>
      <c r="AI13" s="132" t="s">
        <v>4306</v>
      </c>
      <c r="AJ13" s="132"/>
      <c r="AK13" s="23"/>
      <c r="AL13" s="28" t="s">
        <v>3360</v>
      </c>
      <c r="AM13" s="132" t="s">
        <v>4310</v>
      </c>
      <c r="AN13" s="132"/>
      <c r="AO13" s="132"/>
    </row>
    <row r="14" spans="2:60" ht="19.5">
      <c r="B14" s="15"/>
      <c r="C14" s="11"/>
      <c r="D14" s="16"/>
      <c r="E14" s="3"/>
      <c r="F14" s="3"/>
      <c r="G14" s="30"/>
      <c r="H14" s="3"/>
      <c r="I14" s="28" t="s">
        <v>4927</v>
      </c>
      <c r="J14" s="26">
        <f>IFERROR(INDEX(Raw_Data[release_date], MATCH(G4, Raw_Data[track_name], 0)), "Not found")</f>
        <v>31128</v>
      </c>
      <c r="K14" s="3"/>
      <c r="L14" s="6"/>
      <c r="AH14" s="23"/>
      <c r="AI14" s="132"/>
      <c r="AJ14" s="132"/>
      <c r="AK14" s="23"/>
      <c r="AL14" s="23"/>
      <c r="AM14" s="132"/>
      <c r="AN14" s="132"/>
      <c r="AO14" s="132"/>
    </row>
    <row r="15" spans="2:60" ht="12.75" customHeight="1">
      <c r="B15" s="17"/>
      <c r="C15" s="18"/>
      <c r="D15" s="19"/>
      <c r="E15" s="3"/>
      <c r="F15" s="3"/>
      <c r="G15" s="30"/>
      <c r="H15" s="3"/>
      <c r="I15" s="23"/>
      <c r="J15" s="24"/>
      <c r="K15" s="3"/>
      <c r="AH15" s="23"/>
      <c r="AI15" s="132"/>
      <c r="AJ15" s="132"/>
      <c r="AK15" s="23"/>
      <c r="AL15" s="23"/>
      <c r="AM15" s="132"/>
      <c r="AN15" s="132"/>
      <c r="AO15" s="132"/>
    </row>
    <row r="16" spans="2:60" ht="55.5" customHeight="1">
      <c r="B16" s="147" t="str">
        <f>HYPERLINK("https://open.spotify.com/track/" &amp; SUBSTITUTE(INDEX(Raw_Data[uri], MATCH(G4, Raw_Data[track_name], 0)), "spotify:track:", ""), "▶ Listen on Spotify")</f>
        <v>▶ Listen on Spotify</v>
      </c>
      <c r="C16" s="148"/>
      <c r="D16" s="149"/>
      <c r="E16" s="3"/>
      <c r="F16" s="3"/>
      <c r="G16" s="3"/>
      <c r="H16" s="3"/>
      <c r="I16" s="28" t="s">
        <v>4928</v>
      </c>
      <c r="J16" s="24" t="str">
        <f>IFERROR(INDEX(Raw_Data[genre], MATCH(G4, Raw_Data[track_name], 0)), "Not found")</f>
        <v>Pop Rock</v>
      </c>
      <c r="K16" s="3"/>
      <c r="AH16" s="23"/>
      <c r="AI16" s="132"/>
      <c r="AJ16" s="132"/>
      <c r="AK16" s="23"/>
      <c r="AL16" s="23"/>
      <c r="AM16" s="132"/>
      <c r="AN16" s="132"/>
      <c r="AO16" s="132"/>
    </row>
    <row r="17" spans="2:41" ht="20.25">
      <c r="B17" s="3"/>
      <c r="C17" s="3"/>
      <c r="D17" s="3"/>
      <c r="E17" s="3"/>
      <c r="F17" s="140" t="s">
        <v>4922</v>
      </c>
      <c r="G17" s="140"/>
      <c r="H17" s="3"/>
      <c r="I17" s="23"/>
      <c r="J17" s="24"/>
      <c r="K17" s="3"/>
      <c r="AH17" s="23"/>
      <c r="AI17" s="132"/>
      <c r="AJ17" s="132"/>
      <c r="AK17" s="23"/>
      <c r="AL17" s="23"/>
      <c r="AM17" s="132"/>
      <c r="AN17" s="132"/>
      <c r="AO17" s="132"/>
    </row>
    <row r="18" spans="2:41" ht="15.75" customHeight="1">
      <c r="B18" s="3"/>
      <c r="C18" s="3"/>
      <c r="D18" s="3"/>
      <c r="E18" s="3"/>
      <c r="F18" s="139" t="s">
        <v>4920</v>
      </c>
      <c r="G18" s="139"/>
      <c r="H18" s="3"/>
      <c r="I18" s="28" t="s">
        <v>4396</v>
      </c>
      <c r="J18" s="24" t="b">
        <f>IFERROR(INDEX(Raw_Data[explicit], MATCH(G4, Raw_Data[track_name], 0)), "Not found")</f>
        <v>0</v>
      </c>
      <c r="K18" s="3"/>
      <c r="AH18" s="28" t="s">
        <v>3357</v>
      </c>
      <c r="AI18" s="134" t="s">
        <v>4307</v>
      </c>
      <c r="AJ18" s="134"/>
      <c r="AK18" s="23"/>
      <c r="AL18" s="28" t="s">
        <v>3361</v>
      </c>
      <c r="AM18" s="134" t="s">
        <v>4311</v>
      </c>
      <c r="AN18" s="134"/>
      <c r="AO18" s="134"/>
    </row>
    <row r="19" spans="2:41" ht="36" customHeight="1">
      <c r="B19" s="3"/>
      <c r="C19" s="3"/>
      <c r="D19" s="3"/>
      <c r="E19" s="7"/>
      <c r="F19" s="139"/>
      <c r="G19" s="139"/>
      <c r="H19" s="3"/>
      <c r="I19" s="23"/>
      <c r="J19" s="23"/>
      <c r="K19" s="3"/>
      <c r="AH19" s="23"/>
      <c r="AI19" s="134"/>
      <c r="AJ19" s="134"/>
      <c r="AK19" s="23"/>
      <c r="AL19" s="23"/>
      <c r="AM19" s="134"/>
      <c r="AN19" s="134"/>
      <c r="AO19" s="134"/>
    </row>
    <row r="20" spans="2:41" ht="15" hidden="1" customHeight="1">
      <c r="B20" s="3"/>
      <c r="C20" s="3"/>
      <c r="D20" s="3"/>
      <c r="E20" s="7"/>
      <c r="F20" s="139"/>
      <c r="G20" s="139"/>
      <c r="H20" s="3"/>
      <c r="I20" s="23"/>
      <c r="J20" s="23"/>
      <c r="K20" s="3"/>
      <c r="AH20" s="23"/>
      <c r="AI20" s="134"/>
      <c r="AJ20" s="134"/>
      <c r="AK20" s="23"/>
      <c r="AL20" s="23"/>
      <c r="AM20" s="134"/>
      <c r="AN20" s="134"/>
      <c r="AO20" s="134"/>
    </row>
    <row r="21" spans="2:41" ht="18.75">
      <c r="B21" s="3"/>
      <c r="C21" s="3"/>
      <c r="D21" s="3"/>
      <c r="E21" s="7"/>
      <c r="F21" s="139"/>
      <c r="G21" s="139"/>
      <c r="H21" s="3"/>
      <c r="I21" s="28" t="s">
        <v>4998</v>
      </c>
      <c r="J21" s="24">
        <f>IFERROR(INDEX(Raw_Data[tempo], MATCH(G4, Raw_Data[track_name], 0)), "Not found")</f>
        <v>112</v>
      </c>
      <c r="K21" s="3"/>
      <c r="AH21" s="23"/>
      <c r="AI21" s="134"/>
      <c r="AJ21" s="134"/>
      <c r="AK21" s="23"/>
      <c r="AL21" s="23"/>
      <c r="AM21" s="134"/>
      <c r="AN21" s="134"/>
      <c r="AO21" s="134"/>
    </row>
    <row r="22" spans="2:41" ht="18.75">
      <c r="B22" s="3"/>
      <c r="C22" s="3"/>
      <c r="D22" s="3"/>
      <c r="E22" s="7"/>
      <c r="F22" s="139"/>
      <c r="G22" s="139"/>
      <c r="H22" s="3"/>
      <c r="I22" s="23"/>
      <c r="J22" s="23"/>
      <c r="K22" s="3"/>
      <c r="AH22" s="23"/>
      <c r="AI22" s="134"/>
      <c r="AJ22" s="134"/>
      <c r="AK22" s="23"/>
      <c r="AL22" s="23"/>
      <c r="AM22" s="134"/>
      <c r="AN22" s="134"/>
      <c r="AO22" s="134"/>
    </row>
    <row r="23" spans="2:41" ht="18.75">
      <c r="B23" s="3"/>
      <c r="C23" s="3"/>
      <c r="D23" s="3"/>
      <c r="F23" s="139"/>
      <c r="G23" s="139"/>
      <c r="H23" s="3"/>
      <c r="I23" s="28" t="s">
        <v>4929</v>
      </c>
      <c r="J23" s="27">
        <f>IFERROR(INDEX(Raw_Data[duration], MATCH(G4, Raw_Data[track_name], 0)), "Not found")</f>
        <v>0.17430555555555555</v>
      </c>
      <c r="K23" s="3"/>
      <c r="AH23" s="23"/>
      <c r="AI23" s="134"/>
      <c r="AJ23" s="134"/>
      <c r="AK23" s="23"/>
      <c r="AL23" s="23"/>
      <c r="AM23" s="134"/>
      <c r="AN23" s="134"/>
      <c r="AO23" s="134"/>
    </row>
    <row r="24" spans="2:41" ht="21.75" customHeight="1">
      <c r="B24" s="3"/>
      <c r="C24" s="3"/>
      <c r="D24" s="3"/>
      <c r="E24" s="3"/>
      <c r="F24" s="3"/>
      <c r="G24" s="3"/>
      <c r="H24" s="3"/>
      <c r="I24" s="3"/>
      <c r="J24" s="3"/>
      <c r="K24" s="3"/>
      <c r="AH24" s="23"/>
      <c r="AI24" s="23"/>
      <c r="AJ24" s="23"/>
      <c r="AK24" s="23"/>
      <c r="AL24" s="23"/>
      <c r="AM24" s="23"/>
      <c r="AN24" s="23"/>
      <c r="AO24" s="23"/>
    </row>
    <row r="25" spans="2:41" ht="40.5" customHeight="1">
      <c r="B25" s="3"/>
      <c r="C25" s="3"/>
      <c r="D25" s="3"/>
      <c r="E25" s="3"/>
      <c r="F25" s="3"/>
      <c r="G25" s="3"/>
      <c r="H25" s="3"/>
      <c r="I25" s="136" t="s">
        <v>4997</v>
      </c>
      <c r="J25" s="136"/>
      <c r="K25" s="3"/>
      <c r="AH25" s="33" t="s">
        <v>3356</v>
      </c>
      <c r="AI25" s="132" t="s">
        <v>4308</v>
      </c>
      <c r="AJ25" s="132"/>
      <c r="AK25" s="23"/>
      <c r="AL25" s="34" t="s">
        <v>3358</v>
      </c>
      <c r="AM25" s="132" t="s">
        <v>4312</v>
      </c>
      <c r="AN25" s="132"/>
      <c r="AO25" s="132"/>
    </row>
    <row r="26" spans="2:41" ht="18.75">
      <c r="B26" s="3"/>
      <c r="C26" s="3"/>
      <c r="D26" s="3"/>
      <c r="E26" s="3"/>
      <c r="F26" s="3"/>
      <c r="G26" s="3"/>
      <c r="H26" s="3"/>
      <c r="I26" s="3"/>
      <c r="J26" s="3"/>
      <c r="K26" s="3"/>
      <c r="AH26" s="23"/>
      <c r="AI26" s="132"/>
      <c r="AJ26" s="132"/>
      <c r="AK26" s="23"/>
      <c r="AL26" s="23"/>
      <c r="AM26" s="132"/>
      <c r="AN26" s="132"/>
      <c r="AO26" s="132"/>
    </row>
    <row r="27" spans="2:41" ht="18.75">
      <c r="B27" s="3"/>
      <c r="C27" s="3"/>
      <c r="D27" s="3"/>
      <c r="E27" s="3"/>
      <c r="F27" s="3"/>
      <c r="G27" s="3"/>
      <c r="H27" s="3"/>
      <c r="I27" s="28" t="s">
        <v>4297</v>
      </c>
      <c r="J27" s="24">
        <f>IFERROR(INDEX(Raw_Data[danceability], MATCH(G4, Raw_Data[track_name], 0)), "Not found")</f>
        <v>64</v>
      </c>
      <c r="K27" s="3"/>
      <c r="AH27" s="23"/>
      <c r="AI27" s="132"/>
      <c r="AJ27" s="132"/>
      <c r="AK27" s="23"/>
      <c r="AL27" s="23"/>
      <c r="AM27" s="132"/>
      <c r="AN27" s="132"/>
      <c r="AO27" s="132"/>
    </row>
    <row r="28" spans="2:41" ht="18.75">
      <c r="B28" s="3"/>
      <c r="C28" s="3"/>
      <c r="D28" s="3"/>
      <c r="E28" s="3"/>
      <c r="F28" s="3"/>
      <c r="G28" s="3"/>
      <c r="H28" s="3"/>
      <c r="I28" s="29"/>
      <c r="J28" s="24"/>
      <c r="K28" s="3"/>
      <c r="AI28" s="8"/>
      <c r="AJ28" s="8"/>
      <c r="AM28" s="8"/>
      <c r="AN28" s="8"/>
      <c r="AO28" s="8"/>
    </row>
    <row r="29" spans="2:41" ht="18.75">
      <c r="B29" s="3"/>
      <c r="C29" s="3"/>
      <c r="D29" s="3"/>
      <c r="E29" s="3"/>
      <c r="F29" s="3"/>
      <c r="G29" s="3"/>
      <c r="H29" s="3"/>
      <c r="I29" s="29" t="s">
        <v>4298</v>
      </c>
      <c r="J29" s="24">
        <f>IFERROR(INDEX(Raw_Data[energy], MATCH(G4, Raw_Data[track_name], 0)), "Not found")</f>
        <v>80</v>
      </c>
      <c r="K29" s="3"/>
      <c r="AM29" s="8"/>
      <c r="AN29" s="8"/>
      <c r="AO29" s="8"/>
    </row>
    <row r="30" spans="2:41" ht="18.75">
      <c r="B30" s="3"/>
      <c r="C30" s="3"/>
      <c r="D30" s="3"/>
      <c r="E30" s="3"/>
      <c r="F30" s="3"/>
      <c r="G30" s="3"/>
      <c r="H30" s="3"/>
      <c r="I30" s="25"/>
      <c r="J30" s="24"/>
      <c r="K30" s="3"/>
    </row>
    <row r="31" spans="2:41" ht="18.75">
      <c r="B31" s="3"/>
      <c r="C31" s="3"/>
      <c r="D31" s="3"/>
      <c r="E31" s="3"/>
      <c r="F31" s="3"/>
      <c r="G31" s="3"/>
      <c r="H31" s="3"/>
      <c r="I31" s="29" t="s">
        <v>4299</v>
      </c>
      <c r="J31" s="24">
        <f>IFERROR(INDEX(Raw_Data[valence], MATCH(G4, Raw_Data[track_name], 0)), "Not found")</f>
        <v>54</v>
      </c>
      <c r="K31" s="3"/>
    </row>
    <row r="32" spans="2:41" ht="18.75">
      <c r="B32" s="3"/>
      <c r="C32" s="3"/>
      <c r="D32" s="3"/>
      <c r="E32" s="3"/>
      <c r="F32" s="3"/>
      <c r="G32" s="3"/>
      <c r="H32" s="3"/>
      <c r="I32" s="25"/>
      <c r="J32" s="24"/>
      <c r="K32" s="3"/>
    </row>
    <row r="33" spans="2:11" ht="18.75">
      <c r="B33" s="3"/>
      <c r="C33" s="3"/>
      <c r="D33" s="3"/>
      <c r="E33" s="3"/>
      <c r="F33" s="3"/>
      <c r="G33" s="3"/>
      <c r="H33" s="3"/>
      <c r="I33" s="29" t="s">
        <v>4996</v>
      </c>
      <c r="J33" s="24">
        <f>IFERROR(INDEX(Raw_Data[instrumentalness], MATCH(G4, Raw_Data[track_name], 0)), "Not found")</f>
        <v>0</v>
      </c>
      <c r="K33" s="3"/>
    </row>
    <row r="34" spans="2:11" ht="18.75">
      <c r="B34" s="3"/>
      <c r="C34" s="3"/>
      <c r="D34" s="3"/>
      <c r="E34" s="3"/>
      <c r="F34" s="3"/>
      <c r="G34" s="3"/>
      <c r="H34" s="3"/>
      <c r="I34" s="23"/>
      <c r="J34" s="24"/>
      <c r="K34" s="3"/>
    </row>
    <row r="35" spans="2:11" ht="18.75">
      <c r="B35" s="3"/>
      <c r="C35" s="3"/>
      <c r="D35" s="3"/>
      <c r="E35" s="3"/>
      <c r="F35" s="3"/>
      <c r="G35" s="3"/>
      <c r="H35" s="3"/>
      <c r="I35" s="29" t="s">
        <v>4300</v>
      </c>
      <c r="J35" s="24">
        <f>IFERROR(INDEX(Raw_Data[loudness], MATCH(G4, Raw_Data[track_name], 0)), "Not found")</f>
        <v>80</v>
      </c>
      <c r="K35" s="3"/>
    </row>
    <row r="36" spans="2:11" ht="18.75">
      <c r="B36" s="3"/>
      <c r="C36" s="3"/>
      <c r="D36" s="3"/>
      <c r="E36" s="3"/>
      <c r="F36" s="3"/>
      <c r="G36" s="3"/>
      <c r="H36" s="3"/>
      <c r="I36" s="25"/>
      <c r="J36" s="24"/>
      <c r="K36" s="3"/>
    </row>
    <row r="37" spans="2:11" ht="18.75">
      <c r="B37" s="3"/>
      <c r="C37" s="3"/>
      <c r="D37" s="3"/>
      <c r="E37" s="3"/>
      <c r="F37" s="3"/>
      <c r="G37" s="3"/>
      <c r="H37" s="3"/>
      <c r="I37" s="29" t="s">
        <v>4301</v>
      </c>
      <c r="J37" s="24">
        <f>IFERROR(INDEX(Raw_Data[acousticness], MATCH(G4, Raw_Data[track_name], 0)), "Not found")</f>
        <v>35</v>
      </c>
      <c r="K37" s="3"/>
    </row>
    <row r="38" spans="2:11" ht="18.75">
      <c r="B38" s="3"/>
      <c r="C38" s="3"/>
      <c r="D38" s="3"/>
      <c r="E38" s="3"/>
      <c r="F38" s="3"/>
      <c r="G38" s="3"/>
      <c r="H38" s="3"/>
      <c r="I38" s="23"/>
      <c r="J38" s="24"/>
      <c r="K38" s="3"/>
    </row>
    <row r="39" spans="2:11" ht="18.75">
      <c r="B39" s="3"/>
      <c r="C39" s="3"/>
      <c r="D39" s="3"/>
      <c r="E39" s="3"/>
      <c r="F39" s="3"/>
      <c r="G39" s="3"/>
      <c r="H39" s="3"/>
      <c r="I39" s="28" t="s">
        <v>4302</v>
      </c>
      <c r="J39" s="24">
        <f>IFERROR(INDEX(Raw_Data[liveness], MATCH(G4, Raw_Data[track_name], 0)), "Not found")</f>
        <v>10</v>
      </c>
      <c r="K39" s="3"/>
    </row>
    <row r="40" spans="2:11" ht="18.75">
      <c r="B40" s="3"/>
      <c r="C40" s="3"/>
      <c r="D40" s="3"/>
      <c r="E40" s="3"/>
      <c r="F40" s="3"/>
      <c r="G40" s="3"/>
      <c r="H40" s="3"/>
      <c r="I40" s="23"/>
      <c r="J40" s="24"/>
      <c r="K40" s="3"/>
    </row>
    <row r="41" spans="2:11" ht="18.75">
      <c r="B41" s="3"/>
      <c r="C41" s="3"/>
      <c r="D41" s="3"/>
      <c r="E41" s="3"/>
      <c r="F41" s="3"/>
      <c r="G41" s="3"/>
      <c r="H41" s="3"/>
      <c r="I41" s="28" t="s">
        <v>4303</v>
      </c>
      <c r="J41" s="24">
        <f>IFERROR(INDEX(Raw_Data[speechiness], MATCH(G4, Raw_Data[track_name], 0)), "Not found")</f>
        <v>5</v>
      </c>
      <c r="K41" s="3"/>
    </row>
    <row r="42" spans="2:11">
      <c r="B42" s="3"/>
      <c r="C42" s="3"/>
      <c r="D42" s="3"/>
      <c r="E42" s="3"/>
      <c r="F42" s="3"/>
      <c r="G42" s="3"/>
      <c r="H42" s="3"/>
      <c r="I42" s="3"/>
      <c r="J42" s="3"/>
      <c r="K42" s="3"/>
    </row>
    <row r="43" spans="2:11" ht="15.75" customHeight="1">
      <c r="B43" s="3"/>
      <c r="C43" s="3"/>
      <c r="D43" s="3"/>
      <c r="E43" s="3"/>
      <c r="F43" s="3"/>
      <c r="G43" s="3"/>
      <c r="H43" s="3"/>
      <c r="I43" s="137" t="s">
        <v>4999</v>
      </c>
      <c r="J43" s="137"/>
      <c r="K43" s="3"/>
    </row>
    <row r="95" spans="2:5">
      <c r="B95" s="9" t="s">
        <v>4884</v>
      </c>
      <c r="C95" s="9" t="s">
        <v>4919</v>
      </c>
      <c r="D95" s="9" t="s">
        <v>4921</v>
      </c>
      <c r="E95" s="9"/>
    </row>
    <row r="96" spans="2:5">
      <c r="B96" s="9" t="s">
        <v>4888</v>
      </c>
      <c r="C96" s="1">
        <f>IFERROR(INDEX(Raw_Data[danceability], MATCH($G$4, Raw_Data[track_name], 0)), 0)</f>
        <v>64</v>
      </c>
      <c r="D96" s="10">
        <f>IFERROR(AVERAGEIFS(Raw_Data[danceability], Raw_Data[genre], $C$104), 0)</f>
        <v>65.285714285714292</v>
      </c>
      <c r="E96" s="10"/>
    </row>
    <row r="97" spans="2:5">
      <c r="B97" s="9" t="s">
        <v>4889</v>
      </c>
      <c r="C97" s="1">
        <f>IFERROR(INDEX(Raw_Data[energy], MATCH($G$4, Raw_Data[track_name], 0)), 0)</f>
        <v>80</v>
      </c>
      <c r="D97" s="10">
        <f>IFERROR(AVERAGEIFS(Raw_Data[energy], Raw_Data[genre], $C$104), 0)</f>
        <v>55.428571428571431</v>
      </c>
      <c r="E97" s="10"/>
    </row>
    <row r="98" spans="2:5">
      <c r="B98" s="9" t="s">
        <v>4890</v>
      </c>
      <c r="C98" s="1">
        <f>IFERROR(INDEX(Raw_Data[loudness], MATCH($G$4, Raw_Data[track_name], 0)), 0)</f>
        <v>80</v>
      </c>
      <c r="D98" s="10">
        <f>IFERROR(AVERAGEIFS(Raw_Data[loudness], Raw_Data[genre], $C$104), 0)</f>
        <v>82.285714285714292</v>
      </c>
      <c r="E98" s="10"/>
    </row>
    <row r="99" spans="2:5">
      <c r="B99" s="9" t="s">
        <v>4894</v>
      </c>
      <c r="C99" s="1">
        <f>IFERROR(INDEX(Raw_Data[liveness], MATCH($G$4, Raw_Data[track_name], 0)), 0)</f>
        <v>10</v>
      </c>
      <c r="D99" s="10">
        <f>IFERROR(AVERAGEIFS(Raw_Data[liveness], Raw_Data[genre], $C$104), 0)</f>
        <v>11</v>
      </c>
      <c r="E99" s="10"/>
    </row>
    <row r="100" spans="2:5">
      <c r="B100" s="9" t="s">
        <v>4892</v>
      </c>
      <c r="C100" s="1">
        <f>IFERROR(INDEX(Raw_Data[acousticness], MATCH($G$4, Raw_Data[track_name], 0)), 0)</f>
        <v>35</v>
      </c>
      <c r="D100" s="10">
        <f>IFERROR(AVERAGEIFS(Raw_Data[acousticness], Raw_Data[genre], $C$104), 0)</f>
        <v>37.714285714285715</v>
      </c>
      <c r="E100" s="10"/>
    </row>
    <row r="101" spans="2:5">
      <c r="B101" s="9" t="s">
        <v>4918</v>
      </c>
      <c r="C101" s="1">
        <f>IFERROR(INDEX(Raw_Data[instrumentalness], MATCH($G$4, Raw_Data[track_name], 0)), 0)</f>
        <v>0</v>
      </c>
      <c r="D101" s="10">
        <f>IFERROR(AVERAGEIFS(Raw_Data[instrumentalness], Raw_Data[genre], $C$104), 0)</f>
        <v>0.14285714285714285</v>
      </c>
      <c r="E101" s="10"/>
    </row>
    <row r="102" spans="2:5">
      <c r="B102" s="9" t="s">
        <v>4891</v>
      </c>
      <c r="C102" s="1">
        <f>IFERROR(INDEX(Raw_Data[speechiness], MATCH($G$4, Raw_Data[track_name], 0)), 0)</f>
        <v>5</v>
      </c>
      <c r="D102" s="10">
        <f>IFERROR(AVERAGEIFS(Raw_Data[speechiness], Raw_Data[genre], $C$104), 0)</f>
        <v>3.8571428571428572</v>
      </c>
      <c r="E102" s="10"/>
    </row>
    <row r="104" spans="2:5">
      <c r="B104" s="9" t="s">
        <v>3374</v>
      </c>
      <c r="C104" s="1" t="str">
        <f>IFERROR(INDEX(Raw_Data[genre], MATCH($G$4, Raw_Data[track_name], 0)), "")</f>
        <v>Pop Rock</v>
      </c>
    </row>
  </sheetData>
  <mergeCells count="17">
    <mergeCell ref="I4:J4"/>
    <mergeCell ref="I43:J43"/>
    <mergeCell ref="B2:K2"/>
    <mergeCell ref="F18:G23"/>
    <mergeCell ref="F17:G17"/>
    <mergeCell ref="I25:J25"/>
    <mergeCell ref="B4:D13"/>
    <mergeCell ref="B16:D16"/>
    <mergeCell ref="AI25:AJ27"/>
    <mergeCell ref="AI4:AO4"/>
    <mergeCell ref="AM6:AO11"/>
    <mergeCell ref="AM13:AO17"/>
    <mergeCell ref="AM18:AO23"/>
    <mergeCell ref="AM25:AO27"/>
    <mergeCell ref="AI6:AJ11"/>
    <mergeCell ref="AI13:AJ17"/>
    <mergeCell ref="AI18:AJ23"/>
  </mergeCells>
  <hyperlinks>
    <hyperlink ref="I43:J43" location="'Song Dashboard'!AV3" display="SEE WHAT EACH FEATURE MEANS" xr:uid="{51424BA1-D226-4F76-B421-5E3E933872C1}"/>
  </hyperlinks>
  <pageMargins left="0.7" right="0.7" top="0.75" bottom="0.75" header="0.3" footer="0.3"/>
  <pageSetup paperSize="12"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81BE00-DEE2-4C24-9D5B-74D69759ED4C}">
  <sheetPr codeName="Sheet4"/>
  <dimension ref="B2:S67"/>
  <sheetViews>
    <sheetView zoomScaleNormal="100" workbookViewId="0"/>
  </sheetViews>
  <sheetFormatPr defaultRowHeight="15.75"/>
  <cols>
    <col min="1" max="1" width="4.75" style="114" customWidth="1"/>
    <col min="2" max="8" width="9" style="114"/>
    <col min="9" max="9" width="9" style="114" customWidth="1"/>
    <col min="10" max="10" width="9" style="114"/>
    <col min="11" max="11" width="4.75" style="114" customWidth="1"/>
    <col min="12" max="16384" width="9" style="114"/>
  </cols>
  <sheetData>
    <row r="2" spans="2:12">
      <c r="B2" s="114">
        <v>1</v>
      </c>
      <c r="L2" s="114">
        <v>2</v>
      </c>
    </row>
    <row r="20" spans="2:19" ht="15.75" customHeight="1">
      <c r="B20" s="150" t="s">
        <v>5012</v>
      </c>
      <c r="C20" s="150"/>
      <c r="D20" s="150"/>
      <c r="E20" s="150"/>
      <c r="F20" s="150"/>
      <c r="G20" s="150"/>
      <c r="H20" s="150"/>
      <c r="I20" s="150"/>
      <c r="L20" s="150" t="s">
        <v>5013</v>
      </c>
      <c r="M20" s="150"/>
      <c r="N20" s="150"/>
      <c r="O20" s="150"/>
      <c r="P20" s="150"/>
      <c r="Q20" s="150"/>
      <c r="R20" s="150"/>
      <c r="S20" s="150"/>
    </row>
    <row r="21" spans="2:19" ht="15.75" customHeight="1">
      <c r="B21" s="150"/>
      <c r="C21" s="150"/>
      <c r="D21" s="150"/>
      <c r="E21" s="150"/>
      <c r="F21" s="150"/>
      <c r="G21" s="150"/>
      <c r="H21" s="150"/>
      <c r="I21" s="150"/>
      <c r="L21" s="150"/>
      <c r="M21" s="150"/>
      <c r="N21" s="150"/>
      <c r="O21" s="150"/>
      <c r="P21" s="150"/>
      <c r="Q21" s="150"/>
      <c r="R21" s="150"/>
      <c r="S21" s="150"/>
    </row>
    <row r="22" spans="2:19" ht="18.75" customHeight="1">
      <c r="B22" s="150"/>
      <c r="C22" s="150"/>
      <c r="D22" s="150"/>
      <c r="E22" s="150"/>
      <c r="F22" s="150"/>
      <c r="G22" s="150"/>
      <c r="H22" s="150"/>
      <c r="I22" s="150"/>
      <c r="L22" s="150"/>
      <c r="M22" s="150"/>
      <c r="N22" s="150"/>
      <c r="O22" s="150"/>
      <c r="P22" s="150"/>
      <c r="Q22" s="150"/>
      <c r="R22" s="150"/>
      <c r="S22" s="150"/>
    </row>
    <row r="23" spans="2:19" ht="19.5">
      <c r="B23" s="116">
        <v>3</v>
      </c>
      <c r="C23" s="116"/>
      <c r="D23" s="116"/>
      <c r="E23" s="116"/>
      <c r="F23" s="116"/>
      <c r="G23" s="116"/>
      <c r="H23" s="116"/>
      <c r="I23" s="116"/>
      <c r="J23" s="116"/>
      <c r="K23" s="116"/>
      <c r="L23" s="117">
        <v>4</v>
      </c>
      <c r="M23" s="117"/>
      <c r="N23" s="117"/>
      <c r="O23" s="117"/>
      <c r="P23" s="117"/>
      <c r="Q23" s="117"/>
      <c r="R23" s="117"/>
      <c r="S23" s="117"/>
    </row>
    <row r="42" spans="2:19" ht="15.75" customHeight="1">
      <c r="B42" s="150" t="s">
        <v>5014</v>
      </c>
      <c r="C42" s="150"/>
      <c r="D42" s="150"/>
      <c r="E42" s="150"/>
      <c r="F42" s="150"/>
      <c r="G42" s="150"/>
      <c r="H42" s="150"/>
      <c r="I42" s="150"/>
      <c r="L42" s="150" t="s">
        <v>5015</v>
      </c>
      <c r="M42" s="150"/>
      <c r="N42" s="150"/>
      <c r="O42" s="150"/>
      <c r="P42" s="150"/>
      <c r="Q42" s="150"/>
      <c r="R42" s="150"/>
      <c r="S42" s="150"/>
    </row>
    <row r="43" spans="2:19" ht="15.75" customHeight="1">
      <c r="B43" s="150"/>
      <c r="C43" s="150"/>
      <c r="D43" s="150"/>
      <c r="E43" s="150"/>
      <c r="F43" s="150"/>
      <c r="G43" s="150"/>
      <c r="H43" s="150"/>
      <c r="I43" s="150"/>
      <c r="L43" s="150"/>
      <c r="M43" s="150"/>
      <c r="N43" s="150"/>
      <c r="O43" s="150"/>
      <c r="P43" s="150"/>
      <c r="Q43" s="150"/>
      <c r="R43" s="150"/>
      <c r="S43" s="150"/>
    </row>
    <row r="44" spans="2:19" ht="15.75" customHeight="1">
      <c r="B44" s="150"/>
      <c r="C44" s="150"/>
      <c r="D44" s="150"/>
      <c r="E44" s="150"/>
      <c r="F44" s="150"/>
      <c r="G44" s="150"/>
      <c r="H44" s="150"/>
      <c r="I44" s="150"/>
      <c r="L44" s="150"/>
      <c r="M44" s="150"/>
      <c r="N44" s="150"/>
      <c r="O44" s="150"/>
      <c r="P44" s="150"/>
      <c r="Q44" s="150"/>
      <c r="R44" s="150"/>
      <c r="S44" s="150"/>
    </row>
    <row r="45" spans="2:19" ht="15.75" customHeight="1">
      <c r="B45" s="150"/>
      <c r="C45" s="150"/>
      <c r="D45" s="150"/>
      <c r="E45" s="150"/>
      <c r="F45" s="150"/>
      <c r="G45" s="150"/>
      <c r="H45" s="150"/>
      <c r="I45" s="150"/>
      <c r="L45" s="150"/>
      <c r="M45" s="150"/>
      <c r="N45" s="150"/>
      <c r="O45" s="150"/>
      <c r="P45" s="150"/>
      <c r="Q45" s="150"/>
      <c r="R45" s="150"/>
      <c r="S45" s="150"/>
    </row>
    <row r="46" spans="2:19" ht="15.75" customHeight="1">
      <c r="B46" s="118"/>
      <c r="C46" s="118"/>
      <c r="D46" s="118"/>
      <c r="E46" s="118"/>
      <c r="F46" s="118"/>
      <c r="G46" s="118"/>
      <c r="H46" s="118"/>
      <c r="I46" s="118"/>
      <c r="L46" s="118"/>
      <c r="M46" s="118"/>
      <c r="N46" s="118"/>
      <c r="O46" s="118"/>
      <c r="P46" s="118"/>
      <c r="Q46" s="118"/>
      <c r="R46" s="118"/>
      <c r="S46" s="118"/>
    </row>
    <row r="49" spans="2:4">
      <c r="B49" s="114" t="s">
        <v>4872</v>
      </c>
      <c r="C49" s="114" t="s">
        <v>4976</v>
      </c>
      <c r="D49" s="114" t="s">
        <v>5017</v>
      </c>
    </row>
    <row r="50" spans="2:4">
      <c r="B50" s="114" t="s">
        <v>4882</v>
      </c>
      <c r="C50" s="115">
        <v>0.35199999999999998</v>
      </c>
      <c r="D50" s="115">
        <v>0.64800000000000002</v>
      </c>
    </row>
    <row r="51" spans="2:4">
      <c r="B51" s="114" t="s">
        <v>4873</v>
      </c>
      <c r="C51" s="115">
        <v>0.44400000000000001</v>
      </c>
      <c r="D51" s="115">
        <v>0.55600000000000005</v>
      </c>
    </row>
    <row r="65" spans="2:19">
      <c r="B65" s="150" t="s">
        <v>5016</v>
      </c>
      <c r="C65" s="150"/>
      <c r="D65" s="150"/>
      <c r="E65" s="150"/>
      <c r="F65" s="150"/>
      <c r="G65" s="150"/>
      <c r="H65" s="150"/>
      <c r="I65" s="150"/>
      <c r="L65" s="150" t="s">
        <v>5018</v>
      </c>
      <c r="M65" s="150"/>
      <c r="N65" s="150"/>
      <c r="O65" s="150"/>
      <c r="P65" s="150"/>
      <c r="Q65" s="150"/>
      <c r="R65" s="150"/>
      <c r="S65" s="150"/>
    </row>
    <row r="66" spans="2:19">
      <c r="B66" s="150"/>
      <c r="C66" s="150"/>
      <c r="D66" s="150"/>
      <c r="E66" s="150"/>
      <c r="F66" s="150"/>
      <c r="G66" s="150"/>
      <c r="H66" s="150"/>
      <c r="I66" s="150"/>
      <c r="L66" s="150"/>
      <c r="M66" s="150"/>
      <c r="N66" s="150"/>
      <c r="O66" s="150"/>
      <c r="P66" s="150"/>
      <c r="Q66" s="150"/>
      <c r="R66" s="150"/>
      <c r="S66" s="150"/>
    </row>
    <row r="67" spans="2:19">
      <c r="B67" s="150"/>
      <c r="C67" s="150"/>
      <c r="D67" s="150"/>
      <c r="E67" s="150"/>
      <c r="F67" s="150"/>
      <c r="G67" s="150"/>
      <c r="H67" s="150"/>
      <c r="I67" s="150"/>
      <c r="L67" s="150"/>
      <c r="M67" s="150"/>
      <c r="N67" s="150"/>
      <c r="O67" s="150"/>
      <c r="P67" s="150"/>
      <c r="Q67" s="150"/>
      <c r="R67" s="150"/>
      <c r="S67" s="150"/>
    </row>
  </sheetData>
  <mergeCells count="6">
    <mergeCell ref="B65:I67"/>
    <mergeCell ref="L65:S67"/>
    <mergeCell ref="B42:I45"/>
    <mergeCell ref="L42:S45"/>
    <mergeCell ref="B20:I22"/>
    <mergeCell ref="L20:S22"/>
  </mergeCell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6C50F-0A0A-4699-B28C-5BCB2999C486}">
  <sheetPr codeName="Sheet7"/>
  <dimension ref="A1:H941"/>
  <sheetViews>
    <sheetView zoomScale="98" zoomScaleNormal="98" workbookViewId="0"/>
  </sheetViews>
  <sheetFormatPr defaultRowHeight="15.75"/>
  <cols>
    <col min="1" max="1" width="33.25" style="36" bestFit="1" customWidth="1"/>
    <col min="2" max="2" width="18.5" style="36" customWidth="1"/>
    <col min="3" max="3" width="22.125" style="36" customWidth="1"/>
    <col min="4" max="4" width="15.875" style="36" customWidth="1"/>
    <col min="5" max="5" width="15.125" style="36" customWidth="1"/>
    <col min="6" max="6" width="11.5" style="36" customWidth="1"/>
    <col min="7" max="7" width="9" style="36"/>
    <col min="8" max="8" width="16.25" style="36" bestFit="1" customWidth="1"/>
    <col min="9" max="9" width="9.625" style="36" bestFit="1" customWidth="1"/>
    <col min="10" max="16384" width="9" style="36"/>
  </cols>
  <sheetData>
    <row r="1" spans="1:8" ht="11.25" customHeight="1">
      <c r="A1" s="35"/>
      <c r="B1" s="35"/>
      <c r="C1" s="35"/>
      <c r="D1" s="35"/>
      <c r="E1" s="35"/>
      <c r="F1" s="35"/>
      <c r="G1" s="35"/>
      <c r="H1" s="35"/>
    </row>
    <row r="2" spans="1:8" ht="20.25">
      <c r="A2" s="151" t="s">
        <v>5001</v>
      </c>
      <c r="B2" s="151"/>
      <c r="C2" s="151"/>
      <c r="D2" s="151"/>
      <c r="E2" s="151"/>
      <c r="F2" s="151"/>
      <c r="G2" s="35"/>
      <c r="H2" s="35"/>
    </row>
    <row r="3" spans="1:8" ht="18.75">
      <c r="A3" s="39"/>
      <c r="B3" s="39"/>
      <c r="C3" s="39"/>
      <c r="D3" s="39"/>
      <c r="E3" s="39"/>
      <c r="F3" s="39"/>
      <c r="G3" s="35"/>
      <c r="H3" s="35"/>
    </row>
    <row r="4" spans="1:8" ht="18.75">
      <c r="A4" s="46" t="s">
        <v>4397</v>
      </c>
      <c r="B4" s="47" t="s">
        <v>4398</v>
      </c>
      <c r="C4" s="39"/>
      <c r="D4" s="39"/>
      <c r="E4" s="39"/>
      <c r="F4" s="39"/>
      <c r="G4" s="35"/>
      <c r="H4" s="35"/>
    </row>
    <row r="5" spans="1:8" ht="18.75">
      <c r="A5" s="39" t="s">
        <v>4399</v>
      </c>
      <c r="B5" s="42" cm="1">
        <f t="array" ref="B5">SUMPRODUCT(1/COUNTIF(Raw_Data[id], Raw_Data[id]))</f>
        <v>1272.0000000000007</v>
      </c>
      <c r="C5" s="39"/>
      <c r="D5" s="39"/>
      <c r="E5" s="39"/>
      <c r="F5" s="39"/>
      <c r="G5" s="35"/>
      <c r="H5" s="35"/>
    </row>
    <row r="6" spans="1:8" ht="18.75">
      <c r="A6" s="43" t="s">
        <v>4400</v>
      </c>
      <c r="B6" s="51" cm="1">
        <f t="array" ref="B6">SUMPRODUCT((Raw_Data[peak_rank]&lt;=10)/COUNTIFS(Raw_Data[id], Raw_Data[id], Raw_Data[peak_rank], Raw_Data[peak_rank]))</f>
        <v>214.00000000000009</v>
      </c>
      <c r="C6" s="39"/>
      <c r="D6" s="39"/>
      <c r="E6" s="39"/>
      <c r="F6" s="39"/>
      <c r="G6" s="35"/>
      <c r="H6" s="35"/>
    </row>
    <row r="7" spans="1:8" ht="18.75">
      <c r="A7" s="39" t="s">
        <v>4401</v>
      </c>
      <c r="B7" s="42" cm="1">
        <f t="array" ref="B7">SUMPRODUCT(((Raw_Data[peak_rank]&gt;10)*(Raw_Data[peak_rank]&lt;=50))/COUNTIFS(Raw_Data[id], Raw_Data[id], Raw_Data[peak_rank], Raw_Data[peak_rank]))</f>
        <v>375.99999999999983</v>
      </c>
      <c r="C7" s="39"/>
      <c r="D7" s="39"/>
      <c r="E7" s="39"/>
      <c r="F7" s="39"/>
      <c r="G7" s="35"/>
      <c r="H7" s="35"/>
    </row>
    <row r="8" spans="1:8" ht="18.75">
      <c r="A8" s="43" t="s">
        <v>4402</v>
      </c>
      <c r="B8" s="51" cm="1">
        <f t="array" ref="B8">SUMPRODUCT((Raw_Data[peak_rank]&gt;=51)/COUNTIFS(Raw_Data[id], Raw_Data[id], Raw_Data[peak_rank], Raw_Data[peak_rank]))</f>
        <v>682.00000000000034</v>
      </c>
      <c r="C8" s="39"/>
      <c r="D8" s="39"/>
      <c r="E8" s="39"/>
      <c r="F8" s="39"/>
      <c r="G8" s="35"/>
      <c r="H8" s="35"/>
    </row>
    <row r="9" spans="1:8" ht="18.75">
      <c r="A9" s="39" t="s">
        <v>4403</v>
      </c>
      <c r="B9" s="42" cm="1">
        <f t="array" ref="B9">SUMPRODUCT((Raw_Data[is_christmas]=TRUE)/COUNTIFS(Raw_Data[id], Raw_Data[id], Raw_Data[is_christmas], Raw_Data[is_christmas]))</f>
        <v>84.999999999999986</v>
      </c>
      <c r="C9" s="39"/>
      <c r="D9" s="39"/>
      <c r="E9" s="39"/>
      <c r="F9" s="39"/>
      <c r="G9" s="35"/>
      <c r="H9" s="35"/>
    </row>
    <row r="10" spans="1:8" ht="18.75">
      <c r="A10" s="43" t="s">
        <v>4404</v>
      </c>
      <c r="B10" s="51" cm="1">
        <f t="array" ref="B10">SUMPRODUCT((Raw_Data[artist_names]&lt;&gt;"")/COUNTIF(Raw_Data[artist_names], Raw_Data[artist_names]&amp;""))</f>
        <v>823.0000000000033</v>
      </c>
      <c r="C10" s="39"/>
      <c r="D10" s="39"/>
      <c r="E10" s="39"/>
      <c r="F10" s="39"/>
      <c r="G10" s="35"/>
      <c r="H10" s="35"/>
    </row>
    <row r="11" spans="1:8" ht="18.75">
      <c r="A11" s="39" t="s">
        <v>4915</v>
      </c>
      <c r="B11" s="53">
        <f>B6/B5</f>
        <v>0.16823899371069181</v>
      </c>
      <c r="C11" s="39"/>
      <c r="D11" s="39"/>
      <c r="E11" s="39"/>
      <c r="F11" s="39"/>
      <c r="G11" s="35"/>
      <c r="H11" s="35"/>
    </row>
    <row r="12" spans="1:8" ht="18.75">
      <c r="A12" s="39"/>
      <c r="B12" s="39"/>
      <c r="C12" s="39"/>
      <c r="D12" s="39"/>
      <c r="E12" s="39"/>
      <c r="F12" s="39"/>
      <c r="G12" s="35"/>
      <c r="H12" s="35"/>
    </row>
    <row r="13" spans="1:8" ht="20.25">
      <c r="A13" s="151" t="s">
        <v>5000</v>
      </c>
      <c r="B13" s="151"/>
      <c r="C13" s="151"/>
      <c r="D13" s="151"/>
      <c r="E13" s="151"/>
      <c r="F13" s="151"/>
      <c r="G13" s="35"/>
      <c r="H13" s="35"/>
    </row>
    <row r="14" spans="1:8" ht="18.75">
      <c r="A14" s="39"/>
      <c r="B14" s="39"/>
      <c r="C14" s="39"/>
      <c r="D14" s="39"/>
      <c r="E14" s="39"/>
      <c r="F14" s="39"/>
      <c r="G14" s="35"/>
      <c r="H14" s="35"/>
    </row>
    <row r="15" spans="1:8" ht="18.75">
      <c r="A15" s="46" t="s">
        <v>4872</v>
      </c>
      <c r="B15" s="47" t="s">
        <v>4877</v>
      </c>
      <c r="C15" s="47" t="s">
        <v>4882</v>
      </c>
      <c r="D15" s="47" t="s">
        <v>4883</v>
      </c>
      <c r="E15" s="39"/>
      <c r="F15" s="39"/>
      <c r="G15" s="35"/>
      <c r="H15" s="35"/>
    </row>
    <row r="16" spans="1:8" ht="18.75">
      <c r="A16" s="39" t="s">
        <v>4873</v>
      </c>
      <c r="B16" s="49" t="s">
        <v>4878</v>
      </c>
      <c r="C16" s="42" cm="1">
        <f t="array" ref="C16">SUMPRODUCT((Raw_Data[peak_rank]&lt;=10)/COUNTIFS(Raw_Data[id], Raw_Data[id], Raw_Data[peak_rank], Raw_Data[peak_rank]))</f>
        <v>214.00000000000009</v>
      </c>
      <c r="D16" s="50">
        <f>C16/B5</f>
        <v>0.16823899371069181</v>
      </c>
      <c r="E16" s="39"/>
      <c r="F16" s="39"/>
      <c r="G16" s="35"/>
      <c r="H16" s="35"/>
    </row>
    <row r="17" spans="1:8" ht="18.75">
      <c r="A17" s="43" t="s">
        <v>4874</v>
      </c>
      <c r="B17" s="51" t="s">
        <v>4879</v>
      </c>
      <c r="C17" s="51" cm="1">
        <f t="array" ref="C17">SUMPRODUCT(((Raw_Data[peak_rank]&gt;10)*(Raw_Data[peak_rank]&lt;=50))/COUNTIFS(Raw_Data[id], Raw_Data[id], Raw_Data[peak_rank], Raw_Data[peak_rank]))</f>
        <v>375.99999999999983</v>
      </c>
      <c r="D17" s="52">
        <f>C17/$B$5</f>
        <v>0.29559748427672927</v>
      </c>
      <c r="E17" s="39"/>
      <c r="F17" s="39"/>
      <c r="G17" s="35"/>
      <c r="H17" s="35"/>
    </row>
    <row r="18" spans="1:8" ht="18.75">
      <c r="A18" s="39" t="s">
        <v>4875</v>
      </c>
      <c r="B18" s="42" t="s">
        <v>4880</v>
      </c>
      <c r="C18" s="42" cm="1">
        <f t="array" ref="C18">SUMPRODUCT((Raw_Data[peak_rank]&gt;=51)/COUNTIFS(Raw_Data[id], Raw_Data[id], Raw_Data[peak_rank], Raw_Data[peak_rank]))</f>
        <v>682.00000000000034</v>
      </c>
      <c r="D18" s="50">
        <f>C18/$B$5</f>
        <v>0.53616352201257855</v>
      </c>
      <c r="E18" s="39"/>
      <c r="F18" s="39"/>
      <c r="G18" s="35"/>
      <c r="H18" s="35"/>
    </row>
    <row r="19" spans="1:8" ht="18.75">
      <c r="A19" s="43" t="s">
        <v>4876</v>
      </c>
      <c r="B19" s="51" t="s">
        <v>4881</v>
      </c>
      <c r="C19" s="51">
        <f>SUM(C16:C18)</f>
        <v>1272.0000000000002</v>
      </c>
      <c r="D19" s="52">
        <f>SUM(D16:D18)</f>
        <v>0.99999999999999967</v>
      </c>
      <c r="E19" s="39"/>
      <c r="F19" s="39"/>
      <c r="G19" s="35"/>
      <c r="H19" s="35"/>
    </row>
    <row r="20" spans="1:8" ht="18.75">
      <c r="A20" s="39"/>
      <c r="B20" s="39"/>
      <c r="C20" s="39"/>
      <c r="D20" s="39"/>
      <c r="E20" s="39"/>
      <c r="F20" s="39"/>
      <c r="G20" s="35"/>
      <c r="H20" s="35"/>
    </row>
    <row r="21" spans="1:8" ht="20.25">
      <c r="A21" s="151" t="s">
        <v>5002</v>
      </c>
      <c r="B21" s="151"/>
      <c r="C21" s="151"/>
      <c r="D21" s="151"/>
      <c r="E21" s="151"/>
      <c r="F21" s="151"/>
      <c r="G21" s="35"/>
      <c r="H21" s="35"/>
    </row>
    <row r="22" spans="1:8" ht="18.75">
      <c r="A22" s="40"/>
      <c r="B22" s="40"/>
      <c r="C22" s="40"/>
      <c r="D22" s="40"/>
      <c r="E22" s="39"/>
      <c r="F22" s="39"/>
      <c r="G22" s="35"/>
      <c r="H22" s="35"/>
    </row>
    <row r="23" spans="1:8" ht="18.75">
      <c r="A23" s="46" t="s">
        <v>4884</v>
      </c>
      <c r="B23" s="47" t="s">
        <v>4885</v>
      </c>
      <c r="C23" s="47" t="s">
        <v>4886</v>
      </c>
      <c r="D23" s="47" t="s">
        <v>4887</v>
      </c>
      <c r="E23" s="39"/>
      <c r="F23" s="39"/>
      <c r="G23" s="35"/>
      <c r="H23" s="35"/>
    </row>
    <row r="24" spans="1:8" ht="18.75">
      <c r="A24" s="39" t="s">
        <v>4888</v>
      </c>
      <c r="B24" s="54">
        <f>AVERAGEIFS(Raw_Data[danceability], Raw_Data[peak_rank], "&lt;=10")</f>
        <v>67.834983498349828</v>
      </c>
      <c r="C24" s="54">
        <f>AVERAGEIFS(Raw_Data[danceability], Raw_Data[peak_rank], "&gt;=51")</f>
        <v>68.367760617760624</v>
      </c>
      <c r="D24" s="55">
        <f t="shared" ref="D24:D32" si="0">B24-C24</f>
        <v>-0.53277711941079531</v>
      </c>
      <c r="E24" s="39"/>
      <c r="F24" s="39"/>
      <c r="G24" s="35"/>
      <c r="H24" s="35"/>
    </row>
    <row r="25" spans="1:8" ht="18.75">
      <c r="A25" s="43" t="s">
        <v>4889</v>
      </c>
      <c r="B25" s="56">
        <f>AVERAGEIFS(Raw_Data[energy], Raw_Data[peak_rank], "&lt;=10")</f>
        <v>63.686468646864689</v>
      </c>
      <c r="C25" s="56">
        <f>AVERAGEIFS(Raw_Data[energy], Raw_Data[peak_rank], "&gt;=51")</f>
        <v>66.405405405405403</v>
      </c>
      <c r="D25" s="57">
        <f t="shared" si="0"/>
        <v>-2.718936758540714</v>
      </c>
      <c r="E25" s="39"/>
      <c r="F25" s="39"/>
      <c r="G25" s="35"/>
      <c r="H25" s="35"/>
    </row>
    <row r="26" spans="1:8" ht="18.75">
      <c r="A26" s="39" t="s">
        <v>4890</v>
      </c>
      <c r="B26" s="54">
        <f>AVERAGEIFS(Raw_Data[loudness], Raw_Data[peak_rank], "&lt;=10")</f>
        <v>82.171617161716171</v>
      </c>
      <c r="C26" s="54">
        <f>AVERAGEIFS(Raw_Data[loudness], Raw_Data[peak_rank], "&gt;=51")</f>
        <v>80.060810810810807</v>
      </c>
      <c r="D26" s="55">
        <f t="shared" si="0"/>
        <v>2.1108063509053636</v>
      </c>
      <c r="E26" s="39"/>
      <c r="F26" s="39"/>
      <c r="G26" s="35"/>
      <c r="H26" s="35"/>
    </row>
    <row r="27" spans="1:8" ht="18.75">
      <c r="A27" s="43" t="s">
        <v>4891</v>
      </c>
      <c r="B27" s="56">
        <f>AVERAGEIFS(Raw_Data[speechiness], Raw_Data[peak_rank], "&lt;=10")</f>
        <v>7.894389438943894</v>
      </c>
      <c r="C27" s="56">
        <f>AVERAGEIFS(Raw_Data[speechiness], Raw_Data[peak_rank], "&gt;=51")</f>
        <v>8.295366795366796</v>
      </c>
      <c r="D27" s="57">
        <f t="shared" si="0"/>
        <v>-0.400977356422902</v>
      </c>
      <c r="E27" s="39"/>
      <c r="F27" s="39"/>
      <c r="G27" s="35"/>
      <c r="H27" s="35"/>
    </row>
    <row r="28" spans="1:8" ht="18.75">
      <c r="A28" s="39" t="s">
        <v>4892</v>
      </c>
      <c r="B28" s="54">
        <f>AVERAGEIFS(Raw_Data[acousticness], Raw_Data[peak_rank], "&lt;=10")</f>
        <v>25.831683168316832</v>
      </c>
      <c r="C28" s="54">
        <f>AVERAGEIFS(Raw_Data[acousticness], Raw_Data[peak_rank], "&gt;=51")</f>
        <v>26.361003861003862</v>
      </c>
      <c r="D28" s="55">
        <f t="shared" si="0"/>
        <v>-0.52932069268702975</v>
      </c>
      <c r="E28" s="39"/>
      <c r="F28" s="39"/>
      <c r="G28" s="35"/>
      <c r="H28" s="35"/>
    </row>
    <row r="29" spans="1:8" ht="18.75">
      <c r="A29" s="43" t="s">
        <v>4893</v>
      </c>
      <c r="B29" s="56">
        <f>AVERAGEIFS(Raw_Data[instrumentalness], Raw_Data[peak_rank], "&lt;=10")</f>
        <v>1.7524752475247525</v>
      </c>
      <c r="C29" s="56">
        <f>AVERAGEIFS(Raw_Data[instrumentalness], Raw_Data[peak_rank], "&gt;=51")</f>
        <v>0.65250965250965254</v>
      </c>
      <c r="D29" s="57">
        <f t="shared" si="0"/>
        <v>1.0999655950150999</v>
      </c>
      <c r="E29" s="39"/>
      <c r="F29" s="39"/>
      <c r="G29" s="35"/>
      <c r="H29" s="35"/>
    </row>
    <row r="30" spans="1:8" ht="18.75">
      <c r="A30" s="39" t="s">
        <v>4894</v>
      </c>
      <c r="B30" s="54">
        <f>AVERAGEIFS(Raw_Data[liveness], Raw_Data[peak_rank], "&lt;=10")</f>
        <v>15.613861386138614</v>
      </c>
      <c r="C30" s="54">
        <f>AVERAGEIFS(Raw_Data[liveness], Raw_Data[peak_rank], "&gt;=51")</f>
        <v>16.203667953667953</v>
      </c>
      <c r="D30" s="55">
        <f t="shared" si="0"/>
        <v>-0.58980656752933847</v>
      </c>
      <c r="E30" s="39"/>
      <c r="F30" s="39"/>
      <c r="G30" s="35"/>
      <c r="H30" s="35"/>
    </row>
    <row r="31" spans="1:8" ht="18.75">
      <c r="A31" s="43" t="s">
        <v>4895</v>
      </c>
      <c r="B31" s="56">
        <f>AVERAGEIFS(Raw_Data[valence], Raw_Data[peak_rank], "&lt;=10")</f>
        <v>53.386138613861384</v>
      </c>
      <c r="C31" s="56">
        <f>AVERAGEIFS(Raw_Data[valence], Raw_Data[peak_rank], "&gt;=51")</f>
        <v>57.475868725868729</v>
      </c>
      <c r="D31" s="57">
        <f t="shared" si="0"/>
        <v>-4.089730112007345</v>
      </c>
      <c r="E31" s="39"/>
      <c r="F31" s="39"/>
      <c r="G31" s="35"/>
      <c r="H31" s="35"/>
    </row>
    <row r="32" spans="1:8" ht="18.75">
      <c r="A32" s="39" t="s">
        <v>4896</v>
      </c>
      <c r="B32" s="54">
        <f>AVERAGEIFS(Raw_Data[tempo], Raw_Data[peak_rank], "&lt;=10")</f>
        <v>118.11221122112211</v>
      </c>
      <c r="C32" s="54">
        <f>AVERAGEIFS(Raw_Data[tempo], Raw_Data[peak_rank], "&gt;=51")</f>
        <v>119.2480694980695</v>
      </c>
      <c r="D32" s="55">
        <f t="shared" si="0"/>
        <v>-1.1358582769473884</v>
      </c>
      <c r="E32" s="39"/>
      <c r="F32" s="39"/>
      <c r="G32" s="35"/>
      <c r="H32" s="35"/>
    </row>
    <row r="33" spans="1:8" ht="18.75">
      <c r="A33" s="39"/>
      <c r="B33" s="39"/>
      <c r="C33" s="39"/>
      <c r="D33" s="39"/>
      <c r="E33" s="39"/>
      <c r="F33" s="39"/>
      <c r="G33" s="35"/>
      <c r="H33" s="35"/>
    </row>
    <row r="34" spans="1:8" ht="18.75">
      <c r="A34" s="39"/>
      <c r="B34" s="39"/>
      <c r="C34" s="39"/>
      <c r="D34" s="39"/>
      <c r="E34" s="39"/>
      <c r="F34" s="39"/>
      <c r="G34" s="35"/>
      <c r="H34" s="35"/>
    </row>
    <row r="35" spans="1:8" ht="20.25">
      <c r="A35" s="151" t="s">
        <v>5003</v>
      </c>
      <c r="B35" s="151"/>
      <c r="C35" s="151"/>
      <c r="D35" s="151"/>
      <c r="E35" s="151"/>
      <c r="F35" s="151"/>
      <c r="G35" s="35"/>
      <c r="H35" s="35"/>
    </row>
    <row r="36" spans="1:8" ht="18.75">
      <c r="A36" s="40"/>
      <c r="B36" s="40"/>
      <c r="C36" s="40"/>
      <c r="D36" s="40"/>
      <c r="E36" s="40"/>
      <c r="F36" s="40"/>
      <c r="G36" s="35"/>
      <c r="H36" s="35"/>
    </row>
    <row r="37" spans="1:8" ht="18.75">
      <c r="A37" s="152" t="s">
        <v>4897</v>
      </c>
      <c r="B37" s="152"/>
      <c r="C37" s="152"/>
      <c r="D37" s="152"/>
      <c r="E37" s="152"/>
      <c r="F37" s="152"/>
      <c r="G37" s="35"/>
      <c r="H37" s="35"/>
    </row>
    <row r="38" spans="1:8" ht="18.75">
      <c r="A38" s="46" t="s">
        <v>4872</v>
      </c>
      <c r="B38" s="47" t="s">
        <v>4914</v>
      </c>
      <c r="C38" s="47" t="s">
        <v>4898</v>
      </c>
      <c r="D38" s="47" t="s">
        <v>4400</v>
      </c>
      <c r="E38" s="47" t="s">
        <v>4899</v>
      </c>
      <c r="F38" s="47" t="s">
        <v>4900</v>
      </c>
      <c r="G38" s="35"/>
      <c r="H38" s="35"/>
    </row>
    <row r="39" spans="1:8" ht="18.75">
      <c r="A39" s="39" t="s">
        <v>4901</v>
      </c>
      <c r="B39" s="42" cm="1">
        <f t="array" ref="B39">SUMPRODUCT((Raw_Data[artist_names]&lt;&gt;"")/COUNTIFS(Raw_Data[id], Raw_Data[id], Raw_Data[artist_names], Raw_Data[artist_names])*ISNUMBER(MATCH(Raw_Data[artist_names], $D$118:$D$137, 0)))</f>
        <v>0</v>
      </c>
      <c r="C39" s="53">
        <f>B39/$C$19</f>
        <v>0</v>
      </c>
      <c r="D39" s="58" cm="1">
        <f t="array" ref="D39">ROUND(SUMPRODUCT((Raw_Data[peak_rank]&lt;=10)*(Raw_Data[artist_names]&lt;&gt;"")/COUNTIFS(Raw_Data[id], Raw_Data[id], Raw_Data[peak_rank], Raw_Data[peak_rank])*ISNUMBER(MATCH(Raw_Data[artist_names], $D$118:$D$137, 0))), 0)</f>
        <v>0</v>
      </c>
      <c r="E39" s="53" cm="1">
        <f t="array" ref="E39">D39/SUMPRODUCT((Raw_Data[peak_rank]&lt;=10)/COUNTIFS(Raw_Data[id], Raw_Data[id], Raw_Data[peak_rank], Raw_Data[peak_rank]))</f>
        <v>0</v>
      </c>
      <c r="F39" s="53" t="e">
        <f>D39/B39</f>
        <v>#DIV/0!</v>
      </c>
      <c r="G39" s="35"/>
      <c r="H39" s="35"/>
    </row>
    <row r="40" spans="1:8" ht="18.75">
      <c r="A40" s="43" t="s">
        <v>4902</v>
      </c>
      <c r="B40" s="51">
        <f>$C$19-B39</f>
        <v>1272.0000000000002</v>
      </c>
      <c r="C40" s="59">
        <f>B40/$C$19</f>
        <v>1</v>
      </c>
      <c r="D40" s="60" cm="1">
        <f t="array" ref="D40">SUMPRODUCT((Raw_Data[peak_rank]&lt;=10)/COUNTIFS(Raw_Data[id], Raw_Data[id], Raw_Data[peak_rank], Raw_Data[peak_rank]))-D39</f>
        <v>214.00000000000009</v>
      </c>
      <c r="E40" s="59" cm="1">
        <f t="array" ref="E40">D40/SUMPRODUCT((Raw_Data[peak_rank]&lt;=10)/COUNTIFS(Raw_Data[id], Raw_Data[id], Raw_Data[peak_rank], Raw_Data[peak_rank]))</f>
        <v>1</v>
      </c>
      <c r="F40" s="59">
        <f>D40/B40</f>
        <v>0.16823899371069187</v>
      </c>
      <c r="G40" s="35"/>
      <c r="H40" s="35"/>
    </row>
    <row r="41" spans="1:8" ht="18.75">
      <c r="A41" s="39" t="s">
        <v>4876</v>
      </c>
      <c r="B41" s="42">
        <f>SUM(B39:B40)</f>
        <v>1272.0000000000002</v>
      </c>
      <c r="C41" s="61">
        <f>SUM(C39:C40)</f>
        <v>1</v>
      </c>
      <c r="D41" s="42">
        <f>SUM(D39:D40)</f>
        <v>214.00000000000009</v>
      </c>
      <c r="E41" s="61">
        <f>SUM(E39:E40)</f>
        <v>1</v>
      </c>
      <c r="F41" s="42"/>
      <c r="G41" s="35"/>
      <c r="H41" s="35"/>
    </row>
    <row r="42" spans="1:8" ht="18.75">
      <c r="A42" s="44" t="s">
        <v>4903</v>
      </c>
      <c r="B42" s="62" t="e">
        <f>F39/F40</f>
        <v>#DIV/0!</v>
      </c>
      <c r="C42" s="42"/>
      <c r="D42" s="42"/>
      <c r="E42" s="42"/>
      <c r="F42" s="42"/>
      <c r="G42" s="35"/>
      <c r="H42" s="35"/>
    </row>
    <row r="43" spans="1:8" ht="18.75">
      <c r="A43" s="39"/>
      <c r="B43" s="39"/>
      <c r="C43" s="39"/>
      <c r="D43" s="39"/>
      <c r="E43" s="39"/>
      <c r="F43" s="39"/>
      <c r="G43" s="35"/>
      <c r="H43" s="35"/>
    </row>
    <row r="44" spans="1:8" ht="18.75">
      <c r="A44" s="152" t="s">
        <v>4909</v>
      </c>
      <c r="B44" s="152"/>
      <c r="C44" s="152"/>
      <c r="D44" s="152"/>
      <c r="E44" s="152"/>
      <c r="F44" s="39"/>
      <c r="G44" s="35"/>
      <c r="H44" s="35"/>
    </row>
    <row r="45" spans="1:8" ht="18.75">
      <c r="A45" s="46" t="s">
        <v>4908</v>
      </c>
      <c r="B45" s="47" t="s">
        <v>3375</v>
      </c>
      <c r="C45" s="47" t="s">
        <v>4914</v>
      </c>
      <c r="D45" s="47" t="s">
        <v>4400</v>
      </c>
      <c r="E45" s="47" t="s">
        <v>4900</v>
      </c>
      <c r="F45" s="39"/>
      <c r="G45" s="35"/>
      <c r="H45" s="35"/>
    </row>
    <row r="46" spans="1:8" ht="18.75">
      <c r="A46" s="41">
        <v>6</v>
      </c>
      <c r="B46" s="41" t="s">
        <v>97</v>
      </c>
      <c r="C46" s="42" cm="1">
        <f t="array" ref="C46">SUMPRODUCT((Raw_Data[artist_names]=$B46)/COUNTIFS(Raw_Data[id], Raw_Data[id], Raw_Data[artist_names], Raw_Data[artist_names]))</f>
        <v>26</v>
      </c>
      <c r="D46" s="42" cm="1">
        <f t="array" ref="D46">ROUND(SUMPRODUCT((Raw_Data[artist_names]=$B46)*(Raw_Data[peak_rank]&lt;=10)/COUNTIFS(Raw_Data[id], Raw_Data[id], Raw_Data[artist_names], Raw_Data[artist_names], Raw_Data[peak_rank], Raw_Data[peak_rank])), 0)</f>
        <v>19</v>
      </c>
      <c r="E46" s="53">
        <f t="shared" ref="E46:E65" si="1">D46/C46</f>
        <v>0.73076923076923073</v>
      </c>
      <c r="F46" s="39"/>
      <c r="G46" s="35"/>
      <c r="H46" s="35"/>
    </row>
    <row r="47" spans="1:8" ht="18.75">
      <c r="A47" s="41">
        <v>3</v>
      </c>
      <c r="B47" s="41" t="s">
        <v>131</v>
      </c>
      <c r="C47" s="42" cm="1">
        <f t="array" ref="C47">SUMPRODUCT((Raw_Data[artist_names]=$B47)/COUNTIFS(Raw_Data[id], Raw_Data[id], Raw_Data[artist_names], Raw_Data[artist_names]))</f>
        <v>32</v>
      </c>
      <c r="D47" s="42" cm="1">
        <f t="array" ref="D47">ROUND(SUMPRODUCT((Raw_Data[artist_names]=$B47)*(Raw_Data[peak_rank]&lt;=10)/COUNTIFS(Raw_Data[id], Raw_Data[id], Raw_Data[artist_names], Raw_Data[artist_names], Raw_Data[peak_rank], Raw_Data[peak_rank])), 0)</f>
        <v>15</v>
      </c>
      <c r="E47" s="53">
        <f t="shared" si="1"/>
        <v>0.46875</v>
      </c>
      <c r="F47" s="39"/>
      <c r="G47" s="35"/>
      <c r="H47" s="35"/>
    </row>
    <row r="48" spans="1:8" ht="18.75">
      <c r="A48" s="45">
        <v>16</v>
      </c>
      <c r="B48" s="45" t="s">
        <v>511</v>
      </c>
      <c r="C48" s="51" cm="1">
        <f t="array" ref="C48">SUMPRODUCT((Raw_Data[artist_names]=$B48)/COUNTIFS(Raw_Data[id], Raw_Data[id], Raw_Data[artist_names], Raw_Data[artist_names]))</f>
        <v>16</v>
      </c>
      <c r="D48" s="51" cm="1">
        <f t="array" ref="D48">ROUND(SUMPRODUCT((Raw_Data[artist_names]=$B48)*(Raw_Data[peak_rank]&lt;=10)/COUNTIFS(Raw_Data[id], Raw_Data[id], Raw_Data[artist_names], Raw_Data[artist_names], Raw_Data[peak_rank], Raw_Data[peak_rank])), 0)</f>
        <v>10</v>
      </c>
      <c r="E48" s="59">
        <f t="shared" si="1"/>
        <v>0.625</v>
      </c>
      <c r="F48" s="39"/>
      <c r="G48" s="35"/>
      <c r="H48" s="35"/>
    </row>
    <row r="49" spans="1:8" ht="18.75">
      <c r="A49" s="41">
        <v>7</v>
      </c>
      <c r="B49" s="41" t="s">
        <v>32</v>
      </c>
      <c r="C49" s="42" cm="1">
        <f t="array" ref="C49">SUMPRODUCT((Raw_Data[artist_names]=$B49)/COUNTIFS(Raw_Data[id], Raw_Data[id], Raw_Data[artist_names], Raw_Data[artist_names]))</f>
        <v>24</v>
      </c>
      <c r="D49" s="42" cm="1">
        <f t="array" ref="D49">ROUND(SUMPRODUCT((Raw_Data[artist_names]=$B49)*(Raw_Data[peak_rank]&lt;=10)/COUNTIFS(Raw_Data[id], Raw_Data[id], Raw_Data[artist_names], Raw_Data[artist_names], Raw_Data[peak_rank], Raw_Data[peak_rank])), 0)</f>
        <v>9</v>
      </c>
      <c r="E49" s="53">
        <f t="shared" si="1"/>
        <v>0.375</v>
      </c>
      <c r="F49" s="39"/>
      <c r="G49" s="35"/>
      <c r="H49" s="35"/>
    </row>
    <row r="50" spans="1:8" ht="18.75">
      <c r="A50" s="45">
        <v>8</v>
      </c>
      <c r="B50" s="45" t="s">
        <v>237</v>
      </c>
      <c r="C50" s="51" cm="1">
        <f t="array" ref="C50">SUMPRODUCT((Raw_Data[artist_names]=$B50)/COUNTIFS(Raw_Data[id], Raw_Data[id], Raw_Data[artist_names], Raw_Data[artist_names]))</f>
        <v>23</v>
      </c>
      <c r="D50" s="51" cm="1">
        <f t="array" ref="D50">ROUND(SUMPRODUCT((Raw_Data[artist_names]=$B50)*(Raw_Data[peak_rank]&lt;=10)/COUNTIFS(Raw_Data[id], Raw_Data[id], Raw_Data[artist_names], Raw_Data[artist_names], Raw_Data[peak_rank], Raw_Data[peak_rank])), 0)</f>
        <v>8</v>
      </c>
      <c r="E50" s="59">
        <f t="shared" si="1"/>
        <v>0.34782608695652173</v>
      </c>
      <c r="F50" s="39"/>
      <c r="G50" s="35"/>
      <c r="H50" s="35"/>
    </row>
    <row r="51" spans="1:8" ht="18.75">
      <c r="A51" s="45">
        <v>17</v>
      </c>
      <c r="B51" s="45" t="s">
        <v>318</v>
      </c>
      <c r="C51" s="51" cm="1">
        <f t="array" ref="C51">SUMPRODUCT((Raw_Data[artist_names]=$B51)/COUNTIFS(Raw_Data[id], Raw_Data[id], Raw_Data[artist_names], Raw_Data[artist_names]))</f>
        <v>15</v>
      </c>
      <c r="D51" s="51" cm="1">
        <f t="array" ref="D51">ROUND(SUMPRODUCT((Raw_Data[artist_names]=$B51)*(Raw_Data[peak_rank]&lt;=10)/COUNTIFS(Raw_Data[id], Raw_Data[id], Raw_Data[artist_names], Raw_Data[artist_names], Raw_Data[peak_rank], Raw_Data[peak_rank])), 0)</f>
        <v>7</v>
      </c>
      <c r="E51" s="59">
        <f t="shared" si="1"/>
        <v>0.46666666666666667</v>
      </c>
      <c r="F51" s="39"/>
      <c r="G51" s="35"/>
      <c r="H51" s="35"/>
    </row>
    <row r="52" spans="1:8" ht="18.75">
      <c r="A52" s="41">
        <v>5</v>
      </c>
      <c r="B52" s="41" t="s">
        <v>430</v>
      </c>
      <c r="C52" s="42" cm="1">
        <f t="array" ref="C52">SUMPRODUCT((Raw_Data[artist_names]=$B52)/COUNTIFS(Raw_Data[id], Raw_Data[id], Raw_Data[artist_names], Raw_Data[artist_names]))</f>
        <v>28</v>
      </c>
      <c r="D52" s="42" cm="1">
        <f t="array" ref="D52">ROUND(SUMPRODUCT((Raw_Data[artist_names]=$B52)*(Raw_Data[peak_rank]&lt;=10)/COUNTIFS(Raw_Data[id], Raw_Data[id], Raw_Data[artist_names], Raw_Data[artist_names], Raw_Data[peak_rank], Raw_Data[peak_rank])), 0)</f>
        <v>6</v>
      </c>
      <c r="E52" s="53">
        <f t="shared" si="1"/>
        <v>0.21428571428571427</v>
      </c>
      <c r="F52" s="39"/>
      <c r="G52" s="35"/>
      <c r="H52" s="35"/>
    </row>
    <row r="53" spans="1:8" ht="18.75">
      <c r="A53" s="41">
        <v>2</v>
      </c>
      <c r="B53" s="41" t="s">
        <v>54</v>
      </c>
      <c r="C53" s="42" cm="1">
        <f t="array" ref="C53">SUMPRODUCT((Raw_Data[artist_names]=$B53)/COUNTIFS(Raw_Data[id], Raw_Data[id], Raw_Data[artist_names], Raw_Data[artist_names]))</f>
        <v>36</v>
      </c>
      <c r="D53" s="42" cm="1">
        <f t="array" ref="D53">ROUND(SUMPRODUCT((Raw_Data[artist_names]=$B53)*(Raw_Data[peak_rank]&lt;=10)/COUNTIFS(Raw_Data[id], Raw_Data[id], Raw_Data[artist_names], Raw_Data[artist_names], Raw_Data[peak_rank], Raw_Data[peak_rank])), 0)</f>
        <v>6</v>
      </c>
      <c r="E53" s="53">
        <f t="shared" si="1"/>
        <v>0.16666666666666666</v>
      </c>
      <c r="F53" s="39"/>
      <c r="G53" s="35"/>
      <c r="H53" s="35"/>
    </row>
    <row r="54" spans="1:8" ht="18.75">
      <c r="A54" s="45">
        <v>1</v>
      </c>
      <c r="B54" s="45" t="s">
        <v>182</v>
      </c>
      <c r="C54" s="51" cm="1">
        <f t="array" ref="C54">SUMPRODUCT((Raw_Data[artist_names]=$B54)/COUNTIFS(Raw_Data[id], Raw_Data[id], Raw_Data[artist_names], Raw_Data[artist_names]))</f>
        <v>41</v>
      </c>
      <c r="D54" s="51" cm="1">
        <f t="array" ref="D54">ROUND(SUMPRODUCT((Raw_Data[artist_names]=$B54)*(Raw_Data[peak_rank]&lt;=10)/COUNTIFS(Raw_Data[id], Raw_Data[id], Raw_Data[artist_names], Raw_Data[artist_names], Raw_Data[peak_rank], Raw_Data[peak_rank])), 0)</f>
        <v>6</v>
      </c>
      <c r="E54" s="59">
        <f t="shared" si="1"/>
        <v>0.14634146341463414</v>
      </c>
      <c r="F54" s="39"/>
      <c r="G54" s="35"/>
      <c r="H54" s="35"/>
    </row>
    <row r="55" spans="1:8" ht="18.75">
      <c r="A55" s="45">
        <v>10</v>
      </c>
      <c r="B55" s="45" t="s">
        <v>366</v>
      </c>
      <c r="C55" s="51" cm="1">
        <f t="array" ref="C55">SUMPRODUCT((Raw_Data[artist_names]=$B55)/COUNTIFS(Raw_Data[id], Raw_Data[id], Raw_Data[artist_names], Raw_Data[artist_names]))</f>
        <v>22</v>
      </c>
      <c r="D55" s="51" cm="1">
        <f t="array" ref="D55">ROUND(SUMPRODUCT((Raw_Data[artist_names]=$B55)*(Raw_Data[peak_rank]&lt;=10)/COUNTIFS(Raw_Data[id], Raw_Data[id], Raw_Data[artist_names], Raw_Data[artist_names], Raw_Data[peak_rank], Raw_Data[peak_rank])), 0)</f>
        <v>5</v>
      </c>
      <c r="E55" s="59">
        <f t="shared" si="1"/>
        <v>0.22727272727272727</v>
      </c>
      <c r="F55" s="39"/>
      <c r="G55" s="35"/>
      <c r="H55" s="35"/>
    </row>
    <row r="56" spans="1:8" ht="18.75">
      <c r="A56" s="41">
        <v>20</v>
      </c>
      <c r="B56" s="41" t="s">
        <v>151</v>
      </c>
      <c r="C56" s="42" cm="1">
        <f t="array" ref="C56">SUMPRODUCT((Raw_Data[artist_names]=$B56)/COUNTIFS(Raw_Data[id], Raw_Data[id], Raw_Data[artist_names], Raw_Data[artist_names]))</f>
        <v>15</v>
      </c>
      <c r="D56" s="42" cm="1">
        <f t="array" ref="D56">ROUND(SUMPRODUCT((Raw_Data[artist_names]=$B56)*(Raw_Data[peak_rank]&lt;=10)/COUNTIFS(Raw_Data[id], Raw_Data[id], Raw_Data[artist_names], Raw_Data[artist_names], Raw_Data[peak_rank], Raw_Data[peak_rank])), 0)</f>
        <v>4</v>
      </c>
      <c r="E56" s="53">
        <f t="shared" si="1"/>
        <v>0.26666666666666666</v>
      </c>
      <c r="F56" s="39"/>
      <c r="G56" s="35"/>
      <c r="H56" s="35"/>
    </row>
    <row r="57" spans="1:8" ht="18.75">
      <c r="A57" s="41">
        <v>4</v>
      </c>
      <c r="B57" s="41" t="s">
        <v>67</v>
      </c>
      <c r="C57" s="42" cm="1">
        <f t="array" ref="C57">SUMPRODUCT((Raw_Data[artist_names]=$B57)/COUNTIFS(Raw_Data[id], Raw_Data[id], Raw_Data[artist_names], Raw_Data[artist_names]))</f>
        <v>30</v>
      </c>
      <c r="D57" s="42" cm="1">
        <f t="array" ref="D57">ROUND(SUMPRODUCT((Raw_Data[artist_names]=$B57)*(Raw_Data[peak_rank]&lt;=10)/COUNTIFS(Raw_Data[id], Raw_Data[id], Raw_Data[artist_names], Raw_Data[artist_names], Raw_Data[peak_rank], Raw_Data[peak_rank])), 0)</f>
        <v>4</v>
      </c>
      <c r="E57" s="53">
        <f t="shared" si="1"/>
        <v>0.13333333333333333</v>
      </c>
      <c r="F57" s="39"/>
      <c r="G57" s="35"/>
      <c r="H57" s="35"/>
    </row>
    <row r="58" spans="1:8" ht="18.75">
      <c r="A58" s="45">
        <v>19</v>
      </c>
      <c r="B58" s="45" t="s">
        <v>178</v>
      </c>
      <c r="C58" s="51" cm="1">
        <f t="array" ref="C58">SUMPRODUCT((Raw_Data[artist_names]=$B58)/COUNTIFS(Raw_Data[id], Raw_Data[id], Raw_Data[artist_names], Raw_Data[artist_names]))</f>
        <v>15</v>
      </c>
      <c r="D58" s="51" cm="1">
        <f t="array" ref="D58">ROUND(SUMPRODUCT((Raw_Data[artist_names]=$B58)*(Raw_Data[peak_rank]&lt;=10)/COUNTIFS(Raw_Data[id], Raw_Data[id], Raw_Data[artist_names], Raw_Data[artist_names], Raw_Data[peak_rank], Raw_Data[peak_rank])), 0)</f>
        <v>3</v>
      </c>
      <c r="E58" s="59">
        <f t="shared" si="1"/>
        <v>0.2</v>
      </c>
      <c r="F58" s="39"/>
      <c r="G58" s="35"/>
      <c r="H58" s="35"/>
    </row>
    <row r="59" spans="1:8" ht="18.75">
      <c r="A59" s="45">
        <v>12</v>
      </c>
      <c r="B59" s="45" t="s">
        <v>383</v>
      </c>
      <c r="C59" s="51" cm="1">
        <f t="array" ref="C59">SUMPRODUCT((Raw_Data[artist_names]=$B59)/COUNTIFS(Raw_Data[id], Raw_Data[id], Raw_Data[artist_names], Raw_Data[artist_names]))</f>
        <v>18</v>
      </c>
      <c r="D59" s="51" cm="1">
        <f t="array" ref="D59">ROUND(SUMPRODUCT((Raw_Data[artist_names]=$B59)*(Raw_Data[peak_rank]&lt;=10)/COUNTIFS(Raw_Data[id], Raw_Data[id], Raw_Data[artist_names], Raw_Data[artist_names], Raw_Data[peak_rank], Raw_Data[peak_rank])), 0)</f>
        <v>3</v>
      </c>
      <c r="E59" s="59">
        <f t="shared" si="1"/>
        <v>0.16666666666666666</v>
      </c>
      <c r="F59" s="39"/>
      <c r="G59" s="35"/>
      <c r="H59" s="35"/>
    </row>
    <row r="60" spans="1:8" ht="18.75">
      <c r="A60" s="41">
        <v>11</v>
      </c>
      <c r="B60" s="41" t="s">
        <v>705</v>
      </c>
      <c r="C60" s="42" cm="1">
        <f t="array" ref="C60">SUMPRODUCT((Raw_Data[artist_names]=$B60)/COUNTIFS(Raw_Data[id], Raw_Data[id], Raw_Data[artist_names], Raw_Data[artist_names]))</f>
        <v>20</v>
      </c>
      <c r="D60" s="42" cm="1">
        <f t="array" ref="D60">ROUND(SUMPRODUCT((Raw_Data[artist_names]=$B60)*(Raw_Data[peak_rank]&lt;=10)/COUNTIFS(Raw_Data[id], Raw_Data[id], Raw_Data[artist_names], Raw_Data[artist_names], Raw_Data[peak_rank], Raw_Data[peak_rank])), 0)</f>
        <v>3</v>
      </c>
      <c r="E60" s="53">
        <f t="shared" si="1"/>
        <v>0.15</v>
      </c>
      <c r="F60" s="39"/>
      <c r="G60" s="35"/>
      <c r="H60" s="35"/>
    </row>
    <row r="61" spans="1:8" ht="18.75">
      <c r="A61" s="45">
        <v>13</v>
      </c>
      <c r="B61" s="45" t="s">
        <v>51</v>
      </c>
      <c r="C61" s="51" cm="1">
        <f t="array" ref="C61">SUMPRODUCT((Raw_Data[artist_names]=$B61)/COUNTIFS(Raw_Data[id], Raw_Data[id], Raw_Data[artist_names], Raw_Data[artist_names]))</f>
        <v>17</v>
      </c>
      <c r="D61" s="51" cm="1">
        <f t="array" ref="D61">ROUND(SUMPRODUCT((Raw_Data[artist_names]=$B61)*(Raw_Data[peak_rank]&lt;=10)/COUNTIFS(Raw_Data[id], Raw_Data[id], Raw_Data[artist_names], Raw_Data[artist_names], Raw_Data[peak_rank], Raw_Data[peak_rank])), 0)</f>
        <v>2</v>
      </c>
      <c r="E61" s="59">
        <f t="shared" si="1"/>
        <v>0.11764705882352941</v>
      </c>
      <c r="F61" s="39"/>
      <c r="G61" s="35"/>
      <c r="H61" s="35"/>
    </row>
    <row r="62" spans="1:8" ht="18.75">
      <c r="A62" s="41">
        <v>14</v>
      </c>
      <c r="B62" s="41" t="s">
        <v>198</v>
      </c>
      <c r="C62" s="42" cm="1">
        <f t="array" ref="C62">SUMPRODUCT((Raw_Data[artist_names]=$B62)/COUNTIFS(Raw_Data[id], Raw_Data[id], Raw_Data[artist_names], Raw_Data[artist_names]))</f>
        <v>16</v>
      </c>
      <c r="D62" s="42" cm="1">
        <f t="array" ref="D62">ROUND(SUMPRODUCT((Raw_Data[artist_names]=$B62)*(Raw_Data[peak_rank]&lt;=10)/COUNTIFS(Raw_Data[id], Raw_Data[id], Raw_Data[artist_names], Raw_Data[artist_names], Raw_Data[peak_rank], Raw_Data[peak_rank])), 0)</f>
        <v>1</v>
      </c>
      <c r="E62" s="53">
        <f t="shared" si="1"/>
        <v>6.25E-2</v>
      </c>
      <c r="F62" s="39"/>
      <c r="G62" s="35"/>
      <c r="H62" s="35"/>
    </row>
    <row r="63" spans="1:8" ht="18.75">
      <c r="A63" s="45">
        <v>9</v>
      </c>
      <c r="B63" s="45" t="s">
        <v>141</v>
      </c>
      <c r="C63" s="51" cm="1">
        <f t="array" ref="C63">SUMPRODUCT((Raw_Data[artist_names]=$B63)/COUNTIFS(Raw_Data[id], Raw_Data[id], Raw_Data[artist_names], Raw_Data[artist_names]))</f>
        <v>23</v>
      </c>
      <c r="D63" s="51" cm="1">
        <f t="array" ref="D63">ROUND(SUMPRODUCT((Raw_Data[artist_names]=$B63)*(Raw_Data[peak_rank]&lt;=10)/COUNTIFS(Raw_Data[id], Raw_Data[id], Raw_Data[artist_names], Raw_Data[artist_names], Raw_Data[peak_rank], Raw_Data[peak_rank])), 0)</f>
        <v>0</v>
      </c>
      <c r="E63" s="59">
        <f t="shared" si="1"/>
        <v>0</v>
      </c>
      <c r="F63" s="39"/>
      <c r="G63" s="35"/>
      <c r="H63" s="35"/>
    </row>
    <row r="64" spans="1:8" ht="18.75">
      <c r="A64" s="41">
        <v>15</v>
      </c>
      <c r="B64" s="41" t="s">
        <v>1987</v>
      </c>
      <c r="C64" s="42" cm="1">
        <f t="array" ref="C64">SUMPRODUCT((Raw_Data[artist_names]=$B64)/COUNTIFS(Raw_Data[id], Raw_Data[id], Raw_Data[artist_names], Raw_Data[artist_names]))</f>
        <v>16</v>
      </c>
      <c r="D64" s="42" cm="1">
        <f t="array" ref="D64">ROUND(SUMPRODUCT((Raw_Data[artist_names]=$B64)*(Raw_Data[peak_rank]&lt;=10)/COUNTIFS(Raw_Data[id], Raw_Data[id], Raw_Data[artist_names], Raw_Data[artist_names], Raw_Data[peak_rank], Raw_Data[peak_rank])), 0)</f>
        <v>0</v>
      </c>
      <c r="E64" s="53">
        <f t="shared" si="1"/>
        <v>0</v>
      </c>
      <c r="F64" s="39"/>
      <c r="G64" s="35"/>
      <c r="H64" s="35"/>
    </row>
    <row r="65" spans="1:8" ht="18.75">
      <c r="A65" s="45">
        <v>18</v>
      </c>
      <c r="B65" s="45" t="s">
        <v>485</v>
      </c>
      <c r="C65" s="51" cm="1">
        <f t="array" ref="C65">SUMPRODUCT((Raw_Data[artist_names]=$B65)/COUNTIFS(Raw_Data[id], Raw_Data[id], Raw_Data[artist_names], Raw_Data[artist_names]))</f>
        <v>15</v>
      </c>
      <c r="D65" s="51" cm="1">
        <f t="array" ref="D65">ROUND(SUMPRODUCT((Raw_Data[artist_names]=$B65)*(Raw_Data[peak_rank]&lt;=10)/COUNTIFS(Raw_Data[id], Raw_Data[id], Raw_Data[artist_names], Raw_Data[artist_names], Raw_Data[peak_rank], Raw_Data[peak_rank])), 0)</f>
        <v>0</v>
      </c>
      <c r="E65" s="59">
        <f t="shared" si="1"/>
        <v>0</v>
      </c>
      <c r="F65" s="39"/>
      <c r="G65" s="35"/>
      <c r="H65" s="35"/>
    </row>
    <row r="66" spans="1:8" ht="18.75">
      <c r="A66" s="39"/>
      <c r="B66" s="39"/>
      <c r="C66" s="39"/>
      <c r="D66" s="39"/>
      <c r="E66" s="39"/>
      <c r="F66" s="39"/>
      <c r="G66" s="35"/>
      <c r="H66" s="35"/>
    </row>
    <row r="67" spans="1:8" ht="20.25">
      <c r="A67" s="151" t="s">
        <v>5004</v>
      </c>
      <c r="B67" s="151"/>
      <c r="C67" s="151"/>
      <c r="D67" s="151"/>
      <c r="E67" s="151"/>
      <c r="F67" s="151"/>
      <c r="G67" s="35"/>
      <c r="H67" s="35"/>
    </row>
    <row r="68" spans="1:8" ht="18.75">
      <c r="A68" s="39"/>
      <c r="B68" s="39"/>
      <c r="C68" s="39"/>
      <c r="D68" s="39"/>
      <c r="E68" s="39"/>
      <c r="F68" s="39"/>
      <c r="G68" s="35"/>
      <c r="H68" s="35"/>
    </row>
    <row r="69" spans="1:8" ht="18.75">
      <c r="A69" s="46" t="s">
        <v>3374</v>
      </c>
      <c r="B69" s="47" t="s">
        <v>4882</v>
      </c>
      <c r="C69" s="47" t="s">
        <v>4400</v>
      </c>
      <c r="D69" s="47" t="s">
        <v>4900</v>
      </c>
      <c r="E69" s="47" t="s">
        <v>4910</v>
      </c>
      <c r="F69" s="39"/>
      <c r="G69" s="35"/>
      <c r="H69" s="35"/>
    </row>
    <row r="70" spans="1:8" ht="18.75">
      <c r="A70" s="39" t="s">
        <v>96</v>
      </c>
      <c r="B70" s="42" cm="1">
        <f t="array" ref="B70">SUMPRODUCT((Raw_Data[genre]=$A70)/COUNTIFS(Raw_Data[id], Raw_Data[id], Raw_Data[genre], Raw_Data[genre]))</f>
        <v>313.99999999999994</v>
      </c>
      <c r="C70" s="42" cm="1">
        <f t="array" ref="C70">ROUND(SUMPRODUCT((Raw_Data[genre]=$A70)*(Raw_Data[peak_rank]&lt;=10)/COUNTIFS(Raw_Data[id], Raw_Data[id], Raw_Data[genre], Raw_Data[genre], Raw_Data[peak_rank], Raw_Data[peak_rank])), 0)</f>
        <v>90</v>
      </c>
      <c r="D70" s="53">
        <f t="shared" ref="D70:D79" si="2">C70/B70</f>
        <v>0.2866242038216561</v>
      </c>
      <c r="E70" s="58">
        <f>ROUND(AVERAGEIFS(Raw_Data[peak_rank], Raw_Data[genre], $A70), 1)</f>
        <v>56.6</v>
      </c>
      <c r="F70" s="39"/>
      <c r="G70" s="35"/>
      <c r="H70" s="35"/>
    </row>
    <row r="71" spans="1:8" ht="18.75">
      <c r="A71" s="43" t="s">
        <v>115</v>
      </c>
      <c r="B71" s="51" cm="1">
        <f t="array" ref="B71">SUMPRODUCT((Raw_Data[genre]=$A71)/COUNTIFS(Raw_Data[id], Raw_Data[id], Raw_Data[genre], Raw_Data[genre]))</f>
        <v>70.000000000000057</v>
      </c>
      <c r="C71" s="51" cm="1">
        <f t="array" ref="C71">ROUND(SUMPRODUCT((Raw_Data[genre]=$A71)*(Raw_Data[peak_rank]&lt;=10)/COUNTIFS(Raw_Data[id], Raw_Data[id], Raw_Data[genre], Raw_Data[genre], Raw_Data[peak_rank], Raw_Data[peak_rank])), 0)</f>
        <v>20</v>
      </c>
      <c r="D71" s="59">
        <f t="shared" si="2"/>
        <v>0.28571428571428548</v>
      </c>
      <c r="E71" s="60">
        <f>ROUND(AVERAGEIFS(Raw_Data[peak_rank], Raw_Data[genre], $A71), 1)</f>
        <v>37.9</v>
      </c>
      <c r="F71" s="39"/>
      <c r="G71" s="35"/>
      <c r="H71" s="35"/>
    </row>
    <row r="72" spans="1:8" ht="18.75">
      <c r="A72" s="39" t="s">
        <v>128</v>
      </c>
      <c r="B72" s="42" cm="1">
        <f t="array" ref="B72">SUMPRODUCT((Raw_Data[genre]=$A72)/COUNTIFS(Raw_Data[id], Raw_Data[id], Raw_Data[genre], Raw_Data[genre]))</f>
        <v>88.999999999999972</v>
      </c>
      <c r="C72" s="42" cm="1">
        <f t="array" ref="C72">ROUND(SUMPRODUCT((Raw_Data[genre]=$A72)*(Raw_Data[peak_rank]&lt;=10)/COUNTIFS(Raw_Data[id], Raw_Data[id], Raw_Data[genre], Raw_Data[genre], Raw_Data[peak_rank], Raw_Data[peak_rank])), 0)</f>
        <v>20</v>
      </c>
      <c r="D72" s="53">
        <f t="shared" si="2"/>
        <v>0.22471910112359558</v>
      </c>
      <c r="E72" s="58">
        <f>ROUND(AVERAGEIFS(Raw_Data[peak_rank], Raw_Data[genre], $A72), 1)</f>
        <v>58.6</v>
      </c>
      <c r="F72" s="39"/>
      <c r="G72" s="35"/>
      <c r="H72" s="35"/>
    </row>
    <row r="73" spans="1:8" ht="18.75">
      <c r="A73" s="43" t="s">
        <v>26</v>
      </c>
      <c r="B73" s="51" cm="1">
        <f t="array" ref="B73">SUMPRODUCT((Raw_Data[genre]=$A73)/COUNTIFS(Raw_Data[id], Raw_Data[id], Raw_Data[genre], Raw_Data[genre]))</f>
        <v>60.000000000000014</v>
      </c>
      <c r="C73" s="51" cm="1">
        <f t="array" ref="C73">ROUND(SUMPRODUCT((Raw_Data[genre]=$A73)*(Raw_Data[peak_rank]&lt;=10)/COUNTIFS(Raw_Data[id], Raw_Data[id], Raw_Data[genre], Raw_Data[genre], Raw_Data[peak_rank], Raw_Data[peak_rank])), 0)</f>
        <v>10</v>
      </c>
      <c r="D73" s="59">
        <f t="shared" si="2"/>
        <v>0.16666666666666663</v>
      </c>
      <c r="E73" s="60">
        <f>ROUND(AVERAGEIFS(Raw_Data[peak_rank], Raw_Data[genre], $A73), 1)</f>
        <v>72.599999999999994</v>
      </c>
      <c r="F73" s="39"/>
      <c r="G73" s="35"/>
      <c r="H73" s="35"/>
    </row>
    <row r="74" spans="1:8" ht="18.75">
      <c r="A74" s="39" t="s">
        <v>74</v>
      </c>
      <c r="B74" s="42" cm="1">
        <f t="array" ref="B74">SUMPRODUCT((Raw_Data[genre]=$A74)/COUNTIFS(Raw_Data[id], Raw_Data[id], Raw_Data[genre], Raw_Data[genre]))</f>
        <v>82</v>
      </c>
      <c r="C74" s="42" cm="1">
        <f t="array" ref="C74">ROUND(SUMPRODUCT((Raw_Data[genre]=$A74)*(Raw_Data[peak_rank]&lt;=10)/COUNTIFS(Raw_Data[id], Raw_Data[id], Raw_Data[genre], Raw_Data[genre], Raw_Data[peak_rank], Raw_Data[peak_rank])), 0)</f>
        <v>12</v>
      </c>
      <c r="D74" s="53">
        <f t="shared" si="2"/>
        <v>0.14634146341463414</v>
      </c>
      <c r="E74" s="58">
        <f>ROUND(AVERAGEIFS(Raw_Data[peak_rank], Raw_Data[genre], $A74), 1)</f>
        <v>67.7</v>
      </c>
      <c r="F74" s="39"/>
      <c r="G74" s="35"/>
      <c r="H74" s="35"/>
    </row>
    <row r="75" spans="1:8" ht="18.75">
      <c r="A75" s="43" t="s">
        <v>29</v>
      </c>
      <c r="B75" s="51" cm="1">
        <f t="array" ref="B75">SUMPRODUCT((Raw_Data[genre]=$A75)/COUNTIFS(Raw_Data[id], Raw_Data[id], Raw_Data[genre], Raw_Data[genre]))</f>
        <v>84.999999999999986</v>
      </c>
      <c r="C75" s="51" cm="1">
        <f t="array" ref="C75">ROUND(SUMPRODUCT((Raw_Data[genre]=$A75)*(Raw_Data[peak_rank]&lt;=10)/COUNTIFS(Raw_Data[id], Raw_Data[id], Raw_Data[genre], Raw_Data[genre], Raw_Data[peak_rank], Raw_Data[peak_rank])), 0)</f>
        <v>11</v>
      </c>
      <c r="D75" s="59">
        <f t="shared" si="2"/>
        <v>0.12941176470588237</v>
      </c>
      <c r="E75" s="60">
        <f>ROUND(AVERAGEIFS(Raw_Data[peak_rank], Raw_Data[genre], $A75), 1)</f>
        <v>60.2</v>
      </c>
      <c r="F75" s="39"/>
      <c r="G75" s="35"/>
      <c r="H75" s="35"/>
    </row>
    <row r="76" spans="1:8" ht="18.75">
      <c r="A76" s="39" t="s">
        <v>48</v>
      </c>
      <c r="B76" s="42" cm="1">
        <f t="array" ref="B76">SUMPRODUCT((Raw_Data[genre]=$A76)/COUNTIFS(Raw_Data[id], Raw_Data[id], Raw_Data[genre], Raw_Data[genre]))</f>
        <v>154.99999999999994</v>
      </c>
      <c r="C76" s="42" cm="1">
        <f t="array" ref="C76">ROUND(SUMPRODUCT((Raw_Data[genre]=$A76)*(Raw_Data[peak_rank]&lt;=10)/COUNTIFS(Raw_Data[id], Raw_Data[id], Raw_Data[genre], Raw_Data[genre], Raw_Data[peak_rank], Raw_Data[peak_rank])), 0)</f>
        <v>19</v>
      </c>
      <c r="D76" s="53">
        <f t="shared" si="2"/>
        <v>0.12258064516129037</v>
      </c>
      <c r="E76" s="58">
        <f>ROUND(AVERAGEIFS(Raw_Data[peak_rank], Raw_Data[genre], $A76), 1)</f>
        <v>76</v>
      </c>
      <c r="F76" s="39"/>
      <c r="G76" s="35"/>
      <c r="H76" s="35"/>
    </row>
    <row r="77" spans="1:8" ht="18.75">
      <c r="A77" s="43" t="s">
        <v>359</v>
      </c>
      <c r="B77" s="51" cm="1">
        <f t="array" ref="B77">SUMPRODUCT((Raw_Data[genre]=$A77)/COUNTIFS(Raw_Data[id], Raw_Data[id], Raw_Data[genre], Raw_Data[genre]))</f>
        <v>18.999999999999989</v>
      </c>
      <c r="C77" s="51" cm="1">
        <f t="array" ref="C77">ROUND(SUMPRODUCT((Raw_Data[genre]=$A77)*(Raw_Data[peak_rank]&lt;=10)/COUNTIFS(Raw_Data[id], Raw_Data[id], Raw_Data[genre], Raw_Data[genre], Raw_Data[peak_rank], Raw_Data[peak_rank])), 0)</f>
        <v>2</v>
      </c>
      <c r="D77" s="59">
        <f t="shared" si="2"/>
        <v>0.10526315789473691</v>
      </c>
      <c r="E77" s="60">
        <f>ROUND(AVERAGEIFS(Raw_Data[peak_rank], Raw_Data[genre], $A77), 1)</f>
        <v>128.4</v>
      </c>
      <c r="F77" s="39"/>
      <c r="G77" s="35"/>
      <c r="H77" s="35"/>
    </row>
    <row r="78" spans="1:8" ht="18.75">
      <c r="A78" s="39" t="s">
        <v>61</v>
      </c>
      <c r="B78" s="42" cm="1">
        <f t="array" ref="B78">SUMPRODUCT((Raw_Data[genre]=$A78)/COUNTIFS(Raw_Data[id], Raw_Data[id], Raw_Data[genre], Raw_Data[genre]))</f>
        <v>77</v>
      </c>
      <c r="C78" s="42" cm="1">
        <f t="array" ref="C78">ROUND(SUMPRODUCT((Raw_Data[genre]=$A78)*(Raw_Data[peak_rank]&lt;=10)/COUNTIFS(Raw_Data[id], Raw_Data[id], Raw_Data[genre], Raw_Data[genre], Raw_Data[peak_rank], Raw_Data[peak_rank])), 0)</f>
        <v>1</v>
      </c>
      <c r="D78" s="53">
        <f t="shared" si="2"/>
        <v>1.2987012987012988E-2</v>
      </c>
      <c r="E78" s="58">
        <f>ROUND(AVERAGEIFS(Raw_Data[peak_rank], Raw_Data[genre], $A78), 1)</f>
        <v>78.3</v>
      </c>
      <c r="F78" s="39"/>
      <c r="G78" s="35"/>
      <c r="H78" s="35"/>
    </row>
    <row r="79" spans="1:8" ht="18.75">
      <c r="A79" s="43" t="s">
        <v>534</v>
      </c>
      <c r="B79" s="51" cm="1">
        <f t="array" ref="B79">SUMPRODUCT((Raw_Data[genre]=$A79)/COUNTIFS(Raw_Data[id], Raw_Data[id], Raw_Data[genre], Raw_Data[genre]))</f>
        <v>13.999999999999998</v>
      </c>
      <c r="C79" s="51" cm="1">
        <f t="array" ref="C79">ROUND(SUMPRODUCT((Raw_Data[genre]=$A79)*(Raw_Data[peak_rank]&lt;=10)/COUNTIFS(Raw_Data[id], Raw_Data[id], Raw_Data[genre], Raw_Data[genre], Raw_Data[peak_rank], Raw_Data[peak_rank])), 0)</f>
        <v>0</v>
      </c>
      <c r="D79" s="63">
        <f t="shared" si="2"/>
        <v>0</v>
      </c>
      <c r="E79" s="60">
        <f>ROUND(AVERAGEIFS(Raw_Data[peak_rank], Raw_Data[genre], $A79), 1)</f>
        <v>109.2</v>
      </c>
      <c r="F79" s="39"/>
      <c r="G79" s="35"/>
      <c r="H79" s="35"/>
    </row>
    <row r="80" spans="1:8" ht="18.75">
      <c r="A80" s="39"/>
      <c r="B80" s="39"/>
      <c r="C80" s="39"/>
      <c r="D80" s="39"/>
      <c r="E80" s="39"/>
      <c r="F80" s="39"/>
      <c r="G80" s="35"/>
      <c r="H80" s="35"/>
    </row>
    <row r="81" spans="1:8" ht="20.25">
      <c r="A81" s="151" t="s">
        <v>5005</v>
      </c>
      <c r="B81" s="151"/>
      <c r="C81" s="151"/>
      <c r="D81" s="151"/>
      <c r="E81" s="151"/>
      <c r="F81" s="151"/>
      <c r="G81" s="35"/>
      <c r="H81" s="35"/>
    </row>
    <row r="82" spans="1:8" ht="18.75">
      <c r="A82" s="39"/>
      <c r="B82" s="39"/>
      <c r="C82" s="39"/>
      <c r="D82" s="39"/>
      <c r="E82" s="39"/>
      <c r="F82" s="39"/>
      <c r="G82" s="35"/>
      <c r="H82" s="35"/>
    </row>
    <row r="83" spans="1:8" ht="18.75">
      <c r="A83" s="46" t="s">
        <v>3374</v>
      </c>
      <c r="B83" s="47" t="s">
        <v>4913</v>
      </c>
      <c r="C83" s="47" t="s">
        <v>4911</v>
      </c>
      <c r="D83" s="47" t="s">
        <v>4912</v>
      </c>
      <c r="E83" s="39"/>
      <c r="F83" s="39"/>
      <c r="G83" s="35"/>
      <c r="H83" s="35"/>
    </row>
    <row r="84" spans="1:8" ht="18.75">
      <c r="A84" s="39" t="s">
        <v>96</v>
      </c>
      <c r="B84" s="42" cm="1">
        <f t="array" ref="B84">ROUND(SUMPRODUCT((Raw_Data[genre]=$A84)*(Raw_Data[peak_rank]&lt;=10)/COUNTIFS(Raw_Data[id], Raw_Data[id], Raw_Data[genre], Raw_Data[genre], Raw_Data[peak_rank], Raw_Data[peak_rank])), 0)</f>
        <v>90</v>
      </c>
      <c r="C84" s="42" cm="1">
        <f t="array" ref="C84">ROUND(SUMPRODUCT((Raw_Data[genre]=$A84)*(Raw_Data[peak_rank]&lt;=10)*ISNUMBER(MATCH(Raw_Data[artist_names], $B$46:$B$65, 0))/COUNTIFS(Raw_Data[id], Raw_Data[id], Raw_Data[genre], Raw_Data[genre], Raw_Data[peak_rank], Raw_Data[peak_rank])), 0)</f>
        <v>51</v>
      </c>
      <c r="D84" s="61">
        <f t="shared" ref="D84:D92" si="3">C84/B84</f>
        <v>0.56666666666666665</v>
      </c>
      <c r="E84" s="39"/>
      <c r="F84" s="39"/>
      <c r="G84" s="35"/>
      <c r="H84" s="35"/>
    </row>
    <row r="85" spans="1:8" ht="18.75">
      <c r="A85" s="43" t="s">
        <v>128</v>
      </c>
      <c r="B85" s="51" cm="1">
        <f t="array" ref="B85">ROUND(SUMPRODUCT((Raw_Data[genre]=$A85)*(Raw_Data[peak_rank]&lt;=10)/COUNTIFS(Raw_Data[id], Raw_Data[id], Raw_Data[genre], Raw_Data[genre], Raw_Data[peak_rank], Raw_Data[peak_rank])), 0)</f>
        <v>20</v>
      </c>
      <c r="C85" s="51" cm="1">
        <f t="array" ref="C85">ROUND(SUMPRODUCT((Raw_Data[genre]=$A85)*(Raw_Data[peak_rank]&lt;=10)*ISNUMBER(MATCH(Raw_Data[artist_names], $B$46:$B$65, 0))/COUNTIFS(Raw_Data[id], Raw_Data[id], Raw_Data[genre], Raw_Data[genre], Raw_Data[peak_rank], Raw_Data[peak_rank])), 0)</f>
        <v>11</v>
      </c>
      <c r="D85" s="63">
        <f t="shared" si="3"/>
        <v>0.55000000000000004</v>
      </c>
      <c r="E85" s="39"/>
      <c r="F85" s="39"/>
      <c r="G85" s="35"/>
      <c r="H85" s="35"/>
    </row>
    <row r="86" spans="1:8" ht="18.75">
      <c r="A86" s="39" t="s">
        <v>115</v>
      </c>
      <c r="B86" s="42" cm="1">
        <f t="array" ref="B86">ROUND(SUMPRODUCT((Raw_Data[genre]=$A86)*(Raw_Data[peak_rank]&lt;=10)/COUNTIFS(Raw_Data[id], Raw_Data[id], Raw_Data[genre], Raw_Data[genre], Raw_Data[peak_rank], Raw_Data[peak_rank])), 0)</f>
        <v>20</v>
      </c>
      <c r="C86" s="42" cm="1">
        <f t="array" ref="C86">ROUND(SUMPRODUCT((Raw_Data[genre]=$A86)*(Raw_Data[peak_rank]&lt;=10)*ISNUMBER(MATCH(Raw_Data[artist_names], $B$46:$B$65, 0))/COUNTIFS(Raw_Data[id], Raw_Data[id], Raw_Data[genre], Raw_Data[genre], Raw_Data[peak_rank], Raw_Data[peak_rank])), 0)</f>
        <v>10</v>
      </c>
      <c r="D86" s="61">
        <f t="shared" si="3"/>
        <v>0.5</v>
      </c>
      <c r="E86" s="39"/>
      <c r="F86" s="39"/>
      <c r="G86" s="35"/>
      <c r="H86" s="35"/>
    </row>
    <row r="87" spans="1:8" ht="18.75">
      <c r="A87" s="43" t="s">
        <v>26</v>
      </c>
      <c r="B87" s="51" cm="1">
        <f t="array" ref="B87">ROUND(SUMPRODUCT((Raw_Data[genre]=$A87)*(Raw_Data[peak_rank]&lt;=10)/COUNTIFS(Raw_Data[id], Raw_Data[id], Raw_Data[genre], Raw_Data[genre], Raw_Data[peak_rank], Raw_Data[peak_rank])), 0)</f>
        <v>10</v>
      </c>
      <c r="C87" s="51" cm="1">
        <f t="array" ref="C87">ROUND(SUMPRODUCT((Raw_Data[genre]=$A87)*(Raw_Data[peak_rank]&lt;=10)*ISNUMBER(MATCH(Raw_Data[artist_names], $B$46:$B$65, 0))/COUNTIFS(Raw_Data[id], Raw_Data[id], Raw_Data[genre], Raw_Data[genre], Raw_Data[peak_rank], Raw_Data[peak_rank])), 0)</f>
        <v>5</v>
      </c>
      <c r="D87" s="63">
        <f t="shared" si="3"/>
        <v>0.5</v>
      </c>
      <c r="E87" s="39"/>
      <c r="F87" s="39"/>
      <c r="G87" s="35"/>
      <c r="H87" s="35"/>
    </row>
    <row r="88" spans="1:8" ht="18.75">
      <c r="A88" s="39" t="s">
        <v>48</v>
      </c>
      <c r="B88" s="42" cm="1">
        <f t="array" ref="B88">ROUND(SUMPRODUCT((Raw_Data[genre]=$A88)*(Raw_Data[peak_rank]&lt;=10)/COUNTIFS(Raw_Data[id], Raw_Data[id], Raw_Data[genre], Raw_Data[genre], Raw_Data[peak_rank], Raw_Data[peak_rank])), 0)</f>
        <v>19</v>
      </c>
      <c r="C88" s="42" cm="1">
        <f t="array" ref="C88">ROUND(SUMPRODUCT((Raw_Data[genre]=$A88)*(Raw_Data[peak_rank]&lt;=10)*ISNUMBER(MATCH(Raw_Data[artist_names], $B$46:$B$65, 0))/COUNTIFS(Raw_Data[id], Raw_Data[id], Raw_Data[genre], Raw_Data[genre], Raw_Data[peak_rank], Raw_Data[peak_rank])), 0)</f>
        <v>8</v>
      </c>
      <c r="D88" s="61">
        <f t="shared" si="3"/>
        <v>0.42105263157894735</v>
      </c>
      <c r="E88" s="39"/>
      <c r="F88" s="39"/>
      <c r="G88" s="35"/>
      <c r="H88" s="35"/>
    </row>
    <row r="89" spans="1:8" ht="18.75">
      <c r="A89" s="43" t="s">
        <v>74</v>
      </c>
      <c r="B89" s="51" cm="1">
        <f t="array" ref="B89">ROUND(SUMPRODUCT((Raw_Data[genre]=$A89)*(Raw_Data[peak_rank]&lt;=10)/COUNTIFS(Raw_Data[id], Raw_Data[id], Raw_Data[genre], Raw_Data[genre], Raw_Data[peak_rank], Raw_Data[peak_rank])), 0)</f>
        <v>12</v>
      </c>
      <c r="C89" s="51" cm="1">
        <f t="array" ref="C89">ROUND(SUMPRODUCT((Raw_Data[genre]=$A89)*(Raw_Data[peak_rank]&lt;=10)*ISNUMBER(MATCH(Raw_Data[artist_names], $B$46:$B$65, 0))/COUNTIFS(Raw_Data[id], Raw_Data[id], Raw_Data[genre], Raw_Data[genre], Raw_Data[peak_rank], Raw_Data[peak_rank])), 0)</f>
        <v>4</v>
      </c>
      <c r="D89" s="63">
        <f t="shared" si="3"/>
        <v>0.33333333333333331</v>
      </c>
      <c r="E89" s="39"/>
      <c r="F89" s="39"/>
      <c r="G89" s="35"/>
      <c r="H89" s="35"/>
    </row>
    <row r="90" spans="1:8" ht="18.75">
      <c r="A90" s="39" t="s">
        <v>29</v>
      </c>
      <c r="B90" s="42" cm="1">
        <f t="array" ref="B90">ROUND(SUMPRODUCT((Raw_Data[genre]=$A90)*(Raw_Data[peak_rank]&lt;=10)/COUNTIFS(Raw_Data[id], Raw_Data[id], Raw_Data[genre], Raw_Data[genre], Raw_Data[peak_rank], Raw_Data[peak_rank])), 0)</f>
        <v>11</v>
      </c>
      <c r="C90" s="42" cm="1">
        <f t="array" ref="C90">ROUND(SUMPRODUCT((Raw_Data[genre]=$A90)*(Raw_Data[peak_rank]&lt;=10)*ISNUMBER(MATCH(Raw_Data[artist_names], $B$46:$B$65, 0))/COUNTIFS(Raw_Data[id], Raw_Data[id], Raw_Data[genre], Raw_Data[genre], Raw_Data[peak_rank], Raw_Data[peak_rank])), 0)</f>
        <v>1</v>
      </c>
      <c r="D90" s="61">
        <f t="shared" si="3"/>
        <v>9.0909090909090912E-2</v>
      </c>
      <c r="E90" s="39"/>
      <c r="F90" s="39"/>
      <c r="G90" s="35"/>
      <c r="H90" s="35"/>
    </row>
    <row r="91" spans="1:8" ht="18.75">
      <c r="A91" s="43" t="s">
        <v>61</v>
      </c>
      <c r="B91" s="51" cm="1">
        <f t="array" ref="B91">ROUND(SUMPRODUCT((Raw_Data[genre]=$A91)*(Raw_Data[peak_rank]&lt;=10)/COUNTIFS(Raw_Data[id], Raw_Data[id], Raw_Data[genre], Raw_Data[genre], Raw_Data[peak_rank], Raw_Data[peak_rank])), 0)</f>
        <v>1</v>
      </c>
      <c r="C91" s="51" cm="1">
        <f t="array" ref="C91">ROUND(SUMPRODUCT((Raw_Data[genre]=$A91)*(Raw_Data[peak_rank]&lt;=10)*ISNUMBER(MATCH(Raw_Data[artist_names], $B$46:$B$65, 0))/COUNTIFS(Raw_Data[id], Raw_Data[id], Raw_Data[genre], Raw_Data[genre], Raw_Data[peak_rank], Raw_Data[peak_rank])), 0)</f>
        <v>0</v>
      </c>
      <c r="D91" s="63">
        <f t="shared" si="3"/>
        <v>0</v>
      </c>
      <c r="E91" s="39"/>
      <c r="F91" s="39"/>
      <c r="G91" s="35"/>
      <c r="H91" s="35"/>
    </row>
    <row r="92" spans="1:8" ht="18.75">
      <c r="A92" s="39" t="s">
        <v>359</v>
      </c>
      <c r="B92" s="42" cm="1">
        <f t="array" ref="B92">ROUND(SUMPRODUCT((Raw_Data[genre]=$A92)*(Raw_Data[peak_rank]&lt;=10)/COUNTIFS(Raw_Data[id], Raw_Data[id], Raw_Data[genre], Raw_Data[genre], Raw_Data[peak_rank], Raw_Data[peak_rank])), 0)</f>
        <v>2</v>
      </c>
      <c r="C92" s="42" cm="1">
        <f t="array" ref="C92">ROUND(SUMPRODUCT((Raw_Data[genre]=$A92)*(Raw_Data[peak_rank]&lt;=10)*ISNUMBER(MATCH(Raw_Data[artist_names], $B$46:$B$65, 0))/COUNTIFS(Raw_Data[id], Raw_Data[id], Raw_Data[genre], Raw_Data[genre], Raw_Data[peak_rank], Raw_Data[peak_rank])), 0)</f>
        <v>0</v>
      </c>
      <c r="D92" s="61">
        <f t="shared" si="3"/>
        <v>0</v>
      </c>
      <c r="E92" s="39"/>
      <c r="F92" s="39"/>
      <c r="G92" s="35"/>
      <c r="H92" s="35"/>
    </row>
    <row r="93" spans="1:8" ht="18.75">
      <c r="A93" s="43" t="s">
        <v>534</v>
      </c>
      <c r="B93" s="51" cm="1">
        <f t="array" ref="B93">ROUND(SUMPRODUCT((Raw_Data[genre]=$A93)*(Raw_Data[peak_rank]&lt;=10)/COUNTIFS(Raw_Data[id], Raw_Data[id], Raw_Data[genre], Raw_Data[genre], Raw_Data[peak_rank], Raw_Data[peak_rank])), 0)</f>
        <v>0</v>
      </c>
      <c r="C93" s="51" cm="1">
        <f t="array" ref="C93">ROUND(SUMPRODUCT((Raw_Data[genre]=$A93)*(Raw_Data[peak_rank]&lt;=10)*ISNUMBER(MATCH(Raw_Data[artist_names], $B$46:$B$65, 0))/COUNTIFS(Raw_Data[id], Raw_Data[id], Raw_Data[genre], Raw_Data[genre], Raw_Data[peak_rank], Raw_Data[peak_rank])), 0)</f>
        <v>0</v>
      </c>
      <c r="D93" s="63">
        <v>0</v>
      </c>
      <c r="E93" s="39"/>
      <c r="F93" s="39"/>
      <c r="G93" s="35"/>
      <c r="H93" s="35"/>
    </row>
    <row r="94" spans="1:8" ht="18.75">
      <c r="A94" s="39"/>
      <c r="B94" s="39"/>
      <c r="C94" s="39"/>
      <c r="D94" s="39"/>
      <c r="E94" s="39"/>
      <c r="F94" s="39"/>
      <c r="G94" s="35"/>
      <c r="H94" s="35"/>
    </row>
    <row r="95" spans="1:8" ht="20.25">
      <c r="A95" s="151" t="s">
        <v>5006</v>
      </c>
      <c r="B95" s="151"/>
      <c r="C95" s="151"/>
      <c r="D95" s="151"/>
      <c r="E95" s="151"/>
      <c r="F95" s="151"/>
      <c r="G95" s="35"/>
      <c r="H95" s="35"/>
    </row>
    <row r="96" spans="1:8" ht="18.75">
      <c r="A96" s="39"/>
      <c r="B96" s="39"/>
      <c r="C96" s="39"/>
      <c r="D96" s="39"/>
      <c r="E96" s="39"/>
      <c r="F96" s="39"/>
      <c r="G96" s="35"/>
      <c r="H96" s="35"/>
    </row>
    <row r="97" spans="1:8" ht="18.75">
      <c r="A97" s="46" t="s">
        <v>4872</v>
      </c>
      <c r="B97" s="47" t="s">
        <v>4916</v>
      </c>
      <c r="C97" s="47" t="s">
        <v>4399</v>
      </c>
      <c r="D97" s="47" t="s">
        <v>4912</v>
      </c>
      <c r="E97" s="39"/>
      <c r="F97" s="39"/>
      <c r="G97" s="35"/>
      <c r="H97" s="35"/>
    </row>
    <row r="98" spans="1:8" ht="18.75">
      <c r="A98" s="39" t="s">
        <v>5019</v>
      </c>
      <c r="B98" s="42" cm="1">
        <f t="array" ref="B98">ROUND(SUMPRODUCT((Raw_Data[peak_rank]&lt;=10)*(Raw_Data[explicit]=TRUE)/COUNTIFS(Raw_Data[id], Raw_Data[id], Raw_Data[peak_rank], Raw_Data[peak_rank])), 0)</f>
        <v>57</v>
      </c>
      <c r="C98" s="42" cm="1">
        <f t="array" ref="C98">ROUND(SUMPRODUCT((Raw_Data[peak_rank]&lt;=10)/COUNTIFS(Raw_Data[id], Raw_Data[id], Raw_Data[peak_rank], Raw_Data[peak_rank])), 0)</f>
        <v>214</v>
      </c>
      <c r="D98" s="61">
        <f>B98/C98</f>
        <v>0.26635514018691586</v>
      </c>
      <c r="E98" s="39"/>
      <c r="F98" s="39"/>
      <c r="G98" s="35"/>
      <c r="H98" s="35"/>
    </row>
    <row r="99" spans="1:8" ht="18.75">
      <c r="A99" s="43" t="s">
        <v>4402</v>
      </c>
      <c r="B99" s="51" cm="1">
        <f t="array" ref="B99">ROUND(SUMPRODUCT((Raw_Data[peak_rank]&gt;=51)*(Raw_Data[explicit]=TRUE)/COUNTIFS(Raw_Data[id], Raw_Data[id], Raw_Data[peak_rank], Raw_Data[peak_rank])), 0)</f>
        <v>231</v>
      </c>
      <c r="C99" s="51" cm="1">
        <f t="array" ref="C99">ROUND(SUMPRODUCT((Raw_Data[peak_rank]&gt;=51)/COUNTIFS(Raw_Data[id], Raw_Data[id], Raw_Data[peak_rank], Raw_Data[peak_rank])), 0)</f>
        <v>682</v>
      </c>
      <c r="D99" s="63">
        <f>B99/C99</f>
        <v>0.33870967741935482</v>
      </c>
      <c r="E99" s="39"/>
      <c r="F99" s="39"/>
      <c r="G99" s="35"/>
      <c r="H99" s="35"/>
    </row>
    <row r="100" spans="1:8" ht="18.75">
      <c r="A100" s="39" t="s">
        <v>5020</v>
      </c>
      <c r="B100" s="42" cm="1">
        <f t="array" ref="B100">ROUND(SUMPRODUCT((Raw_Data[explicit]=TRUE)*ISNUMBER(MATCH(Raw_Data[artist_names], $B$46:$B$65, 0))/COUNTIFS(Raw_Data[id], Raw_Data[id], Raw_Data[artist_names], Raw_Data[artist_names])), 0)</f>
        <v>197</v>
      </c>
      <c r="C100" s="42" cm="1">
        <f t="array" ref="C100">ROUND(SUMPRODUCT(ISNUMBER(MATCH(Raw_Data[artist_names], $B$46:$B$65, 0))/COUNTIFS(Raw_Data[id], Raw_Data[id], Raw_Data[artist_names], Raw_Data[artist_names])), 0)</f>
        <v>448</v>
      </c>
      <c r="D100" s="61">
        <f>B100/C100</f>
        <v>0.43973214285714285</v>
      </c>
      <c r="E100" s="39"/>
      <c r="F100" s="39"/>
      <c r="G100" s="35"/>
      <c r="H100" s="35"/>
    </row>
    <row r="101" spans="1:8" ht="18.75">
      <c r="A101" s="43" t="s">
        <v>5021</v>
      </c>
      <c r="B101" s="51" cm="1">
        <f t="array" ref="B101">ROUND(SUMPRODUCT((Raw_Data[explicit]=TRUE)*(1-ISNUMBER(MATCH(Raw_Data[artist_names], $B$46:$B$65, 0)))/COUNTIFS(Raw_Data[id], Raw_Data[id], Raw_Data[artist_names], Raw_Data[artist_names])), 0)</f>
        <v>510</v>
      </c>
      <c r="C101" s="51">
        <f>$C$19-C100</f>
        <v>824.00000000000023</v>
      </c>
      <c r="D101" s="63">
        <f>B101/C101</f>
        <v>0.61893203883495129</v>
      </c>
      <c r="E101" s="39"/>
      <c r="F101" s="39"/>
      <c r="G101" s="35"/>
      <c r="H101" s="35"/>
    </row>
    <row r="102" spans="1:8" ht="18.75">
      <c r="A102" s="39"/>
      <c r="B102" s="39"/>
      <c r="C102" s="39"/>
      <c r="D102" s="39"/>
      <c r="E102" s="39"/>
      <c r="F102" s="39"/>
      <c r="G102" s="35"/>
      <c r="H102" s="35"/>
    </row>
    <row r="103" spans="1:8" ht="20.25">
      <c r="A103" s="151" t="s">
        <v>5007</v>
      </c>
      <c r="B103" s="151"/>
      <c r="C103" s="151"/>
      <c r="D103" s="151"/>
      <c r="E103" s="151"/>
      <c r="F103" s="151"/>
      <c r="G103" s="35"/>
      <c r="H103" s="35"/>
    </row>
    <row r="104" spans="1:8" ht="18.75">
      <c r="A104" s="39"/>
      <c r="B104" s="39"/>
      <c r="C104" s="39"/>
      <c r="D104" s="39"/>
      <c r="E104" s="39"/>
      <c r="F104" s="39"/>
      <c r="G104" s="35"/>
      <c r="H104" s="35"/>
    </row>
    <row r="105" spans="1:8" ht="18.75">
      <c r="A105" s="46" t="s">
        <v>4884</v>
      </c>
      <c r="B105" s="47" t="s">
        <v>4917</v>
      </c>
      <c r="C105" s="39"/>
      <c r="D105" s="39"/>
      <c r="E105" s="39"/>
      <c r="F105" s="39"/>
      <c r="G105" s="35"/>
      <c r="H105" s="35"/>
    </row>
    <row r="106" spans="1:8" ht="18.75">
      <c r="A106" s="39" t="s">
        <v>4888</v>
      </c>
      <c r="B106" s="55">
        <f>CORREL(Raw_Data[peak_rank], Raw_Data[danceability])</f>
        <v>3.3714429816481921E-2</v>
      </c>
      <c r="C106" s="39"/>
      <c r="D106" s="39"/>
      <c r="E106" s="39"/>
      <c r="F106" s="39"/>
      <c r="G106" s="35"/>
      <c r="H106" s="35"/>
    </row>
    <row r="107" spans="1:8" ht="18.75">
      <c r="A107" s="43" t="s">
        <v>4889</v>
      </c>
      <c r="B107" s="57">
        <f>CORREL(Raw_Data[peak_rank], Raw_Data[energy])</f>
        <v>6.3813993249365875E-2</v>
      </c>
      <c r="C107" s="39"/>
      <c r="D107" s="39"/>
      <c r="E107" s="39"/>
      <c r="F107" s="39"/>
      <c r="G107" s="35"/>
      <c r="H107" s="35"/>
    </row>
    <row r="108" spans="1:8" ht="18.75">
      <c r="A108" s="39" t="s">
        <v>4890</v>
      </c>
      <c r="B108" s="55">
        <f>CORREL(Raw_Data[peak_rank], Raw_Data[loudness])</f>
        <v>-0.11661791646382896</v>
      </c>
      <c r="C108" s="39"/>
      <c r="D108" s="39"/>
      <c r="E108" s="39"/>
      <c r="F108" s="39"/>
      <c r="G108" s="35"/>
      <c r="H108" s="35"/>
    </row>
    <row r="109" spans="1:8" ht="18.75">
      <c r="A109" s="43" t="s">
        <v>4891</v>
      </c>
      <c r="B109" s="57">
        <f>CORREL(Raw_Data[peak_rank], Raw_Data[speechiness])</f>
        <v>-9.6685203688344368E-3</v>
      </c>
      <c r="C109" s="39"/>
      <c r="D109" s="39"/>
      <c r="E109" s="39"/>
      <c r="F109" s="39"/>
      <c r="G109" s="35"/>
      <c r="H109" s="35"/>
    </row>
    <row r="110" spans="1:8" ht="18.75">
      <c r="A110" s="39" t="s">
        <v>4892</v>
      </c>
      <c r="B110" s="55">
        <f>CORREL(Raw_Data[peak_rank], Raw_Data[acousticness])</f>
        <v>2.8429936158606221E-2</v>
      </c>
      <c r="C110" s="39"/>
      <c r="D110" s="39"/>
      <c r="E110" s="39"/>
      <c r="F110" s="39"/>
      <c r="G110" s="35"/>
      <c r="H110" s="35"/>
    </row>
    <row r="111" spans="1:8" ht="18.75">
      <c r="A111" s="43" t="s">
        <v>4918</v>
      </c>
      <c r="B111" s="57">
        <f>CORREL(Raw_Data[peak_rank], Raw_Data[instrumentalness])</f>
        <v>-6.0528386456497267E-2</v>
      </c>
      <c r="C111" s="39"/>
      <c r="D111" s="39"/>
      <c r="E111" s="39"/>
      <c r="F111" s="39"/>
      <c r="G111" s="35"/>
      <c r="H111" s="35"/>
    </row>
    <row r="112" spans="1:8" ht="18.75">
      <c r="A112" s="39" t="s">
        <v>4894</v>
      </c>
      <c r="B112" s="55">
        <f>CORREL(Raw_Data[peak_rank], Raw_Data[liveness])</f>
        <v>9.4695427038962738E-3</v>
      </c>
      <c r="C112" s="39"/>
      <c r="D112" s="39"/>
      <c r="E112" s="39"/>
      <c r="F112" s="39"/>
      <c r="G112" s="35"/>
      <c r="H112" s="35"/>
    </row>
    <row r="113" spans="1:8" ht="18.75">
      <c r="A113" s="43" t="s">
        <v>4895</v>
      </c>
      <c r="B113" s="57">
        <f>CORREL(Raw_Data[peak_rank], Raw_Data[valence])</f>
        <v>9.01665246981177E-2</v>
      </c>
      <c r="C113" s="39"/>
      <c r="D113" s="39"/>
      <c r="E113" s="39"/>
      <c r="F113" s="39"/>
      <c r="G113" s="35"/>
      <c r="H113" s="35"/>
    </row>
    <row r="114" spans="1:8" ht="18.75">
      <c r="A114" s="39" t="s">
        <v>4896</v>
      </c>
      <c r="B114" s="55">
        <f>CORREL(Raw_Data[peak_rank], Raw_Data[tempo])</f>
        <v>1.2007403205768381E-2</v>
      </c>
      <c r="C114" s="39"/>
      <c r="D114" s="39"/>
      <c r="E114" s="39"/>
      <c r="F114" s="39"/>
      <c r="G114" s="35"/>
      <c r="H114" s="35"/>
    </row>
    <row r="115" spans="1:8" ht="18.75">
      <c r="A115" s="39"/>
      <c r="B115" s="39"/>
      <c r="C115" s="39"/>
      <c r="D115" s="39"/>
      <c r="E115" s="39"/>
      <c r="F115" s="39"/>
      <c r="G115" s="35"/>
      <c r="H115" s="35"/>
    </row>
    <row r="116" spans="1:8" ht="18.75">
      <c r="A116" s="46" t="s">
        <v>5008</v>
      </c>
      <c r="B116" s="48"/>
      <c r="C116" s="35"/>
      <c r="D116" s="35"/>
      <c r="E116" s="35"/>
      <c r="F116" s="35"/>
      <c r="G116" s="35"/>
      <c r="H116" s="35"/>
    </row>
    <row r="117" spans="1:8" ht="18.75">
      <c r="A117" s="43" t="s">
        <v>3375</v>
      </c>
      <c r="B117" s="43" t="s">
        <v>5009</v>
      </c>
      <c r="C117" s="37"/>
      <c r="D117" s="37"/>
      <c r="E117" s="37"/>
    </row>
    <row r="118" spans="1:8" ht="18.75">
      <c r="A118" s="41" t="s">
        <v>182</v>
      </c>
      <c r="B118" s="39">
        <v>41</v>
      </c>
      <c r="C118" s="37"/>
      <c r="D118" s="37"/>
      <c r="E118" s="37"/>
    </row>
    <row r="119" spans="1:8" ht="18.75">
      <c r="A119" s="45" t="s">
        <v>54</v>
      </c>
      <c r="B119" s="43">
        <v>36</v>
      </c>
      <c r="C119" s="37"/>
      <c r="D119" s="37"/>
      <c r="E119" s="37"/>
    </row>
    <row r="120" spans="1:8" ht="18.75">
      <c r="A120" s="41" t="s">
        <v>131</v>
      </c>
      <c r="B120" s="39">
        <v>32</v>
      </c>
      <c r="C120" s="37"/>
      <c r="D120" s="37"/>
      <c r="E120" s="37"/>
    </row>
    <row r="121" spans="1:8" ht="18.75">
      <c r="A121" s="45" t="s">
        <v>67</v>
      </c>
      <c r="B121" s="43">
        <v>30</v>
      </c>
      <c r="C121" s="37"/>
      <c r="D121" s="37"/>
      <c r="E121" s="37"/>
    </row>
    <row r="122" spans="1:8" ht="18.75">
      <c r="A122" s="41" t="s">
        <v>430</v>
      </c>
      <c r="B122" s="39">
        <v>28</v>
      </c>
      <c r="C122" s="37"/>
      <c r="D122" s="37"/>
      <c r="E122" s="37"/>
    </row>
    <row r="123" spans="1:8" ht="18.75">
      <c r="A123" s="64" t="s">
        <v>97</v>
      </c>
      <c r="B123" s="65">
        <v>26</v>
      </c>
      <c r="C123" s="37"/>
      <c r="D123" s="37"/>
      <c r="E123" s="37"/>
    </row>
    <row r="124" spans="1:8" ht="18.75">
      <c r="A124" s="41" t="s">
        <v>32</v>
      </c>
      <c r="B124" s="39">
        <v>24</v>
      </c>
      <c r="C124" s="37"/>
      <c r="D124" s="37"/>
      <c r="E124" s="37"/>
    </row>
    <row r="125" spans="1:8" ht="18.75">
      <c r="A125" s="64" t="s">
        <v>237</v>
      </c>
      <c r="B125" s="65">
        <v>23</v>
      </c>
      <c r="C125" s="37"/>
      <c r="D125" s="37"/>
      <c r="E125" s="37"/>
    </row>
    <row r="126" spans="1:8" ht="18.75">
      <c r="A126" s="41" t="s">
        <v>141</v>
      </c>
      <c r="B126" s="39">
        <v>23</v>
      </c>
      <c r="C126" s="37"/>
      <c r="D126" s="37"/>
      <c r="E126" s="37"/>
    </row>
    <row r="127" spans="1:8" ht="18.75">
      <c r="A127" s="64" t="s">
        <v>366</v>
      </c>
      <c r="B127" s="65">
        <v>22</v>
      </c>
      <c r="C127" s="37"/>
      <c r="D127" s="37"/>
      <c r="E127" s="37"/>
    </row>
    <row r="128" spans="1:8" ht="18.75">
      <c r="A128" s="41" t="s">
        <v>705</v>
      </c>
      <c r="B128" s="39">
        <v>20</v>
      </c>
      <c r="C128" s="37"/>
      <c r="D128" s="37"/>
      <c r="E128" s="37"/>
    </row>
    <row r="129" spans="1:5" ht="18.75">
      <c r="A129" s="64" t="s">
        <v>383</v>
      </c>
      <c r="B129" s="65">
        <v>18</v>
      </c>
      <c r="C129" s="37"/>
      <c r="D129" s="37"/>
      <c r="E129" s="37"/>
    </row>
    <row r="130" spans="1:5" ht="18.75">
      <c r="A130" s="41" t="s">
        <v>51</v>
      </c>
      <c r="B130" s="39">
        <v>17</v>
      </c>
      <c r="C130" s="37"/>
      <c r="D130" s="37"/>
      <c r="E130" s="37"/>
    </row>
    <row r="131" spans="1:5" ht="18.75">
      <c r="A131" s="64" t="s">
        <v>198</v>
      </c>
      <c r="B131" s="65">
        <v>16</v>
      </c>
      <c r="C131" s="37"/>
      <c r="D131" s="37"/>
      <c r="E131" s="37"/>
    </row>
    <row r="132" spans="1:5" ht="18.75">
      <c r="A132" s="41" t="s">
        <v>1987</v>
      </c>
      <c r="B132" s="39">
        <v>16</v>
      </c>
      <c r="C132" s="37"/>
      <c r="D132" s="37"/>
      <c r="E132" s="37"/>
    </row>
    <row r="133" spans="1:5" ht="18.75">
      <c r="A133" s="64" t="s">
        <v>511</v>
      </c>
      <c r="B133" s="65">
        <v>16</v>
      </c>
      <c r="C133" s="37"/>
      <c r="D133" s="37"/>
      <c r="E133" s="37"/>
    </row>
    <row r="134" spans="1:5" ht="18.75">
      <c r="A134" s="41" t="s">
        <v>318</v>
      </c>
      <c r="B134" s="39">
        <v>15</v>
      </c>
      <c r="C134" s="37"/>
      <c r="D134" s="37"/>
      <c r="E134" s="37"/>
    </row>
    <row r="135" spans="1:5" ht="18.75">
      <c r="A135" s="64" t="s">
        <v>485</v>
      </c>
      <c r="B135" s="65">
        <v>15</v>
      </c>
      <c r="C135" s="37"/>
      <c r="D135" s="37"/>
      <c r="E135" s="37"/>
    </row>
    <row r="136" spans="1:5" ht="18.75">
      <c r="A136" s="41" t="s">
        <v>178</v>
      </c>
      <c r="B136" s="39">
        <v>15</v>
      </c>
      <c r="C136" s="37"/>
      <c r="D136" s="37"/>
      <c r="E136" s="37"/>
    </row>
    <row r="137" spans="1:5" ht="18.75">
      <c r="A137" s="64" t="s">
        <v>151</v>
      </c>
      <c r="B137" s="65">
        <v>15</v>
      </c>
      <c r="C137" s="37"/>
      <c r="D137" s="37"/>
      <c r="E137" s="37"/>
    </row>
    <row r="138" spans="1:5" ht="18.75">
      <c r="A138" s="41" t="s">
        <v>301</v>
      </c>
      <c r="B138" s="39">
        <v>14</v>
      </c>
      <c r="C138" s="37"/>
      <c r="D138" s="37"/>
      <c r="E138" s="37"/>
    </row>
    <row r="139" spans="1:5" ht="18.75">
      <c r="A139" s="66" t="s">
        <v>419</v>
      </c>
      <c r="B139" s="67">
        <v>14</v>
      </c>
      <c r="C139" s="37"/>
      <c r="D139" s="37"/>
      <c r="E139" s="37"/>
    </row>
    <row r="140" spans="1:5" ht="18.75">
      <c r="A140" s="41" t="s">
        <v>292</v>
      </c>
      <c r="B140" s="39">
        <v>14</v>
      </c>
      <c r="C140" s="37"/>
      <c r="D140" s="37"/>
      <c r="E140" s="37"/>
    </row>
    <row r="141" spans="1:5" ht="18.75">
      <c r="A141" s="66" t="s">
        <v>2061</v>
      </c>
      <c r="B141" s="67">
        <v>13</v>
      </c>
      <c r="C141" s="37"/>
      <c r="D141" s="37"/>
      <c r="E141" s="37"/>
    </row>
    <row r="142" spans="1:5" ht="18.75">
      <c r="A142" s="41" t="s">
        <v>4906</v>
      </c>
      <c r="B142" s="39">
        <v>12</v>
      </c>
      <c r="C142" s="37"/>
      <c r="D142" s="37"/>
      <c r="E142" s="37"/>
    </row>
    <row r="143" spans="1:5" ht="18.75">
      <c r="A143" s="66" t="s">
        <v>1026</v>
      </c>
      <c r="B143" s="67">
        <v>11</v>
      </c>
      <c r="C143" s="37"/>
      <c r="D143" s="37"/>
      <c r="E143" s="37"/>
    </row>
    <row r="144" spans="1:5" ht="18.75">
      <c r="A144" s="41" t="s">
        <v>678</v>
      </c>
      <c r="B144" s="39">
        <v>11</v>
      </c>
      <c r="C144" s="37"/>
      <c r="D144" s="37"/>
      <c r="E144" s="37"/>
    </row>
    <row r="145" spans="1:5" ht="18.75">
      <c r="A145" s="66" t="s">
        <v>221</v>
      </c>
      <c r="B145" s="67">
        <v>11</v>
      </c>
      <c r="C145" s="37"/>
      <c r="D145" s="37"/>
      <c r="E145" s="37"/>
    </row>
    <row r="146" spans="1:5" ht="18.75">
      <c r="A146" s="41" t="s">
        <v>1260</v>
      </c>
      <c r="B146" s="39">
        <v>10</v>
      </c>
      <c r="C146" s="37"/>
      <c r="D146" s="37"/>
      <c r="E146" s="37"/>
    </row>
    <row r="147" spans="1:5" ht="18.75">
      <c r="A147" s="66" t="s">
        <v>37</v>
      </c>
      <c r="B147" s="67">
        <v>10</v>
      </c>
      <c r="C147" s="37"/>
      <c r="D147" s="37"/>
      <c r="E147" s="37"/>
    </row>
    <row r="148" spans="1:5" ht="18.75">
      <c r="A148" s="41" t="s">
        <v>229</v>
      </c>
      <c r="B148" s="39">
        <v>9</v>
      </c>
      <c r="C148" s="37"/>
      <c r="D148" s="37"/>
      <c r="E148" s="37"/>
    </row>
    <row r="149" spans="1:5" ht="18.75">
      <c r="A149" s="66" t="s">
        <v>310</v>
      </c>
      <c r="B149" s="67">
        <v>9</v>
      </c>
      <c r="C149" s="37"/>
      <c r="D149" s="37"/>
      <c r="E149" s="37"/>
    </row>
    <row r="150" spans="1:5" ht="18.75">
      <c r="A150" s="41" t="s">
        <v>570</v>
      </c>
      <c r="B150" s="39">
        <v>9</v>
      </c>
      <c r="C150" s="37"/>
      <c r="D150" s="37"/>
      <c r="E150" s="37"/>
    </row>
    <row r="151" spans="1:5" ht="18.75">
      <c r="A151" s="66" t="s">
        <v>446</v>
      </c>
      <c r="B151" s="67">
        <v>9</v>
      </c>
      <c r="C151" s="37"/>
      <c r="D151" s="37"/>
      <c r="E151" s="37"/>
    </row>
    <row r="152" spans="1:5" ht="18.75">
      <c r="A152" s="41" t="s">
        <v>1613</v>
      </c>
      <c r="B152" s="39">
        <v>9</v>
      </c>
      <c r="C152" s="37"/>
      <c r="D152" s="37"/>
      <c r="E152" s="37"/>
    </row>
    <row r="153" spans="1:5" ht="18.75">
      <c r="A153" s="66" t="s">
        <v>159</v>
      </c>
      <c r="B153" s="67">
        <v>9</v>
      </c>
      <c r="C153" s="37"/>
      <c r="D153" s="37"/>
      <c r="E153" s="37"/>
    </row>
    <row r="154" spans="1:5" ht="18.75">
      <c r="A154" s="41" t="s">
        <v>4478</v>
      </c>
      <c r="B154" s="39">
        <v>8</v>
      </c>
      <c r="C154" s="37"/>
      <c r="D154" s="37"/>
      <c r="E154" s="37"/>
    </row>
    <row r="155" spans="1:5" ht="18.75">
      <c r="A155" s="66" t="s">
        <v>356</v>
      </c>
      <c r="B155" s="67">
        <v>8</v>
      </c>
      <c r="C155" s="37"/>
      <c r="D155" s="37"/>
      <c r="E155" s="37"/>
    </row>
    <row r="156" spans="1:5" ht="18.75">
      <c r="A156" s="41" t="s">
        <v>1603</v>
      </c>
      <c r="B156" s="39">
        <v>8</v>
      </c>
      <c r="C156" s="37"/>
      <c r="D156" s="37"/>
      <c r="E156" s="37"/>
    </row>
    <row r="157" spans="1:5" ht="18.75">
      <c r="A157" s="66" t="s">
        <v>373</v>
      </c>
      <c r="B157" s="67">
        <v>8</v>
      </c>
      <c r="C157" s="37"/>
      <c r="D157" s="37"/>
      <c r="E157" s="37"/>
    </row>
    <row r="158" spans="1:5" ht="18.75">
      <c r="A158" s="41" t="s">
        <v>2616</v>
      </c>
      <c r="B158" s="39">
        <v>7</v>
      </c>
      <c r="C158" s="37"/>
      <c r="D158" s="37"/>
      <c r="E158" s="37"/>
    </row>
    <row r="159" spans="1:5" ht="18.75">
      <c r="A159" s="66" t="s">
        <v>122</v>
      </c>
      <c r="B159" s="67">
        <v>7</v>
      </c>
      <c r="C159" s="37"/>
      <c r="D159" s="37"/>
      <c r="E159" s="37"/>
    </row>
    <row r="160" spans="1:5" ht="18.75">
      <c r="A160" s="41" t="s">
        <v>4678</v>
      </c>
      <c r="B160" s="39">
        <v>7</v>
      </c>
      <c r="C160" s="37"/>
      <c r="D160" s="37"/>
      <c r="E160" s="37"/>
    </row>
    <row r="161" spans="1:5" ht="18.75">
      <c r="A161" s="45" t="s">
        <v>4561</v>
      </c>
      <c r="B161" s="43">
        <v>7</v>
      </c>
      <c r="C161" s="37"/>
      <c r="D161" s="37"/>
      <c r="E161" s="37"/>
    </row>
    <row r="162" spans="1:5" ht="18.75">
      <c r="A162" s="41" t="s">
        <v>1112</v>
      </c>
      <c r="B162" s="39">
        <v>6</v>
      </c>
      <c r="C162" s="37"/>
      <c r="D162" s="37"/>
      <c r="E162" s="37"/>
    </row>
    <row r="163" spans="1:5" ht="18.75">
      <c r="A163" s="45" t="s">
        <v>193</v>
      </c>
      <c r="B163" s="43">
        <v>6</v>
      </c>
      <c r="C163" s="37"/>
      <c r="D163" s="37"/>
      <c r="E163" s="37"/>
    </row>
    <row r="164" spans="1:5" ht="18.75">
      <c r="A164" s="41" t="s">
        <v>4587</v>
      </c>
      <c r="B164" s="39">
        <v>6</v>
      </c>
      <c r="C164" s="37"/>
      <c r="D164" s="37"/>
      <c r="E164" s="37"/>
    </row>
    <row r="165" spans="1:5" ht="18.75">
      <c r="A165" s="45" t="s">
        <v>1158</v>
      </c>
      <c r="B165" s="43">
        <v>6</v>
      </c>
      <c r="C165" s="37"/>
      <c r="D165" s="37"/>
      <c r="E165" s="37"/>
    </row>
    <row r="166" spans="1:5" ht="18.75">
      <c r="A166" s="41" t="s">
        <v>336</v>
      </c>
      <c r="B166" s="39">
        <v>6</v>
      </c>
      <c r="C166" s="37"/>
      <c r="D166" s="37"/>
      <c r="E166" s="37"/>
    </row>
    <row r="167" spans="1:5" ht="18.75">
      <c r="A167" s="45" t="s">
        <v>477</v>
      </c>
      <c r="B167" s="43">
        <v>6</v>
      </c>
      <c r="C167" s="37"/>
      <c r="D167" s="37"/>
      <c r="E167" s="37"/>
    </row>
    <row r="168" spans="1:5" ht="18.75">
      <c r="A168" s="41" t="s">
        <v>1982</v>
      </c>
      <c r="B168" s="39">
        <v>6</v>
      </c>
      <c r="C168" s="37"/>
      <c r="D168" s="37"/>
      <c r="E168" s="37"/>
    </row>
    <row r="169" spans="1:5" ht="18.75">
      <c r="A169" s="45" t="s">
        <v>173</v>
      </c>
      <c r="B169" s="43">
        <v>6</v>
      </c>
      <c r="C169" s="37"/>
      <c r="D169" s="37"/>
      <c r="E169" s="37"/>
    </row>
    <row r="170" spans="1:5" ht="18.75">
      <c r="A170" s="41" t="s">
        <v>2556</v>
      </c>
      <c r="B170" s="39">
        <v>5</v>
      </c>
      <c r="C170" s="37"/>
      <c r="D170" s="37"/>
      <c r="E170" s="37"/>
    </row>
    <row r="171" spans="1:5" ht="18.75">
      <c r="A171" s="45" t="s">
        <v>1015</v>
      </c>
      <c r="B171" s="43">
        <v>5</v>
      </c>
      <c r="C171" s="37"/>
      <c r="D171" s="37"/>
      <c r="E171" s="37"/>
    </row>
    <row r="172" spans="1:5" ht="18.75">
      <c r="A172" s="41" t="s">
        <v>4449</v>
      </c>
      <c r="B172" s="39">
        <v>5</v>
      </c>
      <c r="C172" s="37"/>
      <c r="D172" s="37"/>
      <c r="E172" s="37"/>
    </row>
    <row r="173" spans="1:5" ht="18.75">
      <c r="A173" s="45" t="s">
        <v>461</v>
      </c>
      <c r="B173" s="43">
        <v>5</v>
      </c>
      <c r="C173" s="37"/>
      <c r="D173" s="37"/>
      <c r="E173" s="37"/>
    </row>
    <row r="174" spans="1:5" ht="18.75">
      <c r="A174" s="41" t="s">
        <v>3097</v>
      </c>
      <c r="B174" s="39">
        <v>5</v>
      </c>
      <c r="C174" s="37"/>
      <c r="D174" s="37"/>
      <c r="E174" s="37"/>
    </row>
    <row r="175" spans="1:5" ht="18.75">
      <c r="A175" s="45" t="s">
        <v>2585</v>
      </c>
      <c r="B175" s="43">
        <v>5</v>
      </c>
      <c r="C175" s="37"/>
      <c r="D175" s="37"/>
      <c r="E175" s="37"/>
    </row>
    <row r="176" spans="1:5" ht="18.75">
      <c r="A176" s="68" t="s">
        <v>264</v>
      </c>
      <c r="B176" s="69">
        <v>5</v>
      </c>
      <c r="C176" s="37"/>
      <c r="D176" s="37"/>
      <c r="E176" s="37"/>
    </row>
    <row r="177" spans="1:5" ht="18.75">
      <c r="A177" s="68" t="s">
        <v>4438</v>
      </c>
      <c r="B177" s="69">
        <v>5</v>
      </c>
      <c r="C177" s="37"/>
      <c r="D177" s="37"/>
      <c r="E177" s="37"/>
    </row>
    <row r="178" spans="1:5" ht="18.75">
      <c r="A178" s="68" t="s">
        <v>862</v>
      </c>
      <c r="B178" s="69">
        <v>5</v>
      </c>
      <c r="C178" s="37"/>
      <c r="D178" s="37"/>
      <c r="E178" s="37"/>
    </row>
    <row r="179" spans="1:5" ht="18.75">
      <c r="A179" s="68" t="s">
        <v>780</v>
      </c>
      <c r="B179" s="69">
        <v>5</v>
      </c>
      <c r="C179" s="37"/>
      <c r="D179" s="37"/>
      <c r="E179" s="37"/>
    </row>
    <row r="180" spans="1:5" ht="18.75">
      <c r="A180" s="68" t="s">
        <v>4435</v>
      </c>
      <c r="B180" s="69">
        <v>5</v>
      </c>
      <c r="C180" s="37"/>
      <c r="D180" s="37"/>
      <c r="E180" s="37"/>
    </row>
    <row r="181" spans="1:5" ht="18.75">
      <c r="A181" s="68" t="s">
        <v>347</v>
      </c>
      <c r="B181" s="69">
        <v>5</v>
      </c>
      <c r="C181" s="37"/>
      <c r="D181" s="37"/>
      <c r="E181" s="37"/>
    </row>
    <row r="182" spans="1:5" ht="18.75">
      <c r="A182" s="68" t="s">
        <v>2055</v>
      </c>
      <c r="B182" s="69">
        <v>5</v>
      </c>
      <c r="C182" s="37"/>
      <c r="D182" s="37"/>
      <c r="E182" s="37"/>
    </row>
    <row r="183" spans="1:5" ht="18.75">
      <c r="A183" s="68" t="s">
        <v>1333</v>
      </c>
      <c r="B183" s="69">
        <v>5</v>
      </c>
      <c r="C183" s="37"/>
      <c r="D183" s="37"/>
      <c r="E183" s="37"/>
    </row>
    <row r="184" spans="1:5" ht="18.75">
      <c r="A184" s="68" t="s">
        <v>1063</v>
      </c>
      <c r="B184" s="69">
        <v>5</v>
      </c>
      <c r="C184" s="37"/>
      <c r="D184" s="37"/>
      <c r="E184" s="37"/>
    </row>
    <row r="185" spans="1:5" ht="18.75">
      <c r="A185" s="68" t="s">
        <v>4602</v>
      </c>
      <c r="B185" s="69">
        <v>5</v>
      </c>
      <c r="C185" s="37"/>
      <c r="D185" s="37"/>
      <c r="E185" s="37"/>
    </row>
    <row r="186" spans="1:5" ht="18.75">
      <c r="A186" s="68" t="s">
        <v>1276</v>
      </c>
      <c r="B186" s="69">
        <v>5</v>
      </c>
      <c r="C186" s="37"/>
      <c r="D186" s="37"/>
      <c r="E186" s="37"/>
    </row>
    <row r="187" spans="1:5" ht="18.75">
      <c r="A187" s="68" t="s">
        <v>4578</v>
      </c>
      <c r="B187" s="69">
        <v>5</v>
      </c>
      <c r="C187" s="37"/>
      <c r="D187" s="37"/>
      <c r="E187" s="37"/>
    </row>
    <row r="188" spans="1:5" ht="18.75">
      <c r="A188" s="68" t="s">
        <v>2490</v>
      </c>
      <c r="B188" s="69">
        <v>4</v>
      </c>
      <c r="C188" s="37"/>
      <c r="D188" s="37"/>
      <c r="E188" s="37"/>
    </row>
    <row r="189" spans="1:5" ht="18.75">
      <c r="A189" s="68" t="s">
        <v>4425</v>
      </c>
      <c r="B189" s="69">
        <v>4</v>
      </c>
      <c r="C189" s="37"/>
      <c r="D189" s="37"/>
      <c r="E189" s="37"/>
    </row>
    <row r="190" spans="1:5" ht="18.75">
      <c r="A190" s="68" t="s">
        <v>4552</v>
      </c>
      <c r="B190" s="69">
        <v>4</v>
      </c>
      <c r="C190" s="37"/>
      <c r="D190" s="37"/>
      <c r="E190" s="37"/>
    </row>
    <row r="191" spans="1:5" ht="18.75">
      <c r="A191" s="68" t="s">
        <v>2632</v>
      </c>
      <c r="B191" s="69">
        <v>4</v>
      </c>
      <c r="C191" s="37"/>
      <c r="D191" s="37"/>
      <c r="E191" s="37"/>
    </row>
    <row r="192" spans="1:5" ht="18.75">
      <c r="A192" s="68" t="s">
        <v>766</v>
      </c>
      <c r="B192" s="69">
        <v>4</v>
      </c>
      <c r="C192" s="37"/>
      <c r="D192" s="37"/>
      <c r="E192" s="37"/>
    </row>
    <row r="193" spans="1:5" ht="18.75">
      <c r="A193" s="68" t="s">
        <v>661</v>
      </c>
      <c r="B193" s="69">
        <v>4</v>
      </c>
      <c r="C193" s="37"/>
      <c r="D193" s="37"/>
      <c r="E193" s="37"/>
    </row>
    <row r="194" spans="1:5" ht="18.75">
      <c r="A194" s="68" t="s">
        <v>118</v>
      </c>
      <c r="B194" s="69">
        <v>4</v>
      </c>
      <c r="C194" s="37"/>
      <c r="D194" s="37"/>
      <c r="E194" s="37"/>
    </row>
    <row r="195" spans="1:5" ht="18.75">
      <c r="A195" s="68" t="s">
        <v>106</v>
      </c>
      <c r="B195" s="69">
        <v>4</v>
      </c>
      <c r="C195" s="37"/>
      <c r="D195" s="37"/>
      <c r="E195" s="37"/>
    </row>
    <row r="196" spans="1:5" ht="18.75">
      <c r="A196" s="68" t="s">
        <v>4525</v>
      </c>
      <c r="B196" s="69">
        <v>4</v>
      </c>
      <c r="C196" s="37"/>
      <c r="D196" s="37"/>
      <c r="E196" s="37"/>
    </row>
    <row r="197" spans="1:5" ht="18.75">
      <c r="A197" s="68" t="s">
        <v>4580</v>
      </c>
      <c r="B197" s="69">
        <v>4</v>
      </c>
      <c r="C197" s="37"/>
      <c r="D197" s="37"/>
      <c r="E197" s="37"/>
    </row>
    <row r="198" spans="1:5" ht="18.75">
      <c r="A198" s="68" t="s">
        <v>1886</v>
      </c>
      <c r="B198" s="69">
        <v>4</v>
      </c>
      <c r="C198" s="37"/>
      <c r="D198" s="37"/>
      <c r="E198" s="37"/>
    </row>
    <row r="199" spans="1:5" ht="18.75">
      <c r="A199" s="68" t="s">
        <v>4432</v>
      </c>
      <c r="B199" s="69">
        <v>4</v>
      </c>
      <c r="C199" s="37"/>
      <c r="D199" s="37"/>
      <c r="E199" s="37"/>
    </row>
    <row r="200" spans="1:5" ht="18.75">
      <c r="A200" s="68" t="s">
        <v>2771</v>
      </c>
      <c r="B200" s="69">
        <v>4</v>
      </c>
      <c r="C200" s="37"/>
      <c r="D200" s="37"/>
      <c r="E200" s="37"/>
    </row>
    <row r="201" spans="1:5" ht="18.75">
      <c r="A201" s="68" t="s">
        <v>4730</v>
      </c>
      <c r="B201" s="69">
        <v>4</v>
      </c>
      <c r="C201" s="37"/>
      <c r="D201" s="37"/>
      <c r="E201" s="37"/>
    </row>
    <row r="202" spans="1:5" ht="18.75">
      <c r="A202" s="68" t="s">
        <v>4505</v>
      </c>
      <c r="B202" s="69">
        <v>4</v>
      </c>
      <c r="C202" s="37"/>
      <c r="D202" s="37"/>
      <c r="E202" s="37"/>
    </row>
    <row r="203" spans="1:5" ht="18.75">
      <c r="A203" s="68" t="s">
        <v>1433</v>
      </c>
      <c r="B203" s="69">
        <v>4</v>
      </c>
      <c r="C203" s="37"/>
      <c r="D203" s="37"/>
      <c r="E203" s="37"/>
    </row>
    <row r="204" spans="1:5" ht="18.75">
      <c r="A204" s="68" t="s">
        <v>4411</v>
      </c>
      <c r="B204" s="69">
        <v>4</v>
      </c>
      <c r="C204" s="37"/>
      <c r="D204" s="37"/>
      <c r="E204" s="37"/>
    </row>
    <row r="205" spans="1:5" ht="18.75">
      <c r="A205" s="68" t="s">
        <v>651</v>
      </c>
      <c r="B205" s="69">
        <v>4</v>
      </c>
      <c r="C205" s="37"/>
      <c r="D205" s="37"/>
      <c r="E205" s="37"/>
    </row>
    <row r="206" spans="1:5" ht="18.75">
      <c r="A206" s="68" t="s">
        <v>4414</v>
      </c>
      <c r="B206" s="69">
        <v>4</v>
      </c>
      <c r="C206" s="37"/>
      <c r="D206" s="37"/>
      <c r="E206" s="37"/>
    </row>
    <row r="207" spans="1:5" ht="18.75">
      <c r="A207" s="68" t="s">
        <v>1031</v>
      </c>
      <c r="B207" s="69">
        <v>4</v>
      </c>
      <c r="C207" s="37"/>
      <c r="D207" s="37"/>
      <c r="E207" s="37"/>
    </row>
    <row r="208" spans="1:5" ht="18.75">
      <c r="A208" s="68" t="s">
        <v>1006</v>
      </c>
      <c r="B208" s="69">
        <v>4</v>
      </c>
      <c r="C208" s="37"/>
      <c r="D208" s="37"/>
      <c r="E208" s="37"/>
    </row>
    <row r="209" spans="1:5" ht="18.75">
      <c r="A209" s="68" t="s">
        <v>1282</v>
      </c>
      <c r="B209" s="69">
        <v>4</v>
      </c>
      <c r="C209" s="37"/>
      <c r="D209" s="37"/>
      <c r="E209" s="37"/>
    </row>
    <row r="210" spans="1:5" ht="18.75">
      <c r="A210" s="68" t="s">
        <v>4579</v>
      </c>
      <c r="B210" s="69">
        <v>4</v>
      </c>
      <c r="C210" s="37"/>
      <c r="D210" s="37"/>
      <c r="E210" s="37"/>
    </row>
    <row r="211" spans="1:5" ht="18.75">
      <c r="A211" s="68" t="s">
        <v>452</v>
      </c>
      <c r="B211" s="69">
        <v>4</v>
      </c>
      <c r="C211" s="37"/>
      <c r="D211" s="37"/>
      <c r="E211" s="37"/>
    </row>
    <row r="212" spans="1:5" ht="18.75">
      <c r="A212" s="68" t="s">
        <v>1115</v>
      </c>
      <c r="B212" s="69">
        <v>4</v>
      </c>
      <c r="C212" s="37"/>
      <c r="D212" s="37"/>
      <c r="E212" s="37"/>
    </row>
    <row r="213" spans="1:5" ht="18.75">
      <c r="A213" s="68" t="s">
        <v>1042</v>
      </c>
      <c r="B213" s="69">
        <v>4</v>
      </c>
      <c r="C213" s="37"/>
      <c r="D213" s="37"/>
      <c r="E213" s="37"/>
    </row>
    <row r="214" spans="1:5" ht="18.75">
      <c r="A214" s="68" t="s">
        <v>648</v>
      </c>
      <c r="B214" s="69">
        <v>4</v>
      </c>
      <c r="C214" s="37"/>
      <c r="D214" s="37"/>
      <c r="E214" s="37"/>
    </row>
    <row r="215" spans="1:5" ht="18.75">
      <c r="A215" s="68" t="s">
        <v>4436</v>
      </c>
      <c r="B215" s="69">
        <v>3</v>
      </c>
      <c r="C215" s="37"/>
      <c r="D215" s="37"/>
      <c r="E215" s="37"/>
    </row>
    <row r="216" spans="1:5" ht="18.75">
      <c r="A216" s="68" t="s">
        <v>2118</v>
      </c>
      <c r="B216" s="69">
        <v>3</v>
      </c>
      <c r="C216" s="37"/>
      <c r="D216" s="37"/>
      <c r="E216" s="37"/>
    </row>
    <row r="217" spans="1:5" ht="18.75">
      <c r="A217" s="68" t="s">
        <v>241</v>
      </c>
      <c r="B217" s="69">
        <v>3</v>
      </c>
      <c r="C217" s="37"/>
      <c r="D217" s="37"/>
      <c r="E217" s="37"/>
    </row>
    <row r="218" spans="1:5" ht="18.75">
      <c r="A218" s="68" t="s">
        <v>1739</v>
      </c>
      <c r="B218" s="69">
        <v>3</v>
      </c>
      <c r="C218" s="37"/>
      <c r="D218" s="37"/>
      <c r="E218" s="37"/>
    </row>
    <row r="219" spans="1:5" ht="18.75">
      <c r="A219" s="68" t="s">
        <v>4638</v>
      </c>
      <c r="B219" s="69">
        <v>3</v>
      </c>
      <c r="C219" s="37"/>
      <c r="D219" s="37"/>
      <c r="E219" s="37"/>
    </row>
    <row r="220" spans="1:5" ht="18.75">
      <c r="A220" s="68" t="s">
        <v>2171</v>
      </c>
      <c r="B220" s="69">
        <v>3</v>
      </c>
      <c r="C220" s="37"/>
      <c r="D220" s="37"/>
      <c r="E220" s="37"/>
    </row>
    <row r="221" spans="1:5" ht="18.75">
      <c r="A221" s="68" t="s">
        <v>4654</v>
      </c>
      <c r="B221" s="69">
        <v>3</v>
      </c>
      <c r="C221" s="37"/>
      <c r="D221" s="37"/>
      <c r="E221" s="37"/>
    </row>
    <row r="222" spans="1:5" ht="18.75">
      <c r="A222" s="68" t="s">
        <v>4490</v>
      </c>
      <c r="B222" s="69">
        <v>3</v>
      </c>
      <c r="C222" s="37"/>
      <c r="D222" s="37"/>
      <c r="E222" s="37"/>
    </row>
    <row r="223" spans="1:5" ht="18.75">
      <c r="A223" s="68" t="s">
        <v>1785</v>
      </c>
      <c r="B223" s="69">
        <v>3</v>
      </c>
      <c r="C223" s="37"/>
      <c r="D223" s="37"/>
      <c r="E223" s="37"/>
    </row>
    <row r="224" spans="1:5" ht="18.75">
      <c r="A224" s="68" t="s">
        <v>471</v>
      </c>
      <c r="B224" s="69">
        <v>3</v>
      </c>
      <c r="C224" s="37"/>
      <c r="D224" s="37"/>
      <c r="E224" s="37"/>
    </row>
    <row r="225" spans="1:5" ht="18.75">
      <c r="A225" s="68" t="s">
        <v>645</v>
      </c>
      <c r="B225" s="69">
        <v>3</v>
      </c>
      <c r="C225" s="37"/>
      <c r="D225" s="37"/>
      <c r="E225" s="37"/>
    </row>
    <row r="226" spans="1:5" ht="18.75">
      <c r="A226" s="68" t="s">
        <v>4641</v>
      </c>
      <c r="B226" s="69">
        <v>3</v>
      </c>
      <c r="C226" s="37"/>
      <c r="D226" s="37"/>
      <c r="E226" s="37"/>
    </row>
    <row r="227" spans="1:5" ht="18.75">
      <c r="A227" s="68" t="s">
        <v>86</v>
      </c>
      <c r="B227" s="69">
        <v>3</v>
      </c>
      <c r="C227" s="37"/>
      <c r="D227" s="37"/>
      <c r="E227" s="37"/>
    </row>
    <row r="228" spans="1:5" ht="18.75">
      <c r="A228" s="68" t="s">
        <v>304</v>
      </c>
      <c r="B228" s="69">
        <v>3</v>
      </c>
      <c r="C228" s="37"/>
      <c r="D228" s="37"/>
      <c r="E228" s="37"/>
    </row>
    <row r="229" spans="1:5" ht="18.75">
      <c r="A229" s="68" t="s">
        <v>102</v>
      </c>
      <c r="B229" s="69">
        <v>3</v>
      </c>
      <c r="C229" s="37"/>
      <c r="D229" s="37"/>
      <c r="E229" s="37"/>
    </row>
    <row r="230" spans="1:5" ht="18.75">
      <c r="A230" s="68" t="s">
        <v>4543</v>
      </c>
      <c r="B230" s="69">
        <v>3</v>
      </c>
      <c r="C230" s="37"/>
      <c r="D230" s="37"/>
      <c r="E230" s="37"/>
    </row>
    <row r="231" spans="1:5" ht="18.75">
      <c r="A231" s="68" t="s">
        <v>720</v>
      </c>
      <c r="B231" s="69">
        <v>3</v>
      </c>
      <c r="C231" s="37"/>
      <c r="D231" s="37"/>
      <c r="E231" s="37"/>
    </row>
    <row r="232" spans="1:5" ht="18.75">
      <c r="A232" s="68" t="s">
        <v>615</v>
      </c>
      <c r="B232" s="69">
        <v>3</v>
      </c>
      <c r="C232" s="37"/>
      <c r="D232" s="37"/>
      <c r="E232" s="37"/>
    </row>
    <row r="233" spans="1:5" ht="18.75">
      <c r="A233" s="68" t="s">
        <v>542</v>
      </c>
      <c r="B233" s="69">
        <v>3</v>
      </c>
      <c r="C233" s="37"/>
      <c r="D233" s="37"/>
      <c r="E233" s="37"/>
    </row>
    <row r="234" spans="1:5" ht="18.75">
      <c r="A234" s="68" t="s">
        <v>2313</v>
      </c>
      <c r="B234" s="69">
        <v>3</v>
      </c>
      <c r="C234" s="37"/>
      <c r="D234" s="37"/>
      <c r="E234" s="37"/>
    </row>
    <row r="235" spans="1:5" ht="18.75">
      <c r="A235" s="68" t="s">
        <v>4418</v>
      </c>
      <c r="B235" s="69">
        <v>3</v>
      </c>
      <c r="C235" s="37"/>
      <c r="D235" s="37"/>
      <c r="E235" s="37"/>
    </row>
    <row r="236" spans="1:5" ht="18.75">
      <c r="A236" s="68" t="s">
        <v>971</v>
      </c>
      <c r="B236" s="69">
        <v>3</v>
      </c>
      <c r="C236" s="37"/>
      <c r="D236" s="37"/>
      <c r="E236" s="37"/>
    </row>
    <row r="237" spans="1:5" ht="18.75">
      <c r="A237" s="68" t="s">
        <v>4707</v>
      </c>
      <c r="B237" s="69">
        <v>3</v>
      </c>
      <c r="C237" s="37"/>
      <c r="D237" s="37"/>
      <c r="E237" s="37"/>
    </row>
    <row r="238" spans="1:5" ht="18.75">
      <c r="A238" s="68" t="s">
        <v>206</v>
      </c>
      <c r="B238" s="69">
        <v>3</v>
      </c>
      <c r="C238" s="37"/>
      <c r="D238" s="37"/>
      <c r="E238" s="37"/>
    </row>
    <row r="239" spans="1:5" ht="18.75">
      <c r="A239" s="68" t="s">
        <v>4530</v>
      </c>
      <c r="B239" s="69">
        <v>3</v>
      </c>
      <c r="C239" s="37"/>
      <c r="D239" s="37"/>
      <c r="E239" s="37"/>
    </row>
    <row r="240" spans="1:5" ht="18.75">
      <c r="A240" s="68" t="s">
        <v>2091</v>
      </c>
      <c r="B240" s="69">
        <v>3</v>
      </c>
      <c r="C240" s="37"/>
      <c r="D240" s="37"/>
      <c r="E240" s="37"/>
    </row>
    <row r="241" spans="1:5" ht="18.75">
      <c r="A241" s="68" t="s">
        <v>598</v>
      </c>
      <c r="B241" s="69">
        <v>3</v>
      </c>
      <c r="C241" s="37"/>
      <c r="D241" s="37"/>
      <c r="E241" s="37"/>
    </row>
    <row r="242" spans="1:5" ht="18.75">
      <c r="A242" s="68" t="s">
        <v>4570</v>
      </c>
      <c r="B242" s="69">
        <v>3</v>
      </c>
      <c r="C242" s="37"/>
      <c r="D242" s="37"/>
      <c r="E242" s="37"/>
    </row>
    <row r="243" spans="1:5" ht="18.75">
      <c r="A243" s="68" t="s">
        <v>1598</v>
      </c>
      <c r="B243" s="69">
        <v>3</v>
      </c>
      <c r="C243" s="37"/>
      <c r="D243" s="37"/>
      <c r="E243" s="37"/>
    </row>
    <row r="244" spans="1:5" ht="18.75">
      <c r="A244" s="68" t="s">
        <v>2439</v>
      </c>
      <c r="B244" s="69">
        <v>3</v>
      </c>
      <c r="C244" s="37"/>
      <c r="D244" s="37"/>
      <c r="E244" s="37"/>
    </row>
    <row r="245" spans="1:5" ht="18.75">
      <c r="A245" s="68" t="s">
        <v>4613</v>
      </c>
      <c r="B245" s="69">
        <v>3</v>
      </c>
      <c r="C245" s="37"/>
      <c r="D245" s="37"/>
      <c r="E245" s="37"/>
    </row>
    <row r="246" spans="1:5" ht="18.75">
      <c r="A246" s="68" t="s">
        <v>713</v>
      </c>
      <c r="B246" s="69">
        <v>3</v>
      </c>
      <c r="C246" s="37"/>
      <c r="D246" s="37"/>
      <c r="E246" s="37"/>
    </row>
    <row r="247" spans="1:5" ht="18.75">
      <c r="A247" s="68" t="s">
        <v>253</v>
      </c>
      <c r="B247" s="69">
        <v>3</v>
      </c>
      <c r="C247" s="37"/>
      <c r="D247" s="37"/>
      <c r="E247" s="37"/>
    </row>
    <row r="248" spans="1:5" ht="18.75">
      <c r="A248" s="68" t="s">
        <v>914</v>
      </c>
      <c r="B248" s="69">
        <v>3</v>
      </c>
      <c r="C248" s="37"/>
      <c r="D248" s="37"/>
      <c r="E248" s="37"/>
    </row>
    <row r="249" spans="1:5" ht="18.75">
      <c r="A249" s="68" t="s">
        <v>4620</v>
      </c>
      <c r="B249" s="69">
        <v>3</v>
      </c>
      <c r="C249" s="37"/>
      <c r="D249" s="37"/>
      <c r="E249" s="37"/>
    </row>
    <row r="250" spans="1:5" ht="18.75">
      <c r="A250" s="68" t="s">
        <v>4556</v>
      </c>
      <c r="B250" s="69">
        <v>3</v>
      </c>
      <c r="C250" s="37"/>
      <c r="D250" s="37"/>
      <c r="E250" s="37"/>
    </row>
    <row r="251" spans="1:5" ht="18.75">
      <c r="A251" s="68" t="s">
        <v>4659</v>
      </c>
      <c r="B251" s="69">
        <v>3</v>
      </c>
      <c r="C251" s="37"/>
      <c r="D251" s="37"/>
      <c r="E251" s="37"/>
    </row>
    <row r="252" spans="1:5" ht="18.75">
      <c r="A252" s="68" t="s">
        <v>968</v>
      </c>
      <c r="B252" s="69">
        <v>3</v>
      </c>
      <c r="C252" s="37"/>
      <c r="D252" s="37"/>
      <c r="E252" s="37"/>
    </row>
    <row r="253" spans="1:5" ht="18.75">
      <c r="A253" s="68" t="s">
        <v>2656</v>
      </c>
      <c r="B253" s="69">
        <v>3</v>
      </c>
      <c r="C253" s="37"/>
      <c r="D253" s="37"/>
      <c r="E253" s="37"/>
    </row>
    <row r="254" spans="1:5" ht="18.75">
      <c r="A254" s="68" t="s">
        <v>209</v>
      </c>
      <c r="B254" s="69">
        <v>3</v>
      </c>
      <c r="C254" s="37"/>
      <c r="D254" s="37"/>
      <c r="E254" s="37"/>
    </row>
    <row r="255" spans="1:5" ht="18.75">
      <c r="A255" s="68" t="s">
        <v>589</v>
      </c>
      <c r="B255" s="69">
        <v>3</v>
      </c>
      <c r="C255" s="37"/>
      <c r="D255" s="37"/>
      <c r="E255" s="37"/>
    </row>
    <row r="256" spans="1:5" ht="18.75">
      <c r="A256" s="68" t="s">
        <v>4555</v>
      </c>
      <c r="B256" s="69">
        <v>3</v>
      </c>
      <c r="C256" s="37"/>
      <c r="D256" s="37"/>
      <c r="E256" s="37"/>
    </row>
    <row r="257" spans="1:5" ht="18.75">
      <c r="A257" s="68" t="s">
        <v>4427</v>
      </c>
      <c r="B257" s="69">
        <v>3</v>
      </c>
      <c r="C257" s="37"/>
      <c r="D257" s="37"/>
      <c r="E257" s="37"/>
    </row>
    <row r="258" spans="1:5" ht="18.75">
      <c r="A258" s="68" t="s">
        <v>4483</v>
      </c>
      <c r="B258" s="69">
        <v>3</v>
      </c>
      <c r="C258" s="37"/>
      <c r="D258" s="37"/>
      <c r="E258" s="37"/>
    </row>
    <row r="259" spans="1:5" ht="18.75">
      <c r="A259" s="68" t="s">
        <v>1566</v>
      </c>
      <c r="B259" s="69">
        <v>3</v>
      </c>
      <c r="C259" s="37"/>
      <c r="D259" s="37"/>
      <c r="E259" s="37"/>
    </row>
    <row r="260" spans="1:5" ht="18.75">
      <c r="A260" s="68" t="s">
        <v>2826</v>
      </c>
      <c r="B260" s="69">
        <v>3</v>
      </c>
      <c r="C260" s="37"/>
      <c r="D260" s="37"/>
      <c r="E260" s="37"/>
    </row>
    <row r="261" spans="1:5" ht="18.75">
      <c r="A261" s="68" t="s">
        <v>4621</v>
      </c>
      <c r="B261" s="69">
        <v>3</v>
      </c>
      <c r="C261" s="37"/>
      <c r="D261" s="37"/>
      <c r="E261" s="37"/>
    </row>
    <row r="262" spans="1:5" ht="18.75">
      <c r="A262" s="68" t="s">
        <v>146</v>
      </c>
      <c r="B262" s="69">
        <v>3</v>
      </c>
      <c r="C262" s="37"/>
      <c r="D262" s="37"/>
      <c r="E262" s="37"/>
    </row>
    <row r="263" spans="1:5" ht="18.75">
      <c r="A263" s="68" t="s">
        <v>379</v>
      </c>
      <c r="B263" s="69">
        <v>3</v>
      </c>
      <c r="C263" s="37"/>
      <c r="D263" s="37"/>
      <c r="E263" s="37"/>
    </row>
    <row r="264" spans="1:5" ht="18.75">
      <c r="A264" s="68" t="s">
        <v>1257</v>
      </c>
      <c r="B264" s="69">
        <v>3</v>
      </c>
      <c r="C264" s="37"/>
      <c r="D264" s="37"/>
      <c r="E264" s="37"/>
    </row>
    <row r="265" spans="1:5" ht="18.75">
      <c r="A265" s="68" t="s">
        <v>977</v>
      </c>
      <c r="B265" s="69">
        <v>3</v>
      </c>
      <c r="C265" s="37"/>
      <c r="D265" s="37"/>
      <c r="E265" s="37"/>
    </row>
    <row r="266" spans="1:5" ht="18.75">
      <c r="A266" s="68" t="s">
        <v>46</v>
      </c>
      <c r="B266" s="69">
        <v>3</v>
      </c>
      <c r="C266" s="37"/>
      <c r="D266" s="37"/>
      <c r="E266" s="37"/>
    </row>
    <row r="267" spans="1:5" ht="18.75">
      <c r="A267" s="68" t="s">
        <v>4551</v>
      </c>
      <c r="B267" s="69">
        <v>3</v>
      </c>
      <c r="C267" s="37"/>
      <c r="D267" s="37"/>
      <c r="E267" s="37"/>
    </row>
    <row r="268" spans="1:5" ht="18.75">
      <c r="A268" s="68" t="s">
        <v>4514</v>
      </c>
      <c r="B268" s="69">
        <v>3</v>
      </c>
      <c r="C268" s="37"/>
      <c r="D268" s="37"/>
      <c r="E268" s="37"/>
    </row>
    <row r="269" spans="1:5" ht="18.75">
      <c r="A269" s="68" t="s">
        <v>415</v>
      </c>
      <c r="B269" s="69">
        <v>3</v>
      </c>
      <c r="C269" s="37"/>
      <c r="D269" s="37"/>
      <c r="E269" s="37"/>
    </row>
    <row r="270" spans="1:5" ht="18.75">
      <c r="A270" s="68" t="s">
        <v>4582</v>
      </c>
      <c r="B270" s="69">
        <v>2</v>
      </c>
      <c r="C270" s="37"/>
      <c r="D270" s="37"/>
      <c r="E270" s="37"/>
    </row>
    <row r="271" spans="1:5" ht="18.75">
      <c r="A271" s="68" t="s">
        <v>4442</v>
      </c>
      <c r="B271" s="69">
        <v>2</v>
      </c>
      <c r="C271" s="37"/>
      <c r="D271" s="37"/>
      <c r="E271" s="37"/>
    </row>
    <row r="272" spans="1:5" ht="18.75">
      <c r="A272" s="68" t="s">
        <v>89</v>
      </c>
      <c r="B272" s="69">
        <v>2</v>
      </c>
      <c r="C272" s="37"/>
      <c r="D272" s="37"/>
      <c r="E272" s="37"/>
    </row>
    <row r="273" spans="1:5" ht="18.75">
      <c r="A273" s="68" t="s">
        <v>4557</v>
      </c>
      <c r="B273" s="69">
        <v>2</v>
      </c>
      <c r="C273" s="37"/>
      <c r="D273" s="37"/>
      <c r="E273" s="37"/>
    </row>
    <row r="274" spans="1:5" ht="18.75">
      <c r="A274" s="68" t="s">
        <v>4700</v>
      </c>
      <c r="B274" s="69">
        <v>2</v>
      </c>
      <c r="C274" s="37"/>
      <c r="D274" s="37"/>
      <c r="E274" s="37"/>
    </row>
    <row r="275" spans="1:5" ht="18.75">
      <c r="A275" s="68" t="s">
        <v>4737</v>
      </c>
      <c r="B275" s="69">
        <v>2</v>
      </c>
      <c r="C275" s="37"/>
      <c r="D275" s="37"/>
      <c r="E275" s="37"/>
    </row>
    <row r="276" spans="1:5" ht="18.75">
      <c r="A276" s="68" t="s">
        <v>4522</v>
      </c>
      <c r="B276" s="69">
        <v>2</v>
      </c>
      <c r="C276" s="37"/>
      <c r="D276" s="37"/>
      <c r="E276" s="37"/>
    </row>
    <row r="277" spans="1:5" ht="18.75">
      <c r="A277" s="68" t="s">
        <v>4426</v>
      </c>
      <c r="B277" s="69">
        <v>2</v>
      </c>
      <c r="C277" s="37"/>
      <c r="D277" s="37"/>
      <c r="E277" s="37"/>
    </row>
    <row r="278" spans="1:5" ht="18.75">
      <c r="A278" s="68" t="s">
        <v>4538</v>
      </c>
      <c r="B278" s="69">
        <v>2</v>
      </c>
      <c r="C278" s="37"/>
      <c r="D278" s="37"/>
      <c r="E278" s="37"/>
    </row>
    <row r="279" spans="1:5" ht="18.75">
      <c r="A279" s="68" t="s">
        <v>288</v>
      </c>
      <c r="B279" s="69">
        <v>2</v>
      </c>
      <c r="C279" s="37"/>
      <c r="D279" s="37"/>
      <c r="E279" s="37"/>
    </row>
    <row r="280" spans="1:5" ht="18.75">
      <c r="A280" s="68" t="s">
        <v>1197</v>
      </c>
      <c r="B280" s="69">
        <v>2</v>
      </c>
      <c r="C280" s="37"/>
      <c r="D280" s="37"/>
      <c r="E280" s="37"/>
    </row>
    <row r="281" spans="1:5" ht="18.75">
      <c r="A281" s="68" t="s">
        <v>565</v>
      </c>
      <c r="B281" s="69">
        <v>2</v>
      </c>
      <c r="C281" s="37"/>
      <c r="D281" s="37"/>
      <c r="E281" s="37"/>
    </row>
    <row r="282" spans="1:5" ht="18.75">
      <c r="A282" s="68" t="s">
        <v>4476</v>
      </c>
      <c r="B282" s="69">
        <v>2</v>
      </c>
      <c r="C282" s="37"/>
      <c r="D282" s="37"/>
      <c r="E282" s="37"/>
    </row>
    <row r="283" spans="1:5" ht="18.75">
      <c r="A283" s="68" t="s">
        <v>3093</v>
      </c>
      <c r="B283" s="69">
        <v>2</v>
      </c>
      <c r="C283" s="37"/>
      <c r="D283" s="37"/>
      <c r="E283" s="37"/>
    </row>
    <row r="284" spans="1:5" ht="18.75">
      <c r="A284" s="68" t="s">
        <v>4851</v>
      </c>
      <c r="B284" s="69">
        <v>2</v>
      </c>
      <c r="C284" s="37"/>
      <c r="D284" s="37"/>
      <c r="E284" s="37"/>
    </row>
    <row r="285" spans="1:5" ht="18.75">
      <c r="A285" s="68" t="s">
        <v>4527</v>
      </c>
      <c r="B285" s="69">
        <v>2</v>
      </c>
      <c r="C285" s="37"/>
      <c r="D285" s="37"/>
      <c r="E285" s="37"/>
    </row>
    <row r="286" spans="1:5" ht="18.75">
      <c r="A286" s="68" t="s">
        <v>4614</v>
      </c>
      <c r="B286" s="69">
        <v>2</v>
      </c>
      <c r="C286" s="37"/>
      <c r="D286" s="37"/>
      <c r="E286" s="37"/>
    </row>
    <row r="287" spans="1:5" ht="18.75">
      <c r="A287" s="68" t="s">
        <v>4416</v>
      </c>
      <c r="B287" s="69">
        <v>2</v>
      </c>
      <c r="C287" s="37"/>
      <c r="D287" s="37"/>
      <c r="E287" s="37"/>
    </row>
    <row r="288" spans="1:5" ht="18.75">
      <c r="A288" s="68" t="s">
        <v>4586</v>
      </c>
      <c r="B288" s="69">
        <v>2</v>
      </c>
      <c r="C288" s="37"/>
      <c r="D288" s="37"/>
      <c r="E288" s="37"/>
    </row>
    <row r="289" spans="1:5">
      <c r="A289" s="38" t="s">
        <v>4406</v>
      </c>
      <c r="B289" s="37">
        <v>2</v>
      </c>
      <c r="C289" s="37"/>
      <c r="D289" s="37"/>
      <c r="E289" s="37"/>
    </row>
    <row r="290" spans="1:5">
      <c r="A290" s="38" t="s">
        <v>1835</v>
      </c>
      <c r="B290" s="37">
        <v>2</v>
      </c>
      <c r="C290" s="37"/>
      <c r="D290" s="37"/>
      <c r="E290" s="37"/>
    </row>
    <row r="291" spans="1:5">
      <c r="A291" s="38" t="s">
        <v>1084</v>
      </c>
      <c r="B291" s="37">
        <v>2</v>
      </c>
      <c r="C291" s="37"/>
      <c r="D291" s="37"/>
      <c r="E291" s="37"/>
    </row>
    <row r="292" spans="1:5">
      <c r="A292" s="38" t="s">
        <v>4584</v>
      </c>
      <c r="B292" s="37">
        <v>2</v>
      </c>
      <c r="C292" s="37"/>
      <c r="D292" s="37"/>
      <c r="E292" s="37"/>
    </row>
    <row r="293" spans="1:5">
      <c r="A293" s="38" t="s">
        <v>4560</v>
      </c>
      <c r="B293" s="37">
        <v>2</v>
      </c>
      <c r="C293" s="37"/>
      <c r="D293" s="37"/>
      <c r="E293" s="37"/>
    </row>
    <row r="294" spans="1:5">
      <c r="A294" s="38" t="s">
        <v>4633</v>
      </c>
      <c r="B294" s="37">
        <v>2</v>
      </c>
      <c r="C294" s="37"/>
      <c r="D294" s="37"/>
      <c r="E294" s="37"/>
    </row>
    <row r="295" spans="1:5">
      <c r="A295" s="38" t="s">
        <v>4499</v>
      </c>
      <c r="B295" s="37">
        <v>2</v>
      </c>
      <c r="C295" s="37"/>
      <c r="D295" s="37"/>
      <c r="E295" s="37"/>
    </row>
    <row r="296" spans="1:5">
      <c r="A296" s="38" t="s">
        <v>2759</v>
      </c>
      <c r="B296" s="37">
        <v>2</v>
      </c>
      <c r="C296" s="37"/>
      <c r="D296" s="37"/>
      <c r="E296" s="37"/>
    </row>
    <row r="297" spans="1:5">
      <c r="A297" s="38" t="s">
        <v>4455</v>
      </c>
      <c r="B297" s="37">
        <v>2</v>
      </c>
      <c r="C297" s="37"/>
      <c r="D297" s="37"/>
      <c r="E297" s="37"/>
    </row>
    <row r="298" spans="1:5">
      <c r="A298" s="38" t="s">
        <v>4667</v>
      </c>
      <c r="B298" s="37">
        <v>2</v>
      </c>
      <c r="C298" s="37"/>
      <c r="D298" s="37"/>
      <c r="E298" s="37"/>
    </row>
    <row r="299" spans="1:5">
      <c r="A299" s="38" t="s">
        <v>2211</v>
      </c>
      <c r="B299" s="37">
        <v>2</v>
      </c>
      <c r="C299" s="37"/>
      <c r="D299" s="37"/>
      <c r="E299" s="37"/>
    </row>
    <row r="300" spans="1:5">
      <c r="A300" s="38" t="s">
        <v>4714</v>
      </c>
      <c r="B300" s="37">
        <v>2</v>
      </c>
      <c r="C300" s="37"/>
      <c r="D300" s="37"/>
      <c r="E300" s="37"/>
    </row>
    <row r="301" spans="1:5">
      <c r="A301" s="38" t="s">
        <v>4648</v>
      </c>
      <c r="B301" s="37">
        <v>2</v>
      </c>
      <c r="C301" s="37"/>
      <c r="D301" s="37"/>
      <c r="E301" s="37"/>
    </row>
    <row r="302" spans="1:5">
      <c r="A302" s="38" t="s">
        <v>4592</v>
      </c>
      <c r="B302" s="37">
        <v>2</v>
      </c>
      <c r="C302" s="37"/>
      <c r="D302" s="37"/>
      <c r="E302" s="37"/>
    </row>
    <row r="303" spans="1:5">
      <c r="A303" s="38" t="s">
        <v>2960</v>
      </c>
      <c r="B303" s="37">
        <v>2</v>
      </c>
      <c r="C303" s="37"/>
      <c r="D303" s="37"/>
      <c r="E303" s="37"/>
    </row>
    <row r="304" spans="1:5">
      <c r="A304" s="38" t="s">
        <v>1787</v>
      </c>
      <c r="B304" s="37">
        <v>2</v>
      </c>
      <c r="C304" s="37"/>
      <c r="D304" s="37"/>
      <c r="E304" s="37"/>
    </row>
    <row r="305" spans="1:5">
      <c r="A305" s="38" t="s">
        <v>4446</v>
      </c>
      <c r="B305" s="37">
        <v>2</v>
      </c>
      <c r="C305" s="37"/>
      <c r="D305" s="37"/>
      <c r="E305" s="37"/>
    </row>
    <row r="306" spans="1:5">
      <c r="A306" s="38" t="s">
        <v>4423</v>
      </c>
      <c r="B306" s="37">
        <v>2</v>
      </c>
      <c r="C306" s="37"/>
      <c r="D306" s="37"/>
      <c r="E306" s="37"/>
    </row>
    <row r="307" spans="1:5">
      <c r="A307" s="38" t="s">
        <v>2975</v>
      </c>
      <c r="B307" s="37">
        <v>2</v>
      </c>
      <c r="C307" s="37"/>
      <c r="D307" s="37"/>
      <c r="E307" s="37"/>
    </row>
    <row r="308" spans="1:5">
      <c r="A308" s="38" t="s">
        <v>1748</v>
      </c>
      <c r="B308" s="37">
        <v>2</v>
      </c>
      <c r="C308" s="37"/>
      <c r="D308" s="37"/>
      <c r="E308" s="37"/>
    </row>
    <row r="309" spans="1:5">
      <c r="A309" s="38" t="s">
        <v>1965</v>
      </c>
      <c r="B309" s="37">
        <v>2</v>
      </c>
      <c r="C309" s="37"/>
      <c r="D309" s="37"/>
      <c r="E309" s="37"/>
    </row>
    <row r="310" spans="1:5">
      <c r="A310" s="38" t="s">
        <v>4545</v>
      </c>
      <c r="B310" s="37">
        <v>2</v>
      </c>
      <c r="C310" s="37"/>
      <c r="D310" s="37"/>
      <c r="E310" s="37"/>
    </row>
    <row r="311" spans="1:5">
      <c r="A311" s="38" t="s">
        <v>1286</v>
      </c>
      <c r="B311" s="37">
        <v>2</v>
      </c>
      <c r="C311" s="37"/>
      <c r="D311" s="37"/>
      <c r="E311" s="37"/>
    </row>
    <row r="312" spans="1:5">
      <c r="A312" s="38" t="s">
        <v>4474</v>
      </c>
      <c r="B312" s="37">
        <v>2</v>
      </c>
      <c r="C312" s="37"/>
      <c r="D312" s="37"/>
      <c r="E312" s="37"/>
    </row>
    <row r="313" spans="1:5">
      <c r="A313" s="38" t="s">
        <v>4453</v>
      </c>
      <c r="B313" s="37">
        <v>2</v>
      </c>
      <c r="C313" s="37"/>
      <c r="D313" s="37"/>
      <c r="E313" s="37"/>
    </row>
    <row r="314" spans="1:5">
      <c r="A314" s="38" t="s">
        <v>1010</v>
      </c>
      <c r="B314" s="37">
        <v>2</v>
      </c>
      <c r="C314" s="37"/>
      <c r="D314" s="37"/>
      <c r="E314" s="37"/>
    </row>
    <row r="315" spans="1:5">
      <c r="A315" s="38" t="s">
        <v>1859</v>
      </c>
      <c r="B315" s="37">
        <v>2</v>
      </c>
      <c r="C315" s="37"/>
      <c r="D315" s="37"/>
      <c r="E315" s="37"/>
    </row>
    <row r="316" spans="1:5">
      <c r="A316" s="38" t="s">
        <v>4413</v>
      </c>
      <c r="B316" s="37">
        <v>2</v>
      </c>
      <c r="C316" s="37"/>
      <c r="D316" s="37"/>
      <c r="E316" s="37"/>
    </row>
    <row r="317" spans="1:5">
      <c r="A317" s="38" t="s">
        <v>4407</v>
      </c>
      <c r="B317" s="37">
        <v>2</v>
      </c>
      <c r="C317" s="37"/>
      <c r="D317" s="37"/>
      <c r="E317" s="37"/>
    </row>
    <row r="318" spans="1:5">
      <c r="A318" s="38" t="s">
        <v>1938</v>
      </c>
      <c r="B318" s="37">
        <v>2</v>
      </c>
      <c r="C318" s="37"/>
      <c r="D318" s="37"/>
      <c r="E318" s="37"/>
    </row>
    <row r="319" spans="1:5">
      <c r="A319" s="38" t="s">
        <v>555</v>
      </c>
      <c r="B319" s="37">
        <v>2</v>
      </c>
      <c r="C319" s="37"/>
      <c r="D319" s="37"/>
      <c r="E319" s="37"/>
    </row>
    <row r="320" spans="1:5">
      <c r="A320" s="38" t="s">
        <v>4547</v>
      </c>
      <c r="B320" s="37">
        <v>2</v>
      </c>
      <c r="C320" s="37"/>
      <c r="D320" s="37"/>
      <c r="E320" s="37"/>
    </row>
    <row r="321" spans="1:5">
      <c r="A321" s="38" t="s">
        <v>4628</v>
      </c>
      <c r="B321" s="37">
        <v>2</v>
      </c>
      <c r="C321" s="37"/>
      <c r="D321" s="37"/>
      <c r="E321" s="37"/>
    </row>
    <row r="322" spans="1:5">
      <c r="A322" s="38" t="s">
        <v>2682</v>
      </c>
      <c r="B322" s="37">
        <v>2</v>
      </c>
      <c r="C322" s="37"/>
      <c r="D322" s="37"/>
      <c r="E322" s="37"/>
    </row>
    <row r="323" spans="1:5">
      <c r="A323" s="38" t="s">
        <v>2372</v>
      </c>
      <c r="B323" s="37">
        <v>2</v>
      </c>
      <c r="C323" s="37"/>
      <c r="D323" s="37"/>
      <c r="E323" s="37"/>
    </row>
    <row r="324" spans="1:5">
      <c r="A324" s="38" t="s">
        <v>841</v>
      </c>
      <c r="B324" s="37">
        <v>2</v>
      </c>
      <c r="C324" s="37"/>
      <c r="D324" s="37"/>
      <c r="E324" s="37"/>
    </row>
    <row r="325" spans="1:5">
      <c r="A325" s="38" t="s">
        <v>762</v>
      </c>
      <c r="B325" s="37">
        <v>2</v>
      </c>
      <c r="C325" s="37"/>
      <c r="D325" s="37"/>
      <c r="E325" s="37"/>
    </row>
    <row r="326" spans="1:5">
      <c r="A326" s="38" t="s">
        <v>2082</v>
      </c>
      <c r="B326" s="37">
        <v>2</v>
      </c>
      <c r="C326" s="37"/>
      <c r="D326" s="37"/>
      <c r="E326" s="37"/>
    </row>
    <row r="327" spans="1:5">
      <c r="A327" s="38" t="s">
        <v>3253</v>
      </c>
      <c r="B327" s="37">
        <v>2</v>
      </c>
      <c r="C327" s="37"/>
      <c r="D327" s="37"/>
      <c r="E327" s="37"/>
    </row>
    <row r="328" spans="1:5">
      <c r="A328" s="38" t="s">
        <v>4564</v>
      </c>
      <c r="B328" s="37">
        <v>2</v>
      </c>
      <c r="C328" s="37"/>
      <c r="D328" s="37"/>
      <c r="E328" s="37"/>
    </row>
    <row r="329" spans="1:5">
      <c r="A329" s="38" t="s">
        <v>4550</v>
      </c>
      <c r="B329" s="37">
        <v>2</v>
      </c>
      <c r="C329" s="37"/>
      <c r="D329" s="37"/>
      <c r="E329" s="37"/>
    </row>
    <row r="330" spans="1:5">
      <c r="A330" s="38" t="s">
        <v>1235</v>
      </c>
      <c r="B330" s="37">
        <v>2</v>
      </c>
      <c r="C330" s="37"/>
      <c r="D330" s="37"/>
      <c r="E330" s="37"/>
    </row>
    <row r="331" spans="1:5">
      <c r="A331" s="38" t="s">
        <v>4429</v>
      </c>
      <c r="B331" s="37">
        <v>2</v>
      </c>
      <c r="C331" s="37"/>
      <c r="D331" s="37"/>
      <c r="E331" s="37"/>
    </row>
    <row r="332" spans="1:5">
      <c r="A332" s="38" t="s">
        <v>126</v>
      </c>
      <c r="B332" s="37">
        <v>2</v>
      </c>
      <c r="C332" s="37"/>
      <c r="D332" s="37"/>
      <c r="E332" s="37"/>
    </row>
    <row r="333" spans="1:5">
      <c r="A333" s="38" t="s">
        <v>4405</v>
      </c>
      <c r="B333" s="37">
        <v>2</v>
      </c>
      <c r="C333" s="37"/>
      <c r="D333" s="37"/>
      <c r="E333" s="37"/>
    </row>
    <row r="334" spans="1:5">
      <c r="A334" s="38" t="s">
        <v>4467</v>
      </c>
      <c r="B334" s="37">
        <v>2</v>
      </c>
      <c r="C334" s="37"/>
      <c r="D334" s="37"/>
      <c r="E334" s="37"/>
    </row>
    <row r="335" spans="1:5">
      <c r="A335" s="38" t="s">
        <v>2328</v>
      </c>
      <c r="B335" s="37">
        <v>2</v>
      </c>
      <c r="C335" s="37"/>
      <c r="D335" s="37"/>
      <c r="E335" s="37"/>
    </row>
    <row r="336" spans="1:5">
      <c r="A336" s="38" t="s">
        <v>4685</v>
      </c>
      <c r="B336" s="37">
        <v>2</v>
      </c>
      <c r="C336" s="37"/>
      <c r="D336" s="37"/>
      <c r="E336" s="37"/>
    </row>
    <row r="337" spans="1:5">
      <c r="A337" s="38" t="s">
        <v>4559</v>
      </c>
      <c r="B337" s="37">
        <v>2</v>
      </c>
      <c r="C337" s="37"/>
      <c r="D337" s="37"/>
      <c r="E337" s="37"/>
    </row>
    <row r="338" spans="1:5">
      <c r="A338" s="38" t="s">
        <v>1766</v>
      </c>
      <c r="B338" s="37">
        <v>2</v>
      </c>
      <c r="C338" s="37"/>
      <c r="D338" s="37"/>
      <c r="E338" s="37"/>
    </row>
    <row r="339" spans="1:5">
      <c r="A339" s="38" t="s">
        <v>4465</v>
      </c>
      <c r="B339" s="37">
        <v>2</v>
      </c>
      <c r="C339" s="37"/>
      <c r="D339" s="37"/>
      <c r="E339" s="37"/>
    </row>
    <row r="340" spans="1:5">
      <c r="A340" s="38" t="s">
        <v>436</v>
      </c>
      <c r="B340" s="37">
        <v>2</v>
      </c>
      <c r="C340" s="37"/>
      <c r="D340" s="37"/>
      <c r="E340" s="37"/>
    </row>
    <row r="341" spans="1:5">
      <c r="A341" s="38" t="s">
        <v>961</v>
      </c>
      <c r="B341" s="37">
        <v>2</v>
      </c>
      <c r="C341" s="37"/>
      <c r="D341" s="37"/>
      <c r="E341" s="37"/>
    </row>
    <row r="342" spans="1:5">
      <c r="A342" s="38" t="s">
        <v>4625</v>
      </c>
      <c r="B342" s="37">
        <v>2</v>
      </c>
      <c r="C342" s="37"/>
      <c r="D342" s="37"/>
      <c r="E342" s="37"/>
    </row>
    <row r="343" spans="1:5">
      <c r="A343" s="38" t="s">
        <v>942</v>
      </c>
      <c r="B343" s="37">
        <v>2</v>
      </c>
      <c r="C343" s="37"/>
      <c r="D343" s="37"/>
      <c r="E343" s="37"/>
    </row>
    <row r="344" spans="1:5">
      <c r="A344" s="38" t="s">
        <v>2028</v>
      </c>
      <c r="B344" s="37">
        <v>2</v>
      </c>
      <c r="C344" s="37"/>
      <c r="D344" s="37"/>
      <c r="E344" s="37"/>
    </row>
    <row r="345" spans="1:5">
      <c r="A345" s="38" t="s">
        <v>1364</v>
      </c>
      <c r="B345" s="37">
        <v>2</v>
      </c>
      <c r="C345" s="37"/>
      <c r="D345" s="37"/>
      <c r="E345" s="37"/>
    </row>
    <row r="346" spans="1:5">
      <c r="A346" s="38" t="s">
        <v>467</v>
      </c>
      <c r="B346" s="37">
        <v>2</v>
      </c>
      <c r="C346" s="37"/>
      <c r="D346" s="37"/>
      <c r="E346" s="37"/>
    </row>
    <row r="347" spans="1:5">
      <c r="A347" s="38" t="s">
        <v>1414</v>
      </c>
      <c r="B347" s="37">
        <v>2</v>
      </c>
      <c r="C347" s="37"/>
      <c r="D347" s="37"/>
      <c r="E347" s="37"/>
    </row>
    <row r="348" spans="1:5">
      <c r="A348" s="38" t="s">
        <v>1003</v>
      </c>
      <c r="B348" s="37">
        <v>2</v>
      </c>
      <c r="C348" s="37"/>
      <c r="D348" s="37"/>
      <c r="E348" s="37"/>
    </row>
    <row r="349" spans="1:5">
      <c r="A349" s="38" t="s">
        <v>4558</v>
      </c>
      <c r="B349" s="37">
        <v>2</v>
      </c>
      <c r="C349" s="37"/>
      <c r="D349" s="37"/>
      <c r="E349" s="37"/>
    </row>
    <row r="350" spans="1:5">
      <c r="A350" s="38" t="s">
        <v>889</v>
      </c>
      <c r="B350" s="37">
        <v>2</v>
      </c>
      <c r="C350" s="37"/>
      <c r="D350" s="37"/>
      <c r="E350" s="37"/>
    </row>
    <row r="351" spans="1:5">
      <c r="A351" s="38" t="s">
        <v>2005</v>
      </c>
      <c r="B351" s="37">
        <v>2</v>
      </c>
      <c r="C351" s="37"/>
      <c r="D351" s="37"/>
      <c r="E351" s="37"/>
    </row>
    <row r="352" spans="1:5">
      <c r="A352" s="38" t="s">
        <v>1221</v>
      </c>
      <c r="B352" s="37">
        <v>2</v>
      </c>
      <c r="C352" s="37"/>
      <c r="D352" s="37"/>
      <c r="E352" s="37"/>
    </row>
    <row r="353" spans="1:5">
      <c r="A353" s="38" t="s">
        <v>4492</v>
      </c>
      <c r="B353" s="37">
        <v>2</v>
      </c>
      <c r="C353" s="37"/>
      <c r="D353" s="37"/>
      <c r="E353" s="37"/>
    </row>
    <row r="354" spans="1:5">
      <c r="A354" s="38" t="s">
        <v>421</v>
      </c>
      <c r="B354" s="37">
        <v>2</v>
      </c>
      <c r="C354" s="37"/>
      <c r="D354" s="37"/>
      <c r="E354" s="37"/>
    </row>
    <row r="355" spans="1:5">
      <c r="A355" s="38" t="s">
        <v>848</v>
      </c>
      <c r="B355" s="37">
        <v>2</v>
      </c>
      <c r="C355" s="37"/>
      <c r="D355" s="37"/>
      <c r="E355" s="37"/>
    </row>
    <row r="356" spans="1:5">
      <c r="A356" s="38" t="s">
        <v>3199</v>
      </c>
      <c r="B356" s="37">
        <v>2</v>
      </c>
      <c r="C356" s="37"/>
      <c r="D356" s="37"/>
      <c r="E356" s="37"/>
    </row>
    <row r="357" spans="1:5">
      <c r="A357" s="38" t="s">
        <v>4481</v>
      </c>
      <c r="B357" s="37">
        <v>2</v>
      </c>
      <c r="C357" s="37"/>
      <c r="D357" s="37"/>
      <c r="E357" s="37"/>
    </row>
    <row r="358" spans="1:5">
      <c r="A358" s="38" t="s">
        <v>272</v>
      </c>
      <c r="B358" s="37">
        <v>2</v>
      </c>
      <c r="C358" s="37"/>
      <c r="D358" s="37"/>
      <c r="E358" s="37"/>
    </row>
    <row r="359" spans="1:5">
      <c r="A359" s="38" t="s">
        <v>4422</v>
      </c>
      <c r="B359" s="37">
        <v>2</v>
      </c>
      <c r="C359" s="37"/>
      <c r="D359" s="37"/>
      <c r="E359" s="37"/>
    </row>
    <row r="360" spans="1:5">
      <c r="A360" s="38" t="s">
        <v>822</v>
      </c>
      <c r="B360" s="37">
        <v>2</v>
      </c>
      <c r="C360" s="37"/>
      <c r="D360" s="37"/>
      <c r="E360" s="37"/>
    </row>
    <row r="361" spans="1:5">
      <c r="A361" s="38" t="s">
        <v>4754</v>
      </c>
      <c r="B361" s="37">
        <v>2</v>
      </c>
      <c r="C361" s="37"/>
      <c r="D361" s="37"/>
      <c r="E361" s="37"/>
    </row>
    <row r="362" spans="1:5">
      <c r="A362" s="38" t="s">
        <v>2968</v>
      </c>
      <c r="B362" s="37">
        <v>2</v>
      </c>
      <c r="C362" s="37"/>
      <c r="D362" s="37"/>
      <c r="E362" s="37"/>
    </row>
    <row r="363" spans="1:5">
      <c r="A363" s="38" t="s">
        <v>4502</v>
      </c>
      <c r="B363" s="37">
        <v>2</v>
      </c>
      <c r="C363" s="37"/>
      <c r="D363" s="37"/>
      <c r="E363" s="37"/>
    </row>
    <row r="364" spans="1:5">
      <c r="A364" s="38" t="s">
        <v>1703</v>
      </c>
      <c r="B364" s="37">
        <v>2</v>
      </c>
      <c r="C364" s="37"/>
      <c r="D364" s="37"/>
      <c r="E364" s="37"/>
    </row>
    <row r="365" spans="1:5">
      <c r="A365" s="38" t="s">
        <v>4428</v>
      </c>
      <c r="B365" s="37">
        <v>2</v>
      </c>
      <c r="C365" s="37"/>
      <c r="D365" s="37"/>
      <c r="E365" s="37"/>
    </row>
    <row r="366" spans="1:5">
      <c r="A366" s="38" t="s">
        <v>514</v>
      </c>
      <c r="B366" s="37">
        <v>2</v>
      </c>
      <c r="C366" s="37"/>
      <c r="D366" s="37"/>
      <c r="E366" s="37"/>
    </row>
    <row r="367" spans="1:5">
      <c r="A367" s="38" t="s">
        <v>2067</v>
      </c>
      <c r="B367" s="37">
        <v>2</v>
      </c>
      <c r="C367" s="37"/>
      <c r="D367" s="37"/>
      <c r="E367" s="37"/>
    </row>
    <row r="368" spans="1:5">
      <c r="A368" s="38" t="s">
        <v>4410</v>
      </c>
      <c r="B368" s="37">
        <v>2</v>
      </c>
      <c r="C368" s="37"/>
      <c r="D368" s="37"/>
      <c r="E368" s="37"/>
    </row>
    <row r="369" spans="1:5">
      <c r="A369" s="38" t="s">
        <v>737</v>
      </c>
      <c r="B369" s="37">
        <v>2</v>
      </c>
      <c r="C369" s="37"/>
      <c r="D369" s="37"/>
      <c r="E369" s="37"/>
    </row>
    <row r="370" spans="1:5">
      <c r="A370" s="38" t="s">
        <v>77</v>
      </c>
      <c r="B370" s="37">
        <v>2</v>
      </c>
      <c r="C370" s="37"/>
      <c r="D370" s="37"/>
      <c r="E370" s="37"/>
    </row>
    <row r="371" spans="1:5">
      <c r="A371" s="38" t="s">
        <v>4520</v>
      </c>
      <c r="B371" s="37">
        <v>2</v>
      </c>
      <c r="C371" s="37"/>
      <c r="D371" s="37"/>
      <c r="E371" s="37"/>
    </row>
    <row r="372" spans="1:5">
      <c r="A372" s="38" t="s">
        <v>1627</v>
      </c>
      <c r="B372" s="37">
        <v>2</v>
      </c>
      <c r="C372" s="37"/>
      <c r="D372" s="37"/>
      <c r="E372" s="37"/>
    </row>
    <row r="373" spans="1:5">
      <c r="A373" s="38" t="s">
        <v>2763</v>
      </c>
      <c r="B373" s="37">
        <v>2</v>
      </c>
      <c r="C373" s="37"/>
      <c r="D373" s="37"/>
      <c r="E373" s="37"/>
    </row>
    <row r="374" spans="1:5">
      <c r="A374" s="38" t="s">
        <v>1675</v>
      </c>
      <c r="B374" s="37">
        <v>2</v>
      </c>
      <c r="C374" s="37"/>
      <c r="D374" s="37"/>
      <c r="E374" s="37"/>
    </row>
    <row r="375" spans="1:5">
      <c r="A375" s="38" t="s">
        <v>2540</v>
      </c>
      <c r="B375" s="37">
        <v>1</v>
      </c>
      <c r="C375" s="37"/>
      <c r="D375" s="37"/>
      <c r="E375" s="37"/>
    </row>
    <row r="376" spans="1:5">
      <c r="A376" s="38" t="s">
        <v>1242</v>
      </c>
      <c r="B376" s="37">
        <v>1</v>
      </c>
      <c r="C376" s="37"/>
      <c r="D376" s="37"/>
      <c r="E376" s="37"/>
    </row>
    <row r="377" spans="1:5">
      <c r="A377" s="38" t="s">
        <v>2664</v>
      </c>
      <c r="B377" s="37">
        <v>1</v>
      </c>
      <c r="C377" s="37"/>
      <c r="D377" s="37"/>
      <c r="E377" s="37"/>
    </row>
    <row r="378" spans="1:5">
      <c r="A378" s="38" t="s">
        <v>4785</v>
      </c>
      <c r="B378" s="37">
        <v>1</v>
      </c>
      <c r="C378" s="37"/>
      <c r="D378" s="37"/>
      <c r="E378" s="37"/>
    </row>
    <row r="379" spans="1:5">
      <c r="A379" s="38" t="s">
        <v>233</v>
      </c>
      <c r="B379" s="37">
        <v>1</v>
      </c>
      <c r="C379" s="37"/>
      <c r="D379" s="37"/>
      <c r="E379" s="37"/>
    </row>
    <row r="380" spans="1:5">
      <c r="A380" s="38" t="s">
        <v>4566</v>
      </c>
      <c r="B380" s="37">
        <v>1</v>
      </c>
      <c r="C380" s="37"/>
      <c r="D380" s="37"/>
      <c r="E380" s="37"/>
    </row>
    <row r="381" spans="1:5">
      <c r="A381" s="38" t="s">
        <v>2193</v>
      </c>
      <c r="B381" s="37">
        <v>1</v>
      </c>
      <c r="C381" s="37"/>
      <c r="D381" s="37"/>
      <c r="E381" s="37"/>
    </row>
    <row r="382" spans="1:5">
      <c r="A382" s="38" t="s">
        <v>4457</v>
      </c>
      <c r="B382" s="37">
        <v>1</v>
      </c>
      <c r="C382" s="37"/>
      <c r="D382" s="37"/>
      <c r="E382" s="37"/>
    </row>
    <row r="383" spans="1:5">
      <c r="A383" s="38" t="s">
        <v>1876</v>
      </c>
      <c r="B383" s="37">
        <v>1</v>
      </c>
      <c r="C383" s="37"/>
      <c r="D383" s="37"/>
      <c r="E383" s="37"/>
    </row>
    <row r="384" spans="1:5">
      <c r="A384" s="38" t="s">
        <v>4867</v>
      </c>
      <c r="B384" s="37">
        <v>1</v>
      </c>
      <c r="C384" s="37"/>
      <c r="D384" s="37"/>
      <c r="E384" s="37"/>
    </row>
    <row r="385" spans="1:5">
      <c r="A385" s="38" t="s">
        <v>3261</v>
      </c>
      <c r="B385" s="37">
        <v>1</v>
      </c>
      <c r="C385" s="37"/>
      <c r="D385" s="37"/>
      <c r="E385" s="37"/>
    </row>
    <row r="386" spans="1:5">
      <c r="A386" s="38" t="s">
        <v>4688</v>
      </c>
      <c r="B386" s="37">
        <v>1</v>
      </c>
      <c r="C386" s="37"/>
      <c r="D386" s="37"/>
      <c r="E386" s="37"/>
    </row>
    <row r="387" spans="1:5">
      <c r="A387" s="38" t="s">
        <v>4511</v>
      </c>
      <c r="B387" s="37">
        <v>1</v>
      </c>
      <c r="C387" s="37"/>
      <c r="D387" s="37"/>
      <c r="E387" s="37"/>
    </row>
    <row r="388" spans="1:5">
      <c r="A388" s="38" t="s">
        <v>4657</v>
      </c>
      <c r="B388" s="37">
        <v>1</v>
      </c>
      <c r="C388" s="37"/>
      <c r="D388" s="37"/>
      <c r="E388" s="37"/>
    </row>
    <row r="389" spans="1:5">
      <c r="A389" s="38" t="s">
        <v>907</v>
      </c>
      <c r="B389" s="37">
        <v>1</v>
      </c>
      <c r="C389" s="37"/>
      <c r="D389" s="37"/>
      <c r="E389" s="37"/>
    </row>
    <row r="390" spans="1:5">
      <c r="A390" s="38" t="s">
        <v>4870</v>
      </c>
      <c r="B390" s="37">
        <v>1</v>
      </c>
      <c r="C390" s="37"/>
      <c r="D390" s="37"/>
      <c r="E390" s="37"/>
    </row>
    <row r="391" spans="1:5">
      <c r="A391" s="38" t="s">
        <v>4671</v>
      </c>
      <c r="B391" s="37">
        <v>1</v>
      </c>
      <c r="C391" s="37"/>
      <c r="D391" s="37"/>
      <c r="E391" s="37"/>
    </row>
    <row r="392" spans="1:5">
      <c r="A392" s="38" t="s">
        <v>4738</v>
      </c>
      <c r="B392" s="37">
        <v>1</v>
      </c>
      <c r="C392" s="37"/>
      <c r="D392" s="37"/>
      <c r="E392" s="37"/>
    </row>
    <row r="393" spans="1:5">
      <c r="A393" s="38" t="s">
        <v>4445</v>
      </c>
      <c r="B393" s="37">
        <v>1</v>
      </c>
      <c r="C393" s="37"/>
      <c r="D393" s="37"/>
      <c r="E393" s="37"/>
    </row>
    <row r="394" spans="1:5">
      <c r="A394" s="38" t="s">
        <v>4575</v>
      </c>
      <c r="B394" s="37">
        <v>1</v>
      </c>
      <c r="C394" s="37"/>
      <c r="D394" s="37"/>
      <c r="E394" s="37"/>
    </row>
    <row r="395" spans="1:5">
      <c r="A395" s="38" t="s">
        <v>876</v>
      </c>
      <c r="B395" s="37">
        <v>1</v>
      </c>
      <c r="C395" s="37"/>
      <c r="D395" s="37"/>
      <c r="E395" s="37"/>
    </row>
    <row r="396" spans="1:5">
      <c r="A396" s="38" t="s">
        <v>4760</v>
      </c>
      <c r="B396" s="37">
        <v>1</v>
      </c>
      <c r="C396" s="37"/>
      <c r="D396" s="37"/>
      <c r="E396" s="37"/>
    </row>
    <row r="397" spans="1:5">
      <c r="A397" s="38" t="s">
        <v>4513</v>
      </c>
      <c r="B397" s="37">
        <v>1</v>
      </c>
      <c r="C397" s="37"/>
      <c r="D397" s="37"/>
      <c r="E397" s="37"/>
    </row>
    <row r="398" spans="1:5">
      <c r="A398" s="38" t="s">
        <v>2012</v>
      </c>
      <c r="B398" s="37">
        <v>1</v>
      </c>
      <c r="C398" s="37"/>
      <c r="D398" s="37"/>
      <c r="E398" s="37"/>
    </row>
    <row r="399" spans="1:5">
      <c r="A399" s="38" t="s">
        <v>4489</v>
      </c>
      <c r="B399" s="37">
        <v>1</v>
      </c>
      <c r="C399" s="37"/>
      <c r="D399" s="37"/>
      <c r="E399" s="37"/>
    </row>
    <row r="400" spans="1:5">
      <c r="A400" s="38" t="s">
        <v>4523</v>
      </c>
      <c r="B400" s="37">
        <v>1</v>
      </c>
      <c r="C400" s="37"/>
      <c r="D400" s="37"/>
      <c r="E400" s="37"/>
    </row>
    <row r="401" spans="1:5">
      <c r="A401" s="38" t="s">
        <v>4611</v>
      </c>
      <c r="B401" s="37">
        <v>1</v>
      </c>
      <c r="C401" s="37"/>
      <c r="D401" s="37"/>
      <c r="E401" s="37"/>
    </row>
    <row r="402" spans="1:5">
      <c r="A402" s="38" t="s">
        <v>4728</v>
      </c>
      <c r="B402" s="37">
        <v>1</v>
      </c>
      <c r="C402" s="37"/>
      <c r="D402" s="37"/>
      <c r="E402" s="37"/>
    </row>
    <row r="403" spans="1:5">
      <c r="A403" s="38" t="s">
        <v>215</v>
      </c>
      <c r="B403" s="37">
        <v>1</v>
      </c>
      <c r="C403" s="37"/>
      <c r="D403" s="37"/>
      <c r="E403" s="37"/>
    </row>
    <row r="404" spans="1:5">
      <c r="A404" s="38" t="s">
        <v>2297</v>
      </c>
      <c r="B404" s="37">
        <v>1</v>
      </c>
      <c r="C404" s="37"/>
      <c r="D404" s="37"/>
      <c r="E404" s="37"/>
    </row>
    <row r="405" spans="1:5">
      <c r="A405" s="38" t="s">
        <v>4776</v>
      </c>
      <c r="B405" s="37">
        <v>1</v>
      </c>
      <c r="C405" s="37"/>
      <c r="D405" s="37"/>
      <c r="E405" s="37"/>
    </row>
    <row r="406" spans="1:5">
      <c r="A406" s="38" t="s">
        <v>4469</v>
      </c>
      <c r="B406" s="37">
        <v>1</v>
      </c>
      <c r="C406" s="37"/>
      <c r="D406" s="37"/>
      <c r="E406" s="37"/>
    </row>
    <row r="407" spans="1:5">
      <c r="A407" s="38" t="s">
        <v>4790</v>
      </c>
      <c r="B407" s="37">
        <v>1</v>
      </c>
      <c r="C407" s="37"/>
      <c r="D407" s="37"/>
      <c r="E407" s="37"/>
    </row>
    <row r="408" spans="1:5">
      <c r="A408" s="38" t="s">
        <v>4660</v>
      </c>
      <c r="B408" s="37">
        <v>1</v>
      </c>
      <c r="C408" s="37"/>
      <c r="D408" s="37"/>
      <c r="E408" s="37"/>
    </row>
    <row r="409" spans="1:5">
      <c r="A409" s="38" t="s">
        <v>4544</v>
      </c>
      <c r="B409" s="37">
        <v>1</v>
      </c>
      <c r="C409" s="37"/>
      <c r="D409" s="37"/>
      <c r="E409" s="37"/>
    </row>
    <row r="410" spans="1:5">
      <c r="A410" s="38" t="s">
        <v>4802</v>
      </c>
      <c r="B410" s="37">
        <v>1</v>
      </c>
      <c r="C410" s="37"/>
      <c r="D410" s="37"/>
      <c r="E410" s="37"/>
    </row>
    <row r="411" spans="1:5">
      <c r="A411" s="38" t="s">
        <v>4424</v>
      </c>
      <c r="B411" s="37">
        <v>1</v>
      </c>
      <c r="C411" s="37"/>
      <c r="D411" s="37"/>
      <c r="E411" s="37"/>
    </row>
    <row r="412" spans="1:5">
      <c r="A412" s="38" t="s">
        <v>4529</v>
      </c>
      <c r="B412" s="37">
        <v>1</v>
      </c>
      <c r="C412" s="37"/>
      <c r="D412" s="37"/>
      <c r="E412" s="37"/>
    </row>
    <row r="413" spans="1:5">
      <c r="A413" s="38" t="s">
        <v>4772</v>
      </c>
      <c r="B413" s="37">
        <v>1</v>
      </c>
      <c r="C413" s="37"/>
      <c r="D413" s="37"/>
      <c r="E413" s="37"/>
    </row>
    <row r="414" spans="1:5">
      <c r="A414" s="38" t="s">
        <v>4585</v>
      </c>
      <c r="B414" s="37">
        <v>1</v>
      </c>
      <c r="C414" s="37"/>
      <c r="D414" s="37"/>
      <c r="E414" s="37"/>
    </row>
    <row r="415" spans="1:5">
      <c r="A415" s="38" t="s">
        <v>4475</v>
      </c>
      <c r="B415" s="37">
        <v>1</v>
      </c>
      <c r="C415" s="37"/>
      <c r="D415" s="37"/>
      <c r="E415" s="37"/>
    </row>
    <row r="416" spans="1:5">
      <c r="A416" s="38" t="s">
        <v>771</v>
      </c>
      <c r="B416" s="37">
        <v>1</v>
      </c>
      <c r="C416" s="37"/>
      <c r="D416" s="37"/>
      <c r="E416" s="37"/>
    </row>
    <row r="417" spans="1:5">
      <c r="A417" s="38" t="s">
        <v>4668</v>
      </c>
      <c r="B417" s="37">
        <v>1</v>
      </c>
      <c r="C417" s="37"/>
      <c r="D417" s="37"/>
      <c r="E417" s="37"/>
    </row>
    <row r="418" spans="1:5">
      <c r="A418" s="38" t="s">
        <v>4735</v>
      </c>
      <c r="B418" s="37">
        <v>1</v>
      </c>
      <c r="C418" s="37"/>
      <c r="D418" s="37"/>
      <c r="E418" s="37"/>
    </row>
    <row r="419" spans="1:5">
      <c r="A419" s="38" t="s">
        <v>837</v>
      </c>
      <c r="B419" s="37">
        <v>1</v>
      </c>
      <c r="C419" s="37"/>
      <c r="D419" s="37"/>
      <c r="E419" s="37"/>
    </row>
    <row r="420" spans="1:5">
      <c r="A420" s="38" t="s">
        <v>2884</v>
      </c>
      <c r="B420" s="37">
        <v>1</v>
      </c>
      <c r="C420" s="37"/>
      <c r="D420" s="37"/>
      <c r="E420" s="37"/>
    </row>
    <row r="421" spans="1:5">
      <c r="A421" s="38" t="s">
        <v>4832</v>
      </c>
      <c r="B421" s="37">
        <v>1</v>
      </c>
      <c r="C421" s="37"/>
      <c r="D421" s="37"/>
      <c r="E421" s="37"/>
    </row>
    <row r="422" spans="1:5">
      <c r="A422" s="38" t="s">
        <v>4444</v>
      </c>
      <c r="B422" s="37">
        <v>1</v>
      </c>
      <c r="C422" s="37"/>
      <c r="D422" s="37"/>
      <c r="E422" s="37"/>
    </row>
    <row r="423" spans="1:5">
      <c r="A423" s="38" t="s">
        <v>3351</v>
      </c>
      <c r="B423" s="37">
        <v>1</v>
      </c>
      <c r="C423" s="37"/>
      <c r="D423" s="37"/>
      <c r="E423" s="37"/>
    </row>
    <row r="424" spans="1:5">
      <c r="A424" s="38" t="s">
        <v>4412</v>
      </c>
      <c r="B424" s="37">
        <v>1</v>
      </c>
      <c r="C424" s="37"/>
      <c r="D424" s="37"/>
      <c r="E424" s="37"/>
    </row>
    <row r="425" spans="1:5">
      <c r="A425" s="38" t="s">
        <v>1315</v>
      </c>
      <c r="B425" s="37">
        <v>1</v>
      </c>
      <c r="C425" s="37"/>
      <c r="D425" s="37"/>
      <c r="E425" s="37"/>
    </row>
    <row r="426" spans="1:5">
      <c r="A426" s="38" t="s">
        <v>2174</v>
      </c>
      <c r="B426" s="37">
        <v>1</v>
      </c>
      <c r="C426" s="37"/>
      <c r="D426" s="37"/>
      <c r="E426" s="37"/>
    </row>
    <row r="427" spans="1:5">
      <c r="A427" s="38" t="s">
        <v>4734</v>
      </c>
      <c r="B427" s="37">
        <v>1</v>
      </c>
      <c r="C427" s="37"/>
      <c r="D427" s="37"/>
      <c r="E427" s="37"/>
    </row>
    <row r="428" spans="1:5">
      <c r="A428" s="38" t="s">
        <v>1360</v>
      </c>
      <c r="B428" s="37">
        <v>1</v>
      </c>
      <c r="C428" s="37"/>
      <c r="D428" s="37"/>
      <c r="E428" s="37"/>
    </row>
    <row r="429" spans="1:5">
      <c r="A429" s="38" t="s">
        <v>1516</v>
      </c>
      <c r="B429" s="37">
        <v>1</v>
      </c>
      <c r="C429" s="37"/>
      <c r="D429" s="37"/>
      <c r="E429" s="37"/>
    </row>
    <row r="430" spans="1:5">
      <c r="A430" s="38" t="s">
        <v>4850</v>
      </c>
      <c r="B430" s="37">
        <v>1</v>
      </c>
      <c r="C430" s="37"/>
      <c r="D430" s="37"/>
      <c r="E430" s="37"/>
    </row>
    <row r="431" spans="1:5">
      <c r="A431" s="38" t="s">
        <v>4689</v>
      </c>
      <c r="B431" s="37">
        <v>1</v>
      </c>
      <c r="C431" s="37"/>
      <c r="D431" s="37"/>
      <c r="E431" s="37"/>
    </row>
    <row r="432" spans="1:5">
      <c r="A432" s="38" t="s">
        <v>4517</v>
      </c>
      <c r="B432" s="37">
        <v>1</v>
      </c>
      <c r="C432" s="37"/>
      <c r="D432" s="37"/>
      <c r="E432" s="37"/>
    </row>
    <row r="433" spans="1:5">
      <c r="A433" s="38" t="s">
        <v>3239</v>
      </c>
      <c r="B433" s="37">
        <v>1</v>
      </c>
      <c r="C433" s="37"/>
      <c r="D433" s="37"/>
      <c r="E433" s="37"/>
    </row>
    <row r="434" spans="1:5">
      <c r="A434" s="38" t="s">
        <v>4784</v>
      </c>
      <c r="B434" s="37">
        <v>1</v>
      </c>
      <c r="C434" s="37"/>
      <c r="D434" s="37"/>
      <c r="E434" s="37"/>
    </row>
    <row r="435" spans="1:5">
      <c r="A435" s="38" t="s">
        <v>1193</v>
      </c>
      <c r="B435" s="37">
        <v>1</v>
      </c>
      <c r="C435" s="37"/>
      <c r="D435" s="37"/>
      <c r="E435" s="37"/>
    </row>
    <row r="436" spans="1:5">
      <c r="A436" s="38" t="s">
        <v>4794</v>
      </c>
      <c r="B436" s="37">
        <v>1</v>
      </c>
      <c r="C436" s="37"/>
      <c r="D436" s="37"/>
      <c r="E436" s="37"/>
    </row>
    <row r="437" spans="1:5">
      <c r="A437" s="38" t="s">
        <v>4541</v>
      </c>
      <c r="B437" s="37">
        <v>1</v>
      </c>
      <c r="C437" s="37"/>
      <c r="D437" s="37"/>
      <c r="E437" s="37"/>
    </row>
    <row r="438" spans="1:5">
      <c r="A438" s="38" t="s">
        <v>4488</v>
      </c>
      <c r="B438" s="37">
        <v>1</v>
      </c>
      <c r="C438" s="37"/>
      <c r="D438" s="37"/>
      <c r="E438" s="37"/>
    </row>
    <row r="439" spans="1:5">
      <c r="A439" s="38" t="s">
        <v>629</v>
      </c>
      <c r="B439" s="37">
        <v>1</v>
      </c>
      <c r="C439" s="37"/>
      <c r="D439" s="37"/>
      <c r="E439" s="37"/>
    </row>
    <row r="440" spans="1:5">
      <c r="A440" s="38" t="s">
        <v>4824</v>
      </c>
      <c r="B440" s="37">
        <v>1</v>
      </c>
      <c r="C440" s="37"/>
      <c r="D440" s="37"/>
      <c r="E440" s="37"/>
    </row>
    <row r="441" spans="1:5">
      <c r="A441" s="38" t="s">
        <v>1845</v>
      </c>
      <c r="B441" s="37">
        <v>1</v>
      </c>
      <c r="C441" s="37"/>
      <c r="D441" s="37"/>
      <c r="E441" s="37"/>
    </row>
    <row r="442" spans="1:5">
      <c r="A442" s="38" t="s">
        <v>4619</v>
      </c>
      <c r="B442" s="37">
        <v>1</v>
      </c>
      <c r="C442" s="37"/>
      <c r="D442" s="37"/>
      <c r="E442" s="37"/>
    </row>
    <row r="443" spans="1:5">
      <c r="A443" s="38" t="s">
        <v>4464</v>
      </c>
      <c r="B443" s="37">
        <v>1</v>
      </c>
      <c r="C443" s="37"/>
      <c r="D443" s="37"/>
      <c r="E443" s="37"/>
    </row>
    <row r="444" spans="1:5">
      <c r="A444" s="38" t="s">
        <v>4838</v>
      </c>
      <c r="B444" s="37">
        <v>1</v>
      </c>
      <c r="C444" s="37"/>
      <c r="D444" s="37"/>
      <c r="E444" s="37"/>
    </row>
    <row r="445" spans="1:5">
      <c r="A445" s="38" t="s">
        <v>4554</v>
      </c>
      <c r="B445" s="37">
        <v>1</v>
      </c>
      <c r="C445" s="37"/>
      <c r="D445" s="37"/>
      <c r="E445" s="37"/>
    </row>
    <row r="446" spans="1:5">
      <c r="A446" s="38" t="s">
        <v>981</v>
      </c>
      <c r="B446" s="37">
        <v>1</v>
      </c>
      <c r="C446" s="37"/>
      <c r="D446" s="37"/>
      <c r="E446" s="37"/>
    </row>
    <row r="447" spans="1:5">
      <c r="A447" s="38" t="s">
        <v>1882</v>
      </c>
      <c r="B447" s="37">
        <v>1</v>
      </c>
      <c r="C447" s="37"/>
      <c r="D447" s="37"/>
      <c r="E447" s="37"/>
    </row>
    <row r="448" spans="1:5">
      <c r="A448" s="38" t="s">
        <v>2346</v>
      </c>
      <c r="B448" s="37">
        <v>1</v>
      </c>
      <c r="C448" s="37"/>
      <c r="D448" s="37"/>
      <c r="E448" s="37"/>
    </row>
    <row r="449" spans="1:5">
      <c r="A449" s="38" t="s">
        <v>4540</v>
      </c>
      <c r="B449" s="37">
        <v>1</v>
      </c>
      <c r="C449" s="37"/>
      <c r="D449" s="37"/>
      <c r="E449" s="37"/>
    </row>
    <row r="450" spans="1:5">
      <c r="A450" s="38" t="s">
        <v>1096</v>
      </c>
      <c r="B450" s="37">
        <v>1</v>
      </c>
      <c r="C450" s="37"/>
      <c r="D450" s="37"/>
      <c r="E450" s="37"/>
    </row>
    <row r="451" spans="1:5">
      <c r="A451" s="38" t="s">
        <v>4766</v>
      </c>
      <c r="B451" s="37">
        <v>1</v>
      </c>
      <c r="C451" s="37"/>
      <c r="D451" s="37"/>
      <c r="E451" s="37"/>
    </row>
    <row r="452" spans="1:5">
      <c r="A452" s="38" t="s">
        <v>4691</v>
      </c>
      <c r="B452" s="37">
        <v>1</v>
      </c>
      <c r="C452" s="37"/>
      <c r="D452" s="37"/>
      <c r="E452" s="37"/>
    </row>
    <row r="453" spans="1:5">
      <c r="A453" s="38" t="s">
        <v>4468</v>
      </c>
      <c r="B453" s="37">
        <v>1</v>
      </c>
      <c r="C453" s="37"/>
      <c r="D453" s="37"/>
      <c r="E453" s="37"/>
    </row>
    <row r="454" spans="1:5">
      <c r="A454" s="38" t="s">
        <v>929</v>
      </c>
      <c r="B454" s="37">
        <v>1</v>
      </c>
      <c r="C454" s="37"/>
      <c r="D454" s="37"/>
      <c r="E454" s="37"/>
    </row>
    <row r="455" spans="1:5">
      <c r="A455" s="38" t="s">
        <v>4500</v>
      </c>
      <c r="B455" s="37">
        <v>1</v>
      </c>
      <c r="C455" s="37"/>
      <c r="D455" s="37"/>
      <c r="E455" s="37"/>
    </row>
    <row r="456" spans="1:5">
      <c r="A456" s="38" t="s">
        <v>4616</v>
      </c>
      <c r="B456" s="37">
        <v>1</v>
      </c>
      <c r="C456" s="37"/>
      <c r="D456" s="37"/>
      <c r="E456" s="37"/>
    </row>
    <row r="457" spans="1:5">
      <c r="A457" s="38" t="s">
        <v>4663</v>
      </c>
      <c r="B457" s="37">
        <v>1</v>
      </c>
      <c r="C457" s="37"/>
      <c r="D457" s="37"/>
      <c r="E457" s="37"/>
    </row>
    <row r="458" spans="1:5">
      <c r="A458" s="38" t="s">
        <v>3040</v>
      </c>
      <c r="B458" s="37">
        <v>1</v>
      </c>
      <c r="C458" s="37"/>
      <c r="D458" s="37"/>
      <c r="E458" s="37"/>
    </row>
    <row r="459" spans="1:5">
      <c r="A459" s="38" t="s">
        <v>573</v>
      </c>
      <c r="B459" s="37">
        <v>1</v>
      </c>
      <c r="C459" s="37"/>
      <c r="D459" s="37"/>
      <c r="E459" s="37"/>
    </row>
    <row r="460" spans="1:5">
      <c r="A460" s="38" t="s">
        <v>4830</v>
      </c>
      <c r="B460" s="37">
        <v>1</v>
      </c>
      <c r="C460" s="37"/>
      <c r="D460" s="37"/>
      <c r="E460" s="37"/>
    </row>
    <row r="461" spans="1:5">
      <c r="A461" s="38" t="s">
        <v>4837</v>
      </c>
      <c r="B461" s="37">
        <v>1</v>
      </c>
      <c r="C461" s="37"/>
      <c r="D461" s="37"/>
      <c r="E461" s="37"/>
    </row>
    <row r="462" spans="1:5">
      <c r="A462" s="38" t="s">
        <v>4589</v>
      </c>
      <c r="B462" s="37">
        <v>1</v>
      </c>
      <c r="C462" s="37"/>
      <c r="D462" s="37"/>
      <c r="E462" s="37"/>
    </row>
    <row r="463" spans="1:5">
      <c r="A463" s="38" t="s">
        <v>4792</v>
      </c>
      <c r="B463" s="37">
        <v>1</v>
      </c>
      <c r="C463" s="37"/>
      <c r="D463" s="37"/>
      <c r="E463" s="37"/>
    </row>
    <row r="464" spans="1:5">
      <c r="A464" s="38" t="s">
        <v>4624</v>
      </c>
      <c r="B464" s="37">
        <v>1</v>
      </c>
      <c r="C464" s="37"/>
      <c r="D464" s="37"/>
      <c r="E464" s="37"/>
    </row>
    <row r="465" spans="1:5">
      <c r="A465" s="38" t="s">
        <v>4662</v>
      </c>
      <c r="B465" s="37">
        <v>1</v>
      </c>
      <c r="C465" s="37"/>
      <c r="D465" s="37"/>
      <c r="E465" s="37"/>
    </row>
    <row r="466" spans="1:5">
      <c r="A466" s="38" t="s">
        <v>4408</v>
      </c>
      <c r="B466" s="37">
        <v>1</v>
      </c>
      <c r="C466" s="37"/>
      <c r="D466" s="37"/>
      <c r="E466" s="37"/>
    </row>
    <row r="467" spans="1:5">
      <c r="A467" s="38" t="s">
        <v>2078</v>
      </c>
      <c r="B467" s="37">
        <v>1</v>
      </c>
      <c r="C467" s="37"/>
      <c r="D467" s="37"/>
      <c r="E467" s="37"/>
    </row>
    <row r="468" spans="1:5">
      <c r="A468" s="38" t="s">
        <v>1046</v>
      </c>
      <c r="B468" s="37">
        <v>1</v>
      </c>
      <c r="C468" s="37"/>
      <c r="D468" s="37"/>
      <c r="E468" s="37"/>
    </row>
    <row r="469" spans="1:5">
      <c r="A469" s="38" t="s">
        <v>1458</v>
      </c>
      <c r="B469" s="37">
        <v>1</v>
      </c>
      <c r="C469" s="37"/>
      <c r="D469" s="37"/>
      <c r="E469" s="37"/>
    </row>
    <row r="470" spans="1:5">
      <c r="A470" s="38" t="s">
        <v>4565</v>
      </c>
      <c r="B470" s="37">
        <v>1</v>
      </c>
      <c r="C470" s="37"/>
      <c r="D470" s="37"/>
      <c r="E470" s="37"/>
    </row>
    <row r="471" spans="1:5">
      <c r="A471" s="38" t="s">
        <v>689</v>
      </c>
      <c r="B471" s="37">
        <v>1</v>
      </c>
      <c r="C471" s="37"/>
      <c r="D471" s="37"/>
      <c r="E471" s="37"/>
    </row>
    <row r="472" spans="1:5">
      <c r="A472" s="38" t="s">
        <v>2126</v>
      </c>
      <c r="B472" s="37">
        <v>1</v>
      </c>
      <c r="C472" s="37"/>
      <c r="D472" s="37"/>
      <c r="E472" s="37"/>
    </row>
    <row r="473" spans="1:5">
      <c r="A473" s="38" t="s">
        <v>4443</v>
      </c>
      <c r="B473" s="37">
        <v>1</v>
      </c>
      <c r="C473" s="37"/>
      <c r="D473" s="37"/>
      <c r="E473" s="37"/>
    </row>
    <row r="474" spans="1:5">
      <c r="A474" s="38" t="s">
        <v>4690</v>
      </c>
      <c r="B474" s="37">
        <v>1</v>
      </c>
      <c r="C474" s="37"/>
      <c r="D474" s="37"/>
      <c r="E474" s="37"/>
    </row>
    <row r="475" spans="1:5">
      <c r="A475" s="38" t="s">
        <v>2519</v>
      </c>
      <c r="B475" s="37">
        <v>1</v>
      </c>
      <c r="C475" s="37"/>
      <c r="D475" s="37"/>
      <c r="E475" s="37"/>
    </row>
    <row r="476" spans="1:5">
      <c r="A476" s="38" t="s">
        <v>4591</v>
      </c>
      <c r="B476" s="37">
        <v>1</v>
      </c>
      <c r="C476" s="37"/>
      <c r="D476" s="37"/>
      <c r="E476" s="37"/>
    </row>
    <row r="477" spans="1:5">
      <c r="A477" s="38" t="s">
        <v>2787</v>
      </c>
      <c r="B477" s="37">
        <v>1</v>
      </c>
      <c r="C477" s="37"/>
      <c r="D477" s="37"/>
      <c r="E477" s="37"/>
    </row>
    <row r="478" spans="1:5">
      <c r="A478" s="38" t="s">
        <v>4537</v>
      </c>
      <c r="B478" s="37">
        <v>1</v>
      </c>
      <c r="C478" s="37"/>
      <c r="D478" s="37"/>
      <c r="E478" s="37"/>
    </row>
    <row r="479" spans="1:5">
      <c r="A479" s="38" t="s">
        <v>3148</v>
      </c>
      <c r="B479" s="37">
        <v>1</v>
      </c>
      <c r="C479" s="37"/>
      <c r="D479" s="37"/>
      <c r="E479" s="37"/>
    </row>
    <row r="480" spans="1:5">
      <c r="A480" s="38" t="s">
        <v>4869</v>
      </c>
      <c r="B480" s="37">
        <v>1</v>
      </c>
      <c r="C480" s="37"/>
      <c r="D480" s="37"/>
      <c r="E480" s="37"/>
    </row>
    <row r="481" spans="1:5">
      <c r="A481" s="38" t="s">
        <v>2849</v>
      </c>
      <c r="B481" s="37">
        <v>1</v>
      </c>
      <c r="C481" s="37"/>
      <c r="D481" s="37"/>
      <c r="E481" s="37"/>
    </row>
    <row r="482" spans="1:5">
      <c r="A482" s="38" t="s">
        <v>4712</v>
      </c>
      <c r="B482" s="37">
        <v>1</v>
      </c>
      <c r="C482" s="37"/>
      <c r="D482" s="37"/>
      <c r="E482" s="37"/>
    </row>
    <row r="483" spans="1:5">
      <c r="A483" s="38" t="s">
        <v>4548</v>
      </c>
      <c r="B483" s="37">
        <v>1</v>
      </c>
      <c r="C483" s="37"/>
      <c r="D483" s="37"/>
      <c r="E483" s="37"/>
    </row>
    <row r="484" spans="1:5">
      <c r="A484" s="38" t="s">
        <v>440</v>
      </c>
      <c r="B484" s="37">
        <v>1</v>
      </c>
      <c r="C484" s="37"/>
      <c r="D484" s="37"/>
      <c r="E484" s="37"/>
    </row>
    <row r="485" spans="1:5">
      <c r="A485" s="38" t="s">
        <v>1778</v>
      </c>
      <c r="B485" s="37">
        <v>1</v>
      </c>
      <c r="C485" s="37"/>
      <c r="D485" s="37"/>
      <c r="E485" s="37"/>
    </row>
    <row r="486" spans="1:5">
      <c r="A486" s="38" t="s">
        <v>4635</v>
      </c>
      <c r="B486" s="37">
        <v>1</v>
      </c>
      <c r="C486" s="37"/>
      <c r="D486" s="37"/>
      <c r="E486" s="37"/>
    </row>
    <row r="487" spans="1:5">
      <c r="A487" s="38" t="s">
        <v>1263</v>
      </c>
      <c r="B487" s="37">
        <v>1</v>
      </c>
      <c r="C487" s="37"/>
      <c r="D487" s="37"/>
      <c r="E487" s="37"/>
    </row>
    <row r="488" spans="1:5">
      <c r="A488" s="38" t="s">
        <v>4590</v>
      </c>
      <c r="B488" s="37">
        <v>1</v>
      </c>
      <c r="C488" s="37"/>
      <c r="D488" s="37"/>
      <c r="E488" s="37"/>
    </row>
    <row r="489" spans="1:5">
      <c r="A489" s="38" t="s">
        <v>4725</v>
      </c>
      <c r="B489" s="37">
        <v>1</v>
      </c>
      <c r="C489" s="37"/>
      <c r="D489" s="37"/>
      <c r="E489" s="37"/>
    </row>
    <row r="490" spans="1:5">
      <c r="A490" s="38" t="s">
        <v>4815</v>
      </c>
      <c r="B490" s="37">
        <v>1</v>
      </c>
      <c r="C490" s="37"/>
      <c r="D490" s="37"/>
      <c r="E490" s="37"/>
    </row>
    <row r="491" spans="1:5">
      <c r="A491" s="38" t="s">
        <v>4536</v>
      </c>
      <c r="B491" s="37">
        <v>1</v>
      </c>
      <c r="C491" s="37"/>
      <c r="D491" s="37"/>
      <c r="E491" s="37"/>
    </row>
    <row r="492" spans="1:5">
      <c r="A492" s="38" t="s">
        <v>4817</v>
      </c>
      <c r="B492" s="37">
        <v>1</v>
      </c>
      <c r="C492" s="37"/>
      <c r="D492" s="37"/>
      <c r="E492" s="37"/>
    </row>
    <row r="493" spans="1:5">
      <c r="A493" s="38" t="s">
        <v>2838</v>
      </c>
      <c r="B493" s="37">
        <v>1</v>
      </c>
      <c r="C493" s="37"/>
      <c r="D493" s="37"/>
      <c r="E493" s="37"/>
    </row>
    <row r="494" spans="1:5">
      <c r="A494" s="38" t="s">
        <v>4487</v>
      </c>
      <c r="B494" s="37">
        <v>1</v>
      </c>
      <c r="C494" s="37"/>
      <c r="D494" s="37"/>
      <c r="E494" s="37"/>
    </row>
    <row r="495" spans="1:5">
      <c r="A495" s="38" t="s">
        <v>4612</v>
      </c>
      <c r="B495" s="37">
        <v>1</v>
      </c>
      <c r="C495" s="37"/>
      <c r="D495" s="37"/>
      <c r="E495" s="37"/>
    </row>
    <row r="496" spans="1:5">
      <c r="A496" s="38" t="s">
        <v>4770</v>
      </c>
      <c r="B496" s="37">
        <v>1</v>
      </c>
      <c r="C496" s="37"/>
      <c r="D496" s="37"/>
      <c r="E496" s="37"/>
    </row>
    <row r="497" spans="1:5">
      <c r="A497" s="38" t="s">
        <v>1290</v>
      </c>
      <c r="B497" s="37">
        <v>1</v>
      </c>
      <c r="C497" s="37"/>
      <c r="D497" s="37"/>
      <c r="E497" s="37"/>
    </row>
    <row r="498" spans="1:5">
      <c r="A498" s="38" t="s">
        <v>4594</v>
      </c>
      <c r="B498" s="37">
        <v>1</v>
      </c>
      <c r="C498" s="37"/>
      <c r="D498" s="37"/>
      <c r="E498" s="37"/>
    </row>
    <row r="499" spans="1:5">
      <c r="A499" s="38" t="s">
        <v>4806</v>
      </c>
      <c r="B499" s="37">
        <v>1</v>
      </c>
      <c r="C499" s="37"/>
      <c r="D499" s="37"/>
      <c r="E499" s="37"/>
    </row>
    <row r="500" spans="1:5">
      <c r="A500" s="38" t="s">
        <v>701</v>
      </c>
      <c r="B500" s="37">
        <v>1</v>
      </c>
      <c r="C500" s="37"/>
      <c r="D500" s="37"/>
      <c r="E500" s="37"/>
    </row>
    <row r="501" spans="1:5">
      <c r="A501" s="38" t="s">
        <v>257</v>
      </c>
      <c r="B501" s="37">
        <v>1</v>
      </c>
      <c r="C501" s="37"/>
      <c r="D501" s="37"/>
      <c r="E501" s="37"/>
    </row>
    <row r="502" spans="1:5">
      <c r="A502" s="38" t="s">
        <v>4632</v>
      </c>
      <c r="B502" s="37">
        <v>1</v>
      </c>
      <c r="C502" s="37"/>
      <c r="D502" s="37"/>
      <c r="E502" s="37"/>
    </row>
    <row r="503" spans="1:5">
      <c r="A503" s="38" t="s">
        <v>4799</v>
      </c>
      <c r="B503" s="37">
        <v>1</v>
      </c>
      <c r="C503" s="37"/>
      <c r="D503" s="37"/>
      <c r="E503" s="37"/>
    </row>
    <row r="504" spans="1:5">
      <c r="A504" s="38" t="s">
        <v>4782</v>
      </c>
      <c r="B504" s="37">
        <v>1</v>
      </c>
      <c r="C504" s="37"/>
      <c r="D504" s="37"/>
      <c r="E504" s="37"/>
    </row>
    <row r="505" spans="1:5">
      <c r="A505" s="38" t="s">
        <v>1535</v>
      </c>
      <c r="B505" s="37">
        <v>1</v>
      </c>
      <c r="C505" s="37"/>
      <c r="D505" s="37"/>
      <c r="E505" s="37"/>
    </row>
    <row r="506" spans="1:5">
      <c r="A506" s="38" t="s">
        <v>2104</v>
      </c>
      <c r="B506" s="37">
        <v>1</v>
      </c>
      <c r="C506" s="37"/>
      <c r="D506" s="37"/>
      <c r="E506" s="37"/>
    </row>
    <row r="507" spans="1:5">
      <c r="A507" s="38" t="s">
        <v>4532</v>
      </c>
      <c r="B507" s="37">
        <v>1</v>
      </c>
      <c r="C507" s="37"/>
      <c r="D507" s="37"/>
      <c r="E507" s="37"/>
    </row>
    <row r="508" spans="1:5">
      <c r="A508" s="38" t="s">
        <v>2550</v>
      </c>
      <c r="B508" s="37">
        <v>1</v>
      </c>
      <c r="C508" s="37"/>
      <c r="D508" s="37"/>
      <c r="E508" s="37"/>
    </row>
    <row r="509" spans="1:5">
      <c r="A509" s="38" t="s">
        <v>4473</v>
      </c>
      <c r="B509" s="37">
        <v>1</v>
      </c>
      <c r="C509" s="37"/>
      <c r="D509" s="37"/>
      <c r="E509" s="37"/>
    </row>
    <row r="510" spans="1:5">
      <c r="A510" s="38" t="s">
        <v>4769</v>
      </c>
      <c r="B510" s="37">
        <v>1</v>
      </c>
      <c r="C510" s="37"/>
      <c r="D510" s="37"/>
      <c r="E510" s="37"/>
    </row>
    <row r="511" spans="1:5">
      <c r="A511" s="38" t="s">
        <v>4509</v>
      </c>
      <c r="B511" s="37">
        <v>1</v>
      </c>
      <c r="C511" s="37"/>
      <c r="D511" s="37"/>
      <c r="E511" s="37"/>
    </row>
    <row r="512" spans="1:5">
      <c r="A512" s="38" t="s">
        <v>4744</v>
      </c>
      <c r="B512" s="37">
        <v>1</v>
      </c>
      <c r="C512" s="37"/>
      <c r="D512" s="37"/>
      <c r="E512" s="37"/>
    </row>
    <row r="513" spans="1:5">
      <c r="A513" s="38" t="s">
        <v>4704</v>
      </c>
      <c r="B513" s="37">
        <v>1</v>
      </c>
      <c r="C513" s="37"/>
      <c r="D513" s="37"/>
      <c r="E513" s="37"/>
    </row>
    <row r="514" spans="1:5">
      <c r="A514" s="38" t="s">
        <v>4823</v>
      </c>
      <c r="B514" s="37">
        <v>1</v>
      </c>
      <c r="C514" s="37"/>
      <c r="D514" s="37"/>
      <c r="E514" s="37"/>
    </row>
    <row r="515" spans="1:5">
      <c r="A515" s="38" t="s">
        <v>4549</v>
      </c>
      <c r="B515" s="37">
        <v>1</v>
      </c>
      <c r="C515" s="37"/>
      <c r="D515" s="37"/>
      <c r="E515" s="37"/>
    </row>
    <row r="516" spans="1:5">
      <c r="A516" s="38" t="s">
        <v>4615</v>
      </c>
      <c r="B516" s="37">
        <v>1</v>
      </c>
      <c r="C516" s="37"/>
      <c r="D516" s="37"/>
      <c r="E516" s="37"/>
    </row>
    <row r="517" spans="1:5">
      <c r="A517" s="38" t="s">
        <v>4740</v>
      </c>
      <c r="B517" s="37">
        <v>1</v>
      </c>
      <c r="C517" s="37"/>
      <c r="D517" s="37"/>
      <c r="E517" s="37"/>
    </row>
    <row r="518" spans="1:5">
      <c r="A518" s="38" t="s">
        <v>4813</v>
      </c>
      <c r="B518" s="37">
        <v>1</v>
      </c>
      <c r="C518" s="37"/>
      <c r="D518" s="37"/>
      <c r="E518" s="37"/>
    </row>
    <row r="519" spans="1:5">
      <c r="A519" s="38" t="s">
        <v>518</v>
      </c>
      <c r="B519" s="37">
        <v>1</v>
      </c>
      <c r="C519" s="37"/>
      <c r="D519" s="37"/>
      <c r="E519" s="37"/>
    </row>
    <row r="520" spans="1:5">
      <c r="A520" s="38" t="s">
        <v>4871</v>
      </c>
      <c r="B520" s="37">
        <v>1</v>
      </c>
      <c r="C520" s="37"/>
      <c r="D520" s="37"/>
      <c r="E520" s="37"/>
    </row>
    <row r="521" spans="1:5">
      <c r="A521" s="38" t="s">
        <v>4783</v>
      </c>
      <c r="B521" s="37">
        <v>1</v>
      </c>
      <c r="C521" s="37"/>
      <c r="D521" s="37"/>
      <c r="E521" s="37"/>
    </row>
    <row r="522" spans="1:5">
      <c r="A522" s="38" t="s">
        <v>4568</v>
      </c>
      <c r="B522" s="37">
        <v>1</v>
      </c>
      <c r="C522" s="37"/>
      <c r="D522" s="37"/>
      <c r="E522" s="37"/>
    </row>
    <row r="523" spans="1:5">
      <c r="A523" s="38" t="s">
        <v>4535</v>
      </c>
      <c r="B523" s="37">
        <v>1</v>
      </c>
      <c r="C523" s="37"/>
      <c r="D523" s="37"/>
      <c r="E523" s="37"/>
    </row>
    <row r="524" spans="1:5">
      <c r="A524" s="38" t="s">
        <v>4588</v>
      </c>
      <c r="B524" s="37">
        <v>1</v>
      </c>
      <c r="C524" s="37"/>
      <c r="D524" s="37"/>
      <c r="E524" s="37"/>
    </row>
    <row r="525" spans="1:5">
      <c r="A525" s="38" t="s">
        <v>1518</v>
      </c>
      <c r="B525" s="37">
        <v>1</v>
      </c>
      <c r="C525" s="37"/>
      <c r="D525" s="37"/>
      <c r="E525" s="37"/>
    </row>
    <row r="526" spans="1:5">
      <c r="A526" s="38" t="s">
        <v>59</v>
      </c>
      <c r="B526" s="37">
        <v>1</v>
      </c>
      <c r="C526" s="37"/>
      <c r="D526" s="37"/>
      <c r="E526" s="37"/>
    </row>
    <row r="527" spans="1:5">
      <c r="A527" s="38" t="s">
        <v>2456</v>
      </c>
      <c r="B527" s="37">
        <v>1</v>
      </c>
      <c r="C527" s="37"/>
      <c r="D527" s="37"/>
      <c r="E527" s="37"/>
    </row>
    <row r="528" spans="1:5">
      <c r="A528" s="38" t="s">
        <v>2774</v>
      </c>
      <c r="B528" s="37">
        <v>1</v>
      </c>
      <c r="C528" s="37"/>
      <c r="D528" s="37"/>
      <c r="E528" s="37"/>
    </row>
    <row r="529" spans="1:5">
      <c r="A529" s="38" t="s">
        <v>4640</v>
      </c>
      <c r="B529" s="37">
        <v>1</v>
      </c>
      <c r="C529" s="37"/>
      <c r="D529" s="37"/>
      <c r="E529" s="37"/>
    </row>
    <row r="530" spans="1:5">
      <c r="A530" s="38" t="s">
        <v>1478</v>
      </c>
      <c r="B530" s="37">
        <v>1</v>
      </c>
      <c r="C530" s="37"/>
      <c r="D530" s="37"/>
      <c r="E530" s="37"/>
    </row>
    <row r="531" spans="1:5">
      <c r="A531" s="38" t="s">
        <v>4472</v>
      </c>
      <c r="B531" s="37">
        <v>1</v>
      </c>
      <c r="C531" s="37"/>
      <c r="D531" s="37"/>
      <c r="E531" s="37"/>
    </row>
    <row r="532" spans="1:5">
      <c r="A532" s="38" t="s">
        <v>4497</v>
      </c>
      <c r="B532" s="37">
        <v>1</v>
      </c>
      <c r="C532" s="37"/>
      <c r="D532" s="37"/>
      <c r="E532" s="37"/>
    </row>
    <row r="533" spans="1:5">
      <c r="A533" s="38" t="s">
        <v>4723</v>
      </c>
      <c r="B533" s="37">
        <v>1</v>
      </c>
      <c r="C533" s="37"/>
      <c r="D533" s="37"/>
      <c r="E533" s="37"/>
    </row>
    <row r="534" spans="1:5">
      <c r="A534" s="38" t="s">
        <v>3313</v>
      </c>
      <c r="B534" s="37">
        <v>1</v>
      </c>
      <c r="C534" s="37"/>
      <c r="D534" s="37"/>
      <c r="E534" s="37"/>
    </row>
    <row r="535" spans="1:5">
      <c r="A535" s="38" t="s">
        <v>4533</v>
      </c>
      <c r="B535" s="37">
        <v>1</v>
      </c>
      <c r="C535" s="37"/>
      <c r="D535" s="37"/>
      <c r="E535" s="37"/>
    </row>
    <row r="536" spans="1:5">
      <c r="A536" s="38" t="s">
        <v>4454</v>
      </c>
      <c r="B536" s="37">
        <v>1</v>
      </c>
      <c r="C536" s="37"/>
      <c r="D536" s="37"/>
      <c r="E536" s="37"/>
    </row>
    <row r="537" spans="1:5">
      <c r="A537" s="38" t="s">
        <v>4864</v>
      </c>
      <c r="B537" s="37">
        <v>1</v>
      </c>
      <c r="C537" s="37"/>
      <c r="D537" s="37"/>
      <c r="E537" s="37"/>
    </row>
    <row r="538" spans="1:5">
      <c r="A538" s="38" t="s">
        <v>2578</v>
      </c>
      <c r="B538" s="37">
        <v>1</v>
      </c>
      <c r="C538" s="37"/>
      <c r="D538" s="37"/>
      <c r="E538" s="37"/>
    </row>
    <row r="539" spans="1:5">
      <c r="A539" s="38" t="s">
        <v>1531</v>
      </c>
      <c r="B539" s="37">
        <v>1</v>
      </c>
      <c r="C539" s="37"/>
      <c r="D539" s="37"/>
      <c r="E539" s="37"/>
    </row>
    <row r="540" spans="1:5">
      <c r="A540" s="38" t="s">
        <v>4506</v>
      </c>
      <c r="B540" s="37">
        <v>1</v>
      </c>
      <c r="C540" s="37"/>
      <c r="D540" s="37"/>
      <c r="E540" s="37"/>
    </row>
    <row r="541" spans="1:5">
      <c r="A541" s="38" t="s">
        <v>4818</v>
      </c>
      <c r="B541" s="37">
        <v>1</v>
      </c>
      <c r="C541" s="37"/>
      <c r="D541" s="37"/>
      <c r="E541" s="37"/>
    </row>
    <row r="542" spans="1:5">
      <c r="A542" s="38" t="s">
        <v>2605</v>
      </c>
      <c r="B542" s="37">
        <v>1</v>
      </c>
      <c r="C542" s="37"/>
      <c r="D542" s="37"/>
      <c r="E542" s="37"/>
    </row>
    <row r="543" spans="1:5">
      <c r="A543" s="38" t="s">
        <v>4751</v>
      </c>
      <c r="B543" s="37">
        <v>1</v>
      </c>
      <c r="C543" s="37"/>
      <c r="D543" s="37"/>
      <c r="E543" s="37"/>
    </row>
    <row r="544" spans="1:5">
      <c r="A544" s="38" t="s">
        <v>1528</v>
      </c>
      <c r="B544" s="37">
        <v>1</v>
      </c>
      <c r="C544" s="37"/>
      <c r="D544" s="37"/>
      <c r="E544" s="37"/>
    </row>
    <row r="545" spans="1:5">
      <c r="A545" s="38" t="s">
        <v>2133</v>
      </c>
      <c r="B545" s="37">
        <v>1</v>
      </c>
      <c r="C545" s="37"/>
      <c r="D545" s="37"/>
      <c r="E545" s="37"/>
    </row>
    <row r="546" spans="1:5">
      <c r="A546" s="38" t="s">
        <v>4858</v>
      </c>
      <c r="B546" s="37">
        <v>1</v>
      </c>
      <c r="C546" s="37"/>
      <c r="D546" s="37"/>
      <c r="E546" s="37"/>
    </row>
    <row r="547" spans="1:5">
      <c r="A547" s="38" t="s">
        <v>4649</v>
      </c>
      <c r="B547" s="37">
        <v>1</v>
      </c>
      <c r="C547" s="37"/>
      <c r="D547" s="37"/>
      <c r="E547" s="37"/>
    </row>
    <row r="548" spans="1:5">
      <c r="A548" s="38" t="s">
        <v>1384</v>
      </c>
      <c r="B548" s="37">
        <v>1</v>
      </c>
      <c r="C548" s="37"/>
      <c r="D548" s="37"/>
      <c r="E548" s="37"/>
    </row>
    <row r="549" spans="1:5">
      <c r="A549" s="38" t="s">
        <v>4682</v>
      </c>
      <c r="B549" s="37">
        <v>1</v>
      </c>
      <c r="C549" s="37"/>
      <c r="D549" s="37"/>
      <c r="E549" s="37"/>
    </row>
    <row r="550" spans="1:5">
      <c r="A550" s="38" t="s">
        <v>4736</v>
      </c>
      <c r="B550" s="37">
        <v>1</v>
      </c>
      <c r="C550" s="37"/>
      <c r="D550" s="37"/>
      <c r="E550" s="37"/>
    </row>
    <row r="551" spans="1:5">
      <c r="A551" s="38" t="s">
        <v>2268</v>
      </c>
      <c r="B551" s="37">
        <v>1</v>
      </c>
      <c r="C551" s="37"/>
      <c r="D551" s="37"/>
      <c r="E551" s="37"/>
    </row>
    <row r="552" spans="1:5">
      <c r="A552" s="38" t="s">
        <v>4452</v>
      </c>
      <c r="B552" s="37">
        <v>1</v>
      </c>
      <c r="C552" s="37"/>
      <c r="D552" s="37"/>
      <c r="E552" s="37"/>
    </row>
    <row r="553" spans="1:5">
      <c r="A553" s="38" t="s">
        <v>4763</v>
      </c>
      <c r="B553" s="37">
        <v>1</v>
      </c>
      <c r="C553" s="37"/>
      <c r="D553" s="37"/>
      <c r="E553" s="37"/>
    </row>
    <row r="554" spans="1:5">
      <c r="A554" s="38" t="s">
        <v>1825</v>
      </c>
      <c r="B554" s="37">
        <v>1</v>
      </c>
      <c r="C554" s="37"/>
      <c r="D554" s="37"/>
      <c r="E554" s="37"/>
    </row>
    <row r="555" spans="1:5">
      <c r="A555" s="38" t="s">
        <v>4562</v>
      </c>
      <c r="B555" s="37">
        <v>1</v>
      </c>
      <c r="C555" s="37"/>
      <c r="D555" s="37"/>
      <c r="E555" s="37"/>
    </row>
    <row r="556" spans="1:5">
      <c r="A556" s="38" t="s">
        <v>4567</v>
      </c>
      <c r="B556" s="37">
        <v>1</v>
      </c>
      <c r="C556" s="37"/>
      <c r="D556" s="37"/>
      <c r="E556" s="37"/>
    </row>
    <row r="557" spans="1:5">
      <c r="A557" s="38" t="s">
        <v>4743</v>
      </c>
      <c r="B557" s="37">
        <v>1</v>
      </c>
      <c r="C557" s="37"/>
      <c r="D557" s="37"/>
      <c r="E557" s="37"/>
    </row>
    <row r="558" spans="1:5">
      <c r="A558" s="38" t="s">
        <v>2476</v>
      </c>
      <c r="B558" s="37">
        <v>1</v>
      </c>
      <c r="C558" s="37"/>
      <c r="D558" s="37"/>
      <c r="E558" s="37"/>
    </row>
    <row r="559" spans="1:5">
      <c r="A559" s="38" t="s">
        <v>919</v>
      </c>
      <c r="B559" s="37">
        <v>1</v>
      </c>
      <c r="C559" s="37"/>
      <c r="D559" s="37"/>
      <c r="E559" s="37"/>
    </row>
    <row r="560" spans="1:5">
      <c r="A560" s="38" t="s">
        <v>4834</v>
      </c>
      <c r="B560" s="37">
        <v>1</v>
      </c>
      <c r="C560" s="37"/>
      <c r="D560" s="37"/>
      <c r="E560" s="37"/>
    </row>
    <row r="561" spans="1:5">
      <c r="A561" s="38" t="s">
        <v>1896</v>
      </c>
      <c r="B561" s="37">
        <v>1</v>
      </c>
      <c r="C561" s="37"/>
      <c r="D561" s="37"/>
      <c r="E561" s="37"/>
    </row>
    <row r="562" spans="1:5">
      <c r="A562" s="38" t="s">
        <v>2139</v>
      </c>
      <c r="B562" s="37">
        <v>1</v>
      </c>
      <c r="C562" s="37"/>
      <c r="D562" s="37"/>
      <c r="E562" s="37"/>
    </row>
    <row r="563" spans="1:5">
      <c r="A563" s="38" t="s">
        <v>4745</v>
      </c>
      <c r="B563" s="37">
        <v>1</v>
      </c>
      <c r="C563" s="37"/>
      <c r="D563" s="37"/>
      <c r="E563" s="37"/>
    </row>
    <row r="564" spans="1:5">
      <c r="A564" s="38" t="s">
        <v>4431</v>
      </c>
      <c r="B564" s="37">
        <v>1</v>
      </c>
      <c r="C564" s="37"/>
      <c r="D564" s="37"/>
      <c r="E564" s="37"/>
    </row>
    <row r="565" spans="1:5">
      <c r="A565" s="38" t="s">
        <v>4695</v>
      </c>
      <c r="B565" s="37">
        <v>1</v>
      </c>
      <c r="C565" s="37"/>
      <c r="D565" s="37"/>
      <c r="E565" s="37"/>
    </row>
    <row r="566" spans="1:5">
      <c r="A566" s="38" t="s">
        <v>4855</v>
      </c>
      <c r="B566" s="37">
        <v>1</v>
      </c>
      <c r="C566" s="37"/>
      <c r="D566" s="37"/>
      <c r="E566" s="37"/>
    </row>
    <row r="567" spans="1:5">
      <c r="A567" s="38" t="s">
        <v>4450</v>
      </c>
      <c r="B567" s="37">
        <v>1</v>
      </c>
      <c r="C567" s="37"/>
      <c r="D567" s="37"/>
      <c r="E567" s="37"/>
    </row>
    <row r="568" spans="1:5">
      <c r="A568" s="38" t="s">
        <v>4459</v>
      </c>
      <c r="B568" s="37">
        <v>1</v>
      </c>
      <c r="C568" s="37"/>
      <c r="D568" s="37"/>
      <c r="E568" s="37"/>
    </row>
    <row r="569" spans="1:5">
      <c r="A569" s="38" t="s">
        <v>268</v>
      </c>
      <c r="B569" s="37">
        <v>1</v>
      </c>
      <c r="C569" s="37"/>
      <c r="D569" s="37"/>
      <c r="E569" s="37"/>
    </row>
    <row r="570" spans="1:5">
      <c r="A570" s="38" t="s">
        <v>4721</v>
      </c>
      <c r="B570" s="37">
        <v>1</v>
      </c>
      <c r="C570" s="37"/>
      <c r="D570" s="37"/>
      <c r="E570" s="37"/>
    </row>
    <row r="571" spans="1:5">
      <c r="A571" s="38" t="s">
        <v>4726</v>
      </c>
      <c r="B571" s="37">
        <v>1</v>
      </c>
      <c r="C571" s="37"/>
      <c r="D571" s="37"/>
      <c r="E571" s="37"/>
    </row>
    <row r="572" spans="1:5">
      <c r="A572" s="38" t="s">
        <v>1358</v>
      </c>
      <c r="B572" s="37">
        <v>1</v>
      </c>
      <c r="C572" s="37"/>
      <c r="D572" s="37"/>
      <c r="E572" s="37"/>
    </row>
    <row r="573" spans="1:5">
      <c r="A573" s="38" t="s">
        <v>4692</v>
      </c>
      <c r="B573" s="37">
        <v>1</v>
      </c>
      <c r="C573" s="37"/>
      <c r="D573" s="37"/>
      <c r="E573" s="37"/>
    </row>
    <row r="574" spans="1:5">
      <c r="A574" s="38" t="s">
        <v>4595</v>
      </c>
      <c r="B574" s="37">
        <v>1</v>
      </c>
      <c r="C574" s="37"/>
      <c r="D574" s="37"/>
      <c r="E574" s="37"/>
    </row>
    <row r="575" spans="1:5">
      <c r="A575" s="38" t="s">
        <v>4458</v>
      </c>
      <c r="B575" s="37">
        <v>1</v>
      </c>
      <c r="C575" s="37"/>
      <c r="D575" s="37"/>
      <c r="E575" s="37"/>
    </row>
    <row r="576" spans="1:5">
      <c r="A576" s="38" t="s">
        <v>4829</v>
      </c>
      <c r="B576" s="37">
        <v>1</v>
      </c>
      <c r="C576" s="37"/>
      <c r="D576" s="37"/>
      <c r="E576" s="37"/>
    </row>
    <row r="577" spans="1:5">
      <c r="A577" s="38" t="s">
        <v>4833</v>
      </c>
      <c r="B577" s="37">
        <v>1</v>
      </c>
      <c r="C577" s="37"/>
      <c r="D577" s="37"/>
      <c r="E577" s="37"/>
    </row>
    <row r="578" spans="1:5">
      <c r="A578" s="38" t="s">
        <v>4606</v>
      </c>
      <c r="B578" s="37">
        <v>1</v>
      </c>
      <c r="C578" s="37"/>
      <c r="D578" s="37"/>
      <c r="E578" s="37"/>
    </row>
    <row r="579" spans="1:5">
      <c r="A579" s="38" t="s">
        <v>3310</v>
      </c>
      <c r="B579" s="37">
        <v>1</v>
      </c>
      <c r="C579" s="37"/>
      <c r="D579" s="37"/>
      <c r="E579" s="37"/>
    </row>
    <row r="580" spans="1:5">
      <c r="A580" s="38" t="s">
        <v>1107</v>
      </c>
      <c r="B580" s="37">
        <v>1</v>
      </c>
      <c r="C580" s="37"/>
      <c r="D580" s="37"/>
      <c r="E580" s="37"/>
    </row>
    <row r="581" spans="1:5">
      <c r="A581" s="38" t="s">
        <v>4687</v>
      </c>
      <c r="B581" s="37">
        <v>1</v>
      </c>
      <c r="C581" s="37"/>
      <c r="D581" s="37"/>
      <c r="E581" s="37"/>
    </row>
    <row r="582" spans="1:5">
      <c r="A582" s="38" t="s">
        <v>4810</v>
      </c>
      <c r="B582" s="37">
        <v>1</v>
      </c>
      <c r="C582" s="37"/>
      <c r="D582" s="37"/>
      <c r="E582" s="37"/>
    </row>
    <row r="583" spans="1:5">
      <c r="A583" s="38" t="s">
        <v>2542</v>
      </c>
      <c r="B583" s="37">
        <v>1</v>
      </c>
      <c r="C583" s="37"/>
      <c r="D583" s="37"/>
      <c r="E583" s="37"/>
    </row>
    <row r="584" spans="1:5">
      <c r="A584" s="38" t="s">
        <v>1756</v>
      </c>
      <c r="B584" s="37">
        <v>1</v>
      </c>
      <c r="C584" s="37"/>
      <c r="D584" s="37"/>
      <c r="E584" s="37"/>
    </row>
    <row r="585" spans="1:5">
      <c r="A585" s="38" t="s">
        <v>4673</v>
      </c>
      <c r="B585" s="37">
        <v>1</v>
      </c>
      <c r="C585" s="37"/>
      <c r="D585" s="37"/>
      <c r="E585" s="37"/>
    </row>
    <row r="586" spans="1:5">
      <c r="A586" s="38" t="s">
        <v>2522</v>
      </c>
      <c r="B586" s="37">
        <v>1</v>
      </c>
      <c r="C586" s="37"/>
      <c r="D586" s="37"/>
      <c r="E586" s="37"/>
    </row>
    <row r="587" spans="1:5">
      <c r="A587" s="38" t="s">
        <v>4675</v>
      </c>
      <c r="B587" s="37">
        <v>1</v>
      </c>
      <c r="C587" s="37"/>
      <c r="D587" s="37"/>
      <c r="E587" s="37"/>
    </row>
    <row r="588" spans="1:5">
      <c r="A588" s="38" t="s">
        <v>1079</v>
      </c>
      <c r="B588" s="37">
        <v>1</v>
      </c>
      <c r="C588" s="37"/>
      <c r="D588" s="37"/>
      <c r="E588" s="37"/>
    </row>
    <row r="589" spans="1:5">
      <c r="A589" s="38" t="s">
        <v>4847</v>
      </c>
      <c r="B589" s="37">
        <v>1</v>
      </c>
      <c r="C589" s="37"/>
      <c r="D589" s="37"/>
      <c r="E589" s="37"/>
    </row>
    <row r="590" spans="1:5">
      <c r="A590" s="38" t="s">
        <v>4666</v>
      </c>
      <c r="B590" s="37">
        <v>1</v>
      </c>
      <c r="C590" s="37"/>
      <c r="D590" s="37"/>
      <c r="E590" s="37"/>
    </row>
    <row r="591" spans="1:5">
      <c r="A591" s="38" t="s">
        <v>4571</v>
      </c>
      <c r="B591" s="37">
        <v>1</v>
      </c>
      <c r="C591" s="37"/>
      <c r="D591" s="37"/>
      <c r="E591" s="37"/>
    </row>
    <row r="592" spans="1:5">
      <c r="A592" s="38" t="s">
        <v>4849</v>
      </c>
      <c r="B592" s="37">
        <v>1</v>
      </c>
      <c r="C592" s="37"/>
      <c r="D592" s="37"/>
      <c r="E592" s="37"/>
    </row>
    <row r="593" spans="1:5">
      <c r="A593" s="38" t="s">
        <v>4750</v>
      </c>
      <c r="B593" s="37">
        <v>1</v>
      </c>
      <c r="C593" s="37"/>
      <c r="D593" s="37"/>
      <c r="E593" s="37"/>
    </row>
    <row r="594" spans="1:5">
      <c r="A594" s="38" t="s">
        <v>4665</v>
      </c>
      <c r="B594" s="37">
        <v>1</v>
      </c>
      <c r="C594" s="37"/>
      <c r="D594" s="37"/>
      <c r="E594" s="37"/>
    </row>
    <row r="595" spans="1:5">
      <c r="A595" s="38" t="s">
        <v>3181</v>
      </c>
      <c r="B595" s="37">
        <v>1</v>
      </c>
      <c r="C595" s="37"/>
      <c r="D595" s="37"/>
      <c r="E595" s="37"/>
    </row>
    <row r="596" spans="1:5">
      <c r="A596" s="38" t="s">
        <v>4835</v>
      </c>
      <c r="B596" s="37">
        <v>1</v>
      </c>
      <c r="C596" s="37"/>
      <c r="D596" s="37"/>
      <c r="E596" s="37"/>
    </row>
    <row r="597" spans="1:5">
      <c r="A597" s="38" t="s">
        <v>4461</v>
      </c>
      <c r="B597" s="37">
        <v>1</v>
      </c>
      <c r="C597" s="37"/>
      <c r="D597" s="37"/>
      <c r="E597" s="37"/>
    </row>
    <row r="598" spans="1:5">
      <c r="A598" s="38" t="s">
        <v>4856</v>
      </c>
      <c r="B598" s="37">
        <v>1</v>
      </c>
      <c r="C598" s="37"/>
      <c r="D598" s="37"/>
      <c r="E598" s="37"/>
    </row>
    <row r="599" spans="1:5">
      <c r="A599" s="38" t="s">
        <v>4762</v>
      </c>
      <c r="B599" s="37">
        <v>1</v>
      </c>
      <c r="C599" s="37"/>
      <c r="D599" s="37"/>
      <c r="E599" s="37"/>
    </row>
    <row r="600" spans="1:5">
      <c r="A600" s="38" t="s">
        <v>4727</v>
      </c>
      <c r="B600" s="37">
        <v>1</v>
      </c>
      <c r="C600" s="37"/>
      <c r="D600" s="37"/>
      <c r="E600" s="37"/>
    </row>
    <row r="601" spans="1:5">
      <c r="A601" s="38" t="s">
        <v>4604</v>
      </c>
      <c r="B601" s="37">
        <v>1</v>
      </c>
      <c r="C601" s="37"/>
      <c r="D601" s="37"/>
      <c r="E601" s="37"/>
    </row>
    <row r="602" spans="1:5">
      <c r="A602" s="38" t="s">
        <v>4448</v>
      </c>
      <c r="B602" s="37">
        <v>1</v>
      </c>
      <c r="C602" s="37"/>
      <c r="D602" s="37"/>
      <c r="E602" s="37"/>
    </row>
    <row r="603" spans="1:5">
      <c r="A603" s="38" t="s">
        <v>1934</v>
      </c>
      <c r="B603" s="37">
        <v>1</v>
      </c>
      <c r="C603" s="37"/>
      <c r="D603" s="37"/>
      <c r="E603" s="37"/>
    </row>
    <row r="604" spans="1:5">
      <c r="A604" s="38" t="s">
        <v>4809</v>
      </c>
      <c r="B604" s="37">
        <v>1</v>
      </c>
      <c r="C604" s="37"/>
      <c r="D604" s="37"/>
      <c r="E604" s="37"/>
    </row>
    <row r="605" spans="1:5">
      <c r="A605" s="38" t="s">
        <v>4841</v>
      </c>
      <c r="B605" s="37">
        <v>1</v>
      </c>
      <c r="C605" s="37"/>
      <c r="D605" s="37"/>
      <c r="E605" s="37"/>
    </row>
    <row r="606" spans="1:5">
      <c r="A606" s="38" t="s">
        <v>4746</v>
      </c>
      <c r="B606" s="37">
        <v>1</v>
      </c>
      <c r="C606" s="37"/>
      <c r="D606" s="37"/>
      <c r="E606" s="37"/>
    </row>
    <row r="607" spans="1:5">
      <c r="A607" s="38" t="s">
        <v>4843</v>
      </c>
      <c r="B607" s="37">
        <v>1</v>
      </c>
      <c r="C607" s="37"/>
      <c r="D607" s="37"/>
      <c r="E607" s="37"/>
    </row>
    <row r="608" spans="1:5">
      <c r="A608" s="38" t="s">
        <v>3155</v>
      </c>
      <c r="B608" s="37">
        <v>1</v>
      </c>
      <c r="C608" s="37"/>
      <c r="D608" s="37"/>
      <c r="E608" s="37"/>
    </row>
    <row r="609" spans="1:5">
      <c r="A609" s="38" t="s">
        <v>4508</v>
      </c>
      <c r="B609" s="37">
        <v>1</v>
      </c>
      <c r="C609" s="37"/>
      <c r="D609" s="37"/>
      <c r="E609" s="37"/>
    </row>
    <row r="610" spans="1:5">
      <c r="A610" s="38" t="s">
        <v>4819</v>
      </c>
      <c r="B610" s="37">
        <v>1</v>
      </c>
      <c r="C610" s="37"/>
      <c r="D610" s="37"/>
      <c r="E610" s="37"/>
    </row>
    <row r="611" spans="1:5">
      <c r="A611" s="38" t="s">
        <v>4741</v>
      </c>
      <c r="B611" s="37">
        <v>1</v>
      </c>
      <c r="C611" s="37"/>
      <c r="D611" s="37"/>
      <c r="E611" s="37"/>
    </row>
    <row r="612" spans="1:5">
      <c r="A612" s="38" t="s">
        <v>4804</v>
      </c>
      <c r="B612" s="37">
        <v>1</v>
      </c>
      <c r="C612" s="37"/>
      <c r="D612" s="37"/>
      <c r="E612" s="37"/>
    </row>
    <row r="613" spans="1:5">
      <c r="A613" s="38" t="s">
        <v>4617</v>
      </c>
      <c r="B613" s="37">
        <v>1</v>
      </c>
      <c r="C613" s="37"/>
      <c r="D613" s="37"/>
      <c r="E613" s="37"/>
    </row>
    <row r="614" spans="1:5">
      <c r="A614" s="38" t="s">
        <v>4644</v>
      </c>
      <c r="B614" s="37">
        <v>1</v>
      </c>
      <c r="C614" s="37"/>
      <c r="D614" s="37"/>
      <c r="E614" s="37"/>
    </row>
    <row r="615" spans="1:5">
      <c r="A615" s="38" t="s">
        <v>2532</v>
      </c>
      <c r="B615" s="37">
        <v>1</v>
      </c>
      <c r="C615" s="37"/>
      <c r="D615" s="37"/>
      <c r="E615" s="37"/>
    </row>
    <row r="616" spans="1:5">
      <c r="A616" s="38" t="s">
        <v>4415</v>
      </c>
      <c r="B616" s="37">
        <v>1</v>
      </c>
      <c r="C616" s="37"/>
      <c r="D616" s="37"/>
      <c r="E616" s="37"/>
    </row>
    <row r="617" spans="1:5">
      <c r="A617" s="38" t="s">
        <v>4656</v>
      </c>
      <c r="B617" s="37">
        <v>1</v>
      </c>
      <c r="C617" s="37"/>
      <c r="D617" s="37"/>
      <c r="E617" s="37"/>
    </row>
    <row r="618" spans="1:5">
      <c r="A618" s="38" t="s">
        <v>4778</v>
      </c>
      <c r="B618" s="37">
        <v>1</v>
      </c>
      <c r="C618" s="37"/>
      <c r="D618" s="37"/>
      <c r="E618" s="37"/>
    </row>
    <row r="619" spans="1:5">
      <c r="A619" s="38" t="s">
        <v>4583</v>
      </c>
      <c r="B619" s="37">
        <v>1</v>
      </c>
      <c r="C619" s="37"/>
      <c r="D619" s="37"/>
      <c r="E619" s="37"/>
    </row>
    <row r="620" spans="1:5">
      <c r="A620" s="38" t="s">
        <v>4639</v>
      </c>
      <c r="B620" s="37">
        <v>1</v>
      </c>
      <c r="C620" s="37"/>
      <c r="D620" s="37"/>
      <c r="E620" s="37"/>
    </row>
    <row r="621" spans="1:5">
      <c r="A621" s="38" t="s">
        <v>4755</v>
      </c>
      <c r="B621" s="37">
        <v>1</v>
      </c>
      <c r="C621" s="37"/>
      <c r="D621" s="37"/>
      <c r="E621" s="37"/>
    </row>
    <row r="622" spans="1:5">
      <c r="A622" s="38" t="s">
        <v>621</v>
      </c>
      <c r="B622" s="37">
        <v>1</v>
      </c>
      <c r="C622" s="37"/>
      <c r="D622" s="37"/>
      <c r="E622" s="37"/>
    </row>
    <row r="623" spans="1:5">
      <c r="A623" s="38" t="s">
        <v>4515</v>
      </c>
      <c r="B623" s="37">
        <v>1</v>
      </c>
      <c r="C623" s="37"/>
      <c r="D623" s="37"/>
      <c r="E623" s="37"/>
    </row>
    <row r="624" spans="1:5">
      <c r="A624" s="38" t="s">
        <v>4773</v>
      </c>
      <c r="B624" s="37">
        <v>1</v>
      </c>
      <c r="C624" s="37"/>
      <c r="D624" s="37"/>
      <c r="E624" s="37"/>
    </row>
    <row r="625" spans="1:5">
      <c r="A625" s="38" t="s">
        <v>4576</v>
      </c>
      <c r="B625" s="37">
        <v>1</v>
      </c>
      <c r="C625" s="37"/>
      <c r="D625" s="37"/>
      <c r="E625" s="37"/>
    </row>
    <row r="626" spans="1:5">
      <c r="A626" s="38" t="s">
        <v>1556</v>
      </c>
      <c r="B626" s="37">
        <v>1</v>
      </c>
      <c r="C626" s="37"/>
      <c r="D626" s="37"/>
      <c r="E626" s="37"/>
    </row>
    <row r="627" spans="1:5">
      <c r="A627" s="38" t="s">
        <v>4626</v>
      </c>
      <c r="B627" s="37">
        <v>1</v>
      </c>
      <c r="C627" s="37"/>
      <c r="D627" s="37"/>
      <c r="E627" s="37"/>
    </row>
    <row r="628" spans="1:5">
      <c r="A628" s="38" t="s">
        <v>1035</v>
      </c>
      <c r="B628" s="37">
        <v>1</v>
      </c>
      <c r="C628" s="37"/>
      <c r="D628" s="37"/>
      <c r="E628" s="37"/>
    </row>
    <row r="629" spans="1:5">
      <c r="A629" s="38" t="s">
        <v>4774</v>
      </c>
      <c r="B629" s="37">
        <v>1</v>
      </c>
      <c r="C629" s="37"/>
      <c r="D629" s="37"/>
      <c r="E629" s="37"/>
    </row>
    <row r="630" spans="1:5">
      <c r="A630" s="38" t="s">
        <v>4419</v>
      </c>
      <c r="B630" s="37">
        <v>1</v>
      </c>
      <c r="C630" s="37"/>
      <c r="D630" s="37"/>
      <c r="E630" s="37"/>
    </row>
    <row r="631" spans="1:5">
      <c r="A631" s="38" t="s">
        <v>4752</v>
      </c>
      <c r="B631" s="37">
        <v>1</v>
      </c>
      <c r="C631" s="37"/>
      <c r="D631" s="37"/>
      <c r="E631" s="37"/>
    </row>
    <row r="632" spans="1:5">
      <c r="A632" s="38" t="s">
        <v>82</v>
      </c>
      <c r="B632" s="37">
        <v>1</v>
      </c>
      <c r="C632" s="37"/>
      <c r="D632" s="37"/>
      <c r="E632" s="37"/>
    </row>
    <row r="633" spans="1:5">
      <c r="A633" s="38" t="s">
        <v>4693</v>
      </c>
      <c r="B633" s="37">
        <v>1</v>
      </c>
      <c r="C633" s="37"/>
      <c r="D633" s="37"/>
      <c r="E633" s="37"/>
    </row>
    <row r="634" spans="1:5">
      <c r="A634" s="38" t="s">
        <v>2806</v>
      </c>
      <c r="B634" s="37">
        <v>1</v>
      </c>
      <c r="C634" s="37"/>
      <c r="D634" s="37"/>
      <c r="E634" s="37"/>
    </row>
    <row r="635" spans="1:5">
      <c r="A635" s="38" t="s">
        <v>2039</v>
      </c>
      <c r="B635" s="37">
        <v>1</v>
      </c>
      <c r="C635" s="37"/>
      <c r="D635" s="37"/>
      <c r="E635" s="37"/>
    </row>
    <row r="636" spans="1:5">
      <c r="A636" s="38" t="s">
        <v>4430</v>
      </c>
      <c r="B636" s="37">
        <v>1</v>
      </c>
      <c r="C636" s="37"/>
      <c r="D636" s="37"/>
      <c r="E636" s="37"/>
    </row>
    <row r="637" spans="1:5">
      <c r="A637" s="38" t="s">
        <v>4485</v>
      </c>
      <c r="B637" s="37">
        <v>1</v>
      </c>
      <c r="C637" s="37"/>
      <c r="D637" s="37"/>
      <c r="E637" s="37"/>
    </row>
    <row r="638" spans="1:5">
      <c r="A638" s="38" t="s">
        <v>2553</v>
      </c>
      <c r="B638" s="37">
        <v>1</v>
      </c>
      <c r="C638" s="37"/>
      <c r="D638" s="37"/>
      <c r="E638" s="37"/>
    </row>
    <row r="639" spans="1:5">
      <c r="A639" s="38" t="s">
        <v>113</v>
      </c>
      <c r="B639" s="37">
        <v>1</v>
      </c>
      <c r="C639" s="37"/>
      <c r="D639" s="37"/>
      <c r="E639" s="37"/>
    </row>
    <row r="640" spans="1:5">
      <c r="A640" s="38" t="s">
        <v>4747</v>
      </c>
      <c r="B640" s="37">
        <v>1</v>
      </c>
      <c r="C640" s="37"/>
      <c r="D640" s="37"/>
      <c r="E640" s="37"/>
    </row>
    <row r="641" spans="1:5">
      <c r="A641" s="38" t="s">
        <v>1724</v>
      </c>
      <c r="B641" s="37">
        <v>1</v>
      </c>
      <c r="C641" s="37"/>
      <c r="D641" s="37"/>
      <c r="E641" s="37"/>
    </row>
    <row r="642" spans="1:5">
      <c r="A642" s="38" t="s">
        <v>910</v>
      </c>
      <c r="B642" s="37">
        <v>1</v>
      </c>
      <c r="C642" s="37"/>
      <c r="D642" s="37"/>
      <c r="E642" s="37"/>
    </row>
    <row r="643" spans="1:5">
      <c r="A643" s="38" t="s">
        <v>4417</v>
      </c>
      <c r="B643" s="37">
        <v>1</v>
      </c>
      <c r="C643" s="37"/>
      <c r="D643" s="37"/>
      <c r="E643" s="37"/>
    </row>
    <row r="644" spans="1:5">
      <c r="A644" s="38" t="s">
        <v>4788</v>
      </c>
      <c r="B644" s="37">
        <v>1</v>
      </c>
      <c r="C644" s="37"/>
      <c r="D644" s="37"/>
      <c r="E644" s="37"/>
    </row>
    <row r="645" spans="1:5">
      <c r="A645" s="38" t="s">
        <v>4676</v>
      </c>
      <c r="B645" s="37">
        <v>1</v>
      </c>
      <c r="C645" s="37"/>
      <c r="D645" s="37"/>
      <c r="E645" s="37"/>
    </row>
    <row r="646" spans="1:5">
      <c r="A646" s="38" t="s">
        <v>4710</v>
      </c>
      <c r="B646" s="37">
        <v>1</v>
      </c>
      <c r="C646" s="37"/>
      <c r="D646" s="37"/>
      <c r="E646" s="37"/>
    </row>
    <row r="647" spans="1:5">
      <c r="A647" s="38" t="s">
        <v>1916</v>
      </c>
      <c r="B647" s="37">
        <v>1</v>
      </c>
      <c r="C647" s="37"/>
      <c r="D647" s="37"/>
      <c r="E647" s="37"/>
    </row>
    <row r="648" spans="1:5">
      <c r="A648" s="38" t="s">
        <v>3050</v>
      </c>
      <c r="B648" s="37">
        <v>1</v>
      </c>
      <c r="C648" s="37"/>
      <c r="D648" s="37"/>
      <c r="E648" s="37"/>
    </row>
    <row r="649" spans="1:5">
      <c r="A649" s="38" t="s">
        <v>4793</v>
      </c>
      <c r="B649" s="37">
        <v>1</v>
      </c>
      <c r="C649" s="37"/>
      <c r="D649" s="37"/>
      <c r="E649" s="37"/>
    </row>
    <row r="650" spans="1:5">
      <c r="A650" s="38" t="s">
        <v>523</v>
      </c>
      <c r="B650" s="37">
        <v>1</v>
      </c>
      <c r="C650" s="37"/>
      <c r="D650" s="37"/>
      <c r="E650" s="37"/>
    </row>
    <row r="651" spans="1:5">
      <c r="A651" s="38" t="s">
        <v>4822</v>
      </c>
      <c r="B651" s="37">
        <v>1</v>
      </c>
      <c r="C651" s="37"/>
      <c r="D651" s="37"/>
      <c r="E651" s="37"/>
    </row>
    <row r="652" spans="1:5">
      <c r="A652" s="38" t="s">
        <v>2912</v>
      </c>
      <c r="B652" s="37">
        <v>1</v>
      </c>
      <c r="C652" s="37"/>
      <c r="D652" s="37"/>
      <c r="E652" s="37"/>
    </row>
    <row r="653" spans="1:5">
      <c r="A653" s="38" t="s">
        <v>1663</v>
      </c>
      <c r="B653" s="37">
        <v>1</v>
      </c>
      <c r="C653" s="37"/>
      <c r="D653" s="37"/>
      <c r="E653" s="37"/>
    </row>
    <row r="654" spans="1:5">
      <c r="A654" s="38" t="s">
        <v>733</v>
      </c>
      <c r="B654" s="37">
        <v>1</v>
      </c>
      <c r="C654" s="37"/>
      <c r="D654" s="37"/>
      <c r="E654" s="37"/>
    </row>
    <row r="655" spans="1:5">
      <c r="A655" s="38" t="s">
        <v>4865</v>
      </c>
      <c r="B655" s="37">
        <v>1</v>
      </c>
      <c r="C655" s="37"/>
      <c r="D655" s="37"/>
      <c r="E655" s="37"/>
    </row>
    <row r="656" spans="1:5">
      <c r="A656" s="38" t="s">
        <v>4720</v>
      </c>
      <c r="B656" s="37">
        <v>1</v>
      </c>
      <c r="C656" s="37"/>
      <c r="D656" s="37"/>
      <c r="E656" s="37"/>
    </row>
    <row r="657" spans="1:5">
      <c r="A657" s="38" t="s">
        <v>922</v>
      </c>
      <c r="B657" s="37">
        <v>1</v>
      </c>
      <c r="C657" s="37"/>
      <c r="D657" s="37"/>
      <c r="E657" s="37"/>
    </row>
    <row r="658" spans="1:5">
      <c r="A658" s="38" t="s">
        <v>4600</v>
      </c>
      <c r="B658" s="37">
        <v>1</v>
      </c>
      <c r="C658" s="37"/>
      <c r="D658" s="37"/>
      <c r="E658" s="37"/>
    </row>
    <row r="659" spans="1:5">
      <c r="A659" s="38" t="s">
        <v>4795</v>
      </c>
      <c r="B659" s="37">
        <v>1</v>
      </c>
      <c r="C659" s="37"/>
      <c r="D659" s="37"/>
      <c r="E659" s="37"/>
    </row>
    <row r="660" spans="1:5">
      <c r="A660" s="38" t="s">
        <v>4716</v>
      </c>
      <c r="B660" s="37">
        <v>1</v>
      </c>
      <c r="C660" s="37"/>
      <c r="D660" s="37"/>
      <c r="E660" s="37"/>
    </row>
    <row r="661" spans="1:5">
      <c r="A661" s="38" t="s">
        <v>245</v>
      </c>
      <c r="B661" s="37">
        <v>1</v>
      </c>
      <c r="C661" s="37"/>
      <c r="D661" s="37"/>
      <c r="E661" s="37"/>
    </row>
    <row r="662" spans="1:5">
      <c r="A662" s="38" t="s">
        <v>1202</v>
      </c>
      <c r="B662" s="37">
        <v>1</v>
      </c>
      <c r="C662" s="37"/>
      <c r="D662" s="37"/>
      <c r="E662" s="37"/>
    </row>
    <row r="663" spans="1:5">
      <c r="A663" s="38" t="s">
        <v>895</v>
      </c>
      <c r="B663" s="37">
        <v>1</v>
      </c>
      <c r="C663" s="37"/>
      <c r="D663" s="37"/>
      <c r="E663" s="37"/>
    </row>
    <row r="664" spans="1:5">
      <c r="A664" s="38" t="s">
        <v>4724</v>
      </c>
      <c r="B664" s="37">
        <v>1</v>
      </c>
      <c r="C664" s="37"/>
      <c r="D664" s="37"/>
      <c r="E664" s="37"/>
    </row>
    <row r="665" spans="1:5">
      <c r="A665" s="38" t="s">
        <v>4661</v>
      </c>
      <c r="B665" s="37">
        <v>1</v>
      </c>
      <c r="C665" s="37"/>
      <c r="D665" s="37"/>
      <c r="E665" s="37"/>
    </row>
    <row r="666" spans="1:5">
      <c r="A666" s="38" t="s">
        <v>4495</v>
      </c>
      <c r="B666" s="37">
        <v>1</v>
      </c>
      <c r="C666" s="37"/>
      <c r="D666" s="37"/>
      <c r="E666" s="37"/>
    </row>
    <row r="667" spans="1:5">
      <c r="A667" s="38" t="s">
        <v>504</v>
      </c>
      <c r="B667" s="37">
        <v>1</v>
      </c>
      <c r="C667" s="37"/>
      <c r="D667" s="37"/>
      <c r="E667" s="37"/>
    </row>
    <row r="668" spans="1:5">
      <c r="A668" s="38" t="s">
        <v>4761</v>
      </c>
      <c r="B668" s="37">
        <v>1</v>
      </c>
      <c r="C668" s="37"/>
      <c r="D668" s="37"/>
      <c r="E668" s="37"/>
    </row>
    <row r="669" spans="1:5">
      <c r="A669" s="38" t="s">
        <v>4507</v>
      </c>
      <c r="B669" s="37">
        <v>1</v>
      </c>
      <c r="C669" s="37"/>
      <c r="D669" s="37"/>
      <c r="E669" s="37"/>
    </row>
    <row r="670" spans="1:5">
      <c r="A670" s="38" t="s">
        <v>832</v>
      </c>
      <c r="B670" s="37">
        <v>1</v>
      </c>
      <c r="C670" s="37"/>
      <c r="D670" s="37"/>
      <c r="E670" s="37"/>
    </row>
    <row r="671" spans="1:5">
      <c r="A671" s="38" t="s">
        <v>4516</v>
      </c>
      <c r="B671" s="37">
        <v>1</v>
      </c>
      <c r="C671" s="37"/>
      <c r="D671" s="37"/>
      <c r="E671" s="37"/>
    </row>
    <row r="672" spans="1:5">
      <c r="A672" s="38" t="s">
        <v>4610</v>
      </c>
      <c r="B672" s="37">
        <v>1</v>
      </c>
      <c r="C672" s="37"/>
      <c r="D672" s="37"/>
      <c r="E672" s="37"/>
    </row>
    <row r="673" spans="1:5">
      <c r="A673" s="38" t="s">
        <v>4828</v>
      </c>
      <c r="B673" s="37">
        <v>1</v>
      </c>
      <c r="C673" s="37"/>
      <c r="D673" s="37"/>
      <c r="E673" s="37"/>
    </row>
    <row r="674" spans="1:5">
      <c r="A674" s="38" t="s">
        <v>110</v>
      </c>
      <c r="B674" s="37">
        <v>1</v>
      </c>
      <c r="C674" s="37"/>
      <c r="D674" s="37"/>
      <c r="E674" s="37"/>
    </row>
    <row r="675" spans="1:5">
      <c r="A675" s="38" t="s">
        <v>4680</v>
      </c>
      <c r="B675" s="37">
        <v>1</v>
      </c>
      <c r="C675" s="37"/>
      <c r="D675" s="37"/>
      <c r="E675" s="37"/>
    </row>
    <row r="676" spans="1:5">
      <c r="A676" s="38" t="s">
        <v>4653</v>
      </c>
      <c r="B676" s="37">
        <v>1</v>
      </c>
      <c r="C676" s="37"/>
      <c r="D676" s="37"/>
      <c r="E676" s="37"/>
    </row>
    <row r="677" spans="1:5">
      <c r="A677" s="38" t="s">
        <v>4608</v>
      </c>
      <c r="B677" s="37">
        <v>1</v>
      </c>
      <c r="C677" s="37"/>
      <c r="D677" s="37"/>
      <c r="E677" s="37"/>
    </row>
    <row r="678" spans="1:5">
      <c r="A678" s="38" t="s">
        <v>3031</v>
      </c>
      <c r="B678" s="37">
        <v>1</v>
      </c>
      <c r="C678" s="37"/>
      <c r="D678" s="37"/>
      <c r="E678" s="37"/>
    </row>
    <row r="679" spans="1:5">
      <c r="A679" s="38" t="s">
        <v>1970</v>
      </c>
      <c r="B679" s="37">
        <v>1</v>
      </c>
      <c r="C679" s="37"/>
      <c r="D679" s="37"/>
      <c r="E679" s="37"/>
    </row>
    <row r="680" spans="1:5">
      <c r="A680" s="38" t="s">
        <v>4717</v>
      </c>
      <c r="B680" s="37">
        <v>1</v>
      </c>
      <c r="C680" s="37"/>
      <c r="D680" s="37"/>
      <c r="E680" s="37"/>
    </row>
    <row r="681" spans="1:5">
      <c r="A681" s="38" t="s">
        <v>4482</v>
      </c>
      <c r="B681" s="37">
        <v>1</v>
      </c>
      <c r="C681" s="37"/>
      <c r="D681" s="37"/>
      <c r="E681" s="37"/>
    </row>
    <row r="682" spans="1:5">
      <c r="A682" s="38" t="s">
        <v>4439</v>
      </c>
      <c r="B682" s="37">
        <v>1</v>
      </c>
      <c r="C682" s="37"/>
      <c r="D682" s="37"/>
      <c r="E682" s="37"/>
    </row>
    <row r="683" spans="1:5">
      <c r="A683" s="38" t="s">
        <v>4748</v>
      </c>
      <c r="B683" s="37">
        <v>1</v>
      </c>
      <c r="C683" s="37"/>
      <c r="D683" s="37"/>
      <c r="E683" s="37"/>
    </row>
    <row r="684" spans="1:5">
      <c r="A684" s="38" t="s">
        <v>4409</v>
      </c>
      <c r="B684" s="37">
        <v>1</v>
      </c>
      <c r="C684" s="37"/>
      <c r="D684" s="37"/>
      <c r="E684" s="37"/>
    </row>
    <row r="685" spans="1:5">
      <c r="A685" s="38" t="s">
        <v>2829</v>
      </c>
      <c r="B685" s="37">
        <v>1</v>
      </c>
      <c r="C685" s="37"/>
      <c r="D685" s="37"/>
      <c r="E685" s="37"/>
    </row>
    <row r="686" spans="1:5">
      <c r="A686" s="38" t="s">
        <v>4701</v>
      </c>
      <c r="B686" s="37">
        <v>1</v>
      </c>
      <c r="C686" s="37"/>
      <c r="D686" s="37"/>
      <c r="E686" s="37"/>
    </row>
    <row r="687" spans="1:5">
      <c r="A687" s="38" t="s">
        <v>4846</v>
      </c>
      <c r="B687" s="37">
        <v>1</v>
      </c>
      <c r="C687" s="37"/>
      <c r="D687" s="37"/>
      <c r="E687" s="37"/>
    </row>
    <row r="688" spans="1:5">
      <c r="A688" s="38" t="s">
        <v>4866</v>
      </c>
      <c r="B688" s="37">
        <v>1</v>
      </c>
      <c r="C688" s="37"/>
      <c r="D688" s="37"/>
      <c r="E688" s="37"/>
    </row>
    <row r="689" spans="1:5">
      <c r="A689" s="38" t="s">
        <v>4756</v>
      </c>
      <c r="B689" s="37">
        <v>1</v>
      </c>
      <c r="C689" s="37"/>
      <c r="D689" s="37"/>
      <c r="E689" s="37"/>
    </row>
    <row r="690" spans="1:5">
      <c r="A690" s="38" t="s">
        <v>4528</v>
      </c>
      <c r="B690" s="37">
        <v>1</v>
      </c>
      <c r="C690" s="37"/>
      <c r="D690" s="37"/>
      <c r="E690" s="37"/>
    </row>
    <row r="691" spans="1:5">
      <c r="A691" s="38" t="s">
        <v>4627</v>
      </c>
      <c r="B691" s="37">
        <v>1</v>
      </c>
      <c r="C691" s="37"/>
      <c r="D691" s="37"/>
      <c r="E691" s="37"/>
    </row>
    <row r="692" spans="1:5">
      <c r="A692" s="38" t="s">
        <v>4658</v>
      </c>
      <c r="B692" s="37">
        <v>1</v>
      </c>
      <c r="C692" s="37"/>
      <c r="D692" s="37"/>
      <c r="E692" s="37"/>
    </row>
    <row r="693" spans="1:5">
      <c r="A693" s="38" t="s">
        <v>4753</v>
      </c>
      <c r="B693" s="37">
        <v>1</v>
      </c>
      <c r="C693" s="37"/>
      <c r="D693" s="37"/>
      <c r="E693" s="37"/>
    </row>
    <row r="694" spans="1:5">
      <c r="A694" s="38" t="s">
        <v>202</v>
      </c>
      <c r="B694" s="37">
        <v>1</v>
      </c>
      <c r="C694" s="37"/>
      <c r="D694" s="37"/>
      <c r="E694" s="37"/>
    </row>
    <row r="695" spans="1:5">
      <c r="A695" s="38" t="s">
        <v>4845</v>
      </c>
      <c r="B695" s="37">
        <v>1</v>
      </c>
      <c r="C695" s="37"/>
      <c r="D695" s="37"/>
      <c r="E695" s="37"/>
    </row>
    <row r="696" spans="1:5">
      <c r="A696" s="38" t="s">
        <v>4622</v>
      </c>
      <c r="B696" s="37">
        <v>1</v>
      </c>
      <c r="C696" s="37"/>
      <c r="D696" s="37"/>
      <c r="E696" s="37"/>
    </row>
    <row r="697" spans="1:5">
      <c r="A697" s="38" t="s">
        <v>4780</v>
      </c>
      <c r="B697" s="37">
        <v>1</v>
      </c>
      <c r="C697" s="37"/>
      <c r="D697" s="37"/>
      <c r="E697" s="37"/>
    </row>
    <row r="698" spans="1:5">
      <c r="A698" s="38" t="s">
        <v>395</v>
      </c>
      <c r="B698" s="37">
        <v>1</v>
      </c>
      <c r="C698" s="37"/>
      <c r="D698" s="37"/>
      <c r="E698" s="37"/>
    </row>
    <row r="699" spans="1:5">
      <c r="A699" s="38" t="s">
        <v>4603</v>
      </c>
      <c r="B699" s="37">
        <v>1</v>
      </c>
      <c r="C699" s="37"/>
      <c r="D699" s="37"/>
      <c r="E699" s="37"/>
    </row>
    <row r="700" spans="1:5">
      <c r="A700" s="38" t="s">
        <v>4597</v>
      </c>
      <c r="B700" s="37">
        <v>1</v>
      </c>
      <c r="C700" s="37"/>
      <c r="D700" s="37"/>
      <c r="E700" s="37"/>
    </row>
    <row r="701" spans="1:5">
      <c r="A701" s="38" t="s">
        <v>4629</v>
      </c>
      <c r="B701" s="37">
        <v>1</v>
      </c>
      <c r="C701" s="37"/>
      <c r="D701" s="37"/>
      <c r="E701" s="37"/>
    </row>
    <row r="702" spans="1:5">
      <c r="A702" s="38" t="s">
        <v>4521</v>
      </c>
      <c r="B702" s="37">
        <v>1</v>
      </c>
      <c r="C702" s="37"/>
      <c r="D702" s="37"/>
      <c r="E702" s="37"/>
    </row>
    <row r="703" spans="1:5">
      <c r="A703" s="38" t="s">
        <v>4572</v>
      </c>
      <c r="B703" s="37">
        <v>1</v>
      </c>
      <c r="C703" s="37"/>
      <c r="D703" s="37"/>
      <c r="E703" s="37"/>
    </row>
    <row r="704" spans="1:5">
      <c r="A704" s="38" t="s">
        <v>4674</v>
      </c>
      <c r="B704" s="37">
        <v>1</v>
      </c>
      <c r="C704" s="37"/>
      <c r="D704" s="37"/>
      <c r="E704" s="37"/>
    </row>
    <row r="705" spans="1:5">
      <c r="A705" s="38" t="s">
        <v>4645</v>
      </c>
      <c r="B705" s="37">
        <v>1</v>
      </c>
      <c r="C705" s="37"/>
      <c r="D705" s="37"/>
      <c r="E705" s="37"/>
    </row>
    <row r="706" spans="1:5">
      <c r="A706" s="38" t="s">
        <v>2815</v>
      </c>
      <c r="B706" s="37">
        <v>1</v>
      </c>
      <c r="C706" s="37"/>
      <c r="D706" s="37"/>
      <c r="E706" s="37"/>
    </row>
    <row r="707" spans="1:5">
      <c r="A707" s="38" t="s">
        <v>4859</v>
      </c>
      <c r="B707" s="37">
        <v>1</v>
      </c>
      <c r="C707" s="37"/>
      <c r="D707" s="37"/>
      <c r="E707" s="37"/>
    </row>
    <row r="708" spans="1:5">
      <c r="A708" s="38" t="s">
        <v>1570</v>
      </c>
      <c r="B708" s="37">
        <v>1</v>
      </c>
      <c r="C708" s="37"/>
      <c r="D708" s="37"/>
      <c r="E708" s="37"/>
    </row>
    <row r="709" spans="1:5">
      <c r="A709" s="38" t="s">
        <v>4844</v>
      </c>
      <c r="B709" s="37">
        <v>1</v>
      </c>
      <c r="C709" s="37"/>
      <c r="D709" s="37"/>
      <c r="E709" s="37"/>
    </row>
    <row r="710" spans="1:5">
      <c r="A710" s="38" t="s">
        <v>4789</v>
      </c>
      <c r="B710" s="37">
        <v>1</v>
      </c>
      <c r="C710" s="37"/>
      <c r="D710" s="37"/>
      <c r="E710" s="37"/>
    </row>
    <row r="711" spans="1:5">
      <c r="A711" s="38" t="s">
        <v>3058</v>
      </c>
      <c r="B711" s="37">
        <v>1</v>
      </c>
      <c r="C711" s="37"/>
      <c r="D711" s="37"/>
      <c r="E711" s="37"/>
    </row>
    <row r="712" spans="1:5">
      <c r="A712" s="38" t="s">
        <v>4596</v>
      </c>
      <c r="B712" s="37">
        <v>1</v>
      </c>
      <c r="C712" s="37"/>
      <c r="D712" s="37"/>
      <c r="E712" s="37"/>
    </row>
    <row r="713" spans="1:5">
      <c r="A713" s="38" t="s">
        <v>4731</v>
      </c>
      <c r="B713" s="37">
        <v>1</v>
      </c>
      <c r="C713" s="37"/>
      <c r="D713" s="37"/>
      <c r="E713" s="37"/>
    </row>
    <row r="714" spans="1:5">
      <c r="A714" s="38" t="s">
        <v>4798</v>
      </c>
      <c r="B714" s="37">
        <v>1</v>
      </c>
      <c r="C714" s="37"/>
      <c r="D714" s="37"/>
      <c r="E714" s="37"/>
    </row>
    <row r="715" spans="1:5">
      <c r="A715" s="38" t="s">
        <v>4706</v>
      </c>
      <c r="B715" s="37">
        <v>1</v>
      </c>
      <c r="C715" s="37"/>
      <c r="D715" s="37"/>
      <c r="E715" s="37"/>
    </row>
    <row r="716" spans="1:5">
      <c r="A716" s="38" t="s">
        <v>3023</v>
      </c>
      <c r="B716" s="37">
        <v>1</v>
      </c>
      <c r="C716" s="37"/>
      <c r="D716" s="37"/>
      <c r="E716" s="37"/>
    </row>
    <row r="717" spans="1:5">
      <c r="A717" s="38" t="s">
        <v>4686</v>
      </c>
      <c r="B717" s="37">
        <v>1</v>
      </c>
      <c r="C717" s="37"/>
      <c r="D717" s="37"/>
      <c r="E717" s="37"/>
    </row>
    <row r="718" spans="1:5">
      <c r="A718" s="38" t="s">
        <v>4460</v>
      </c>
      <c r="B718" s="37">
        <v>1</v>
      </c>
      <c r="C718" s="37"/>
      <c r="D718" s="37"/>
      <c r="E718" s="37"/>
    </row>
    <row r="719" spans="1:5">
      <c r="A719" s="38" t="s">
        <v>4498</v>
      </c>
      <c r="B719" s="37">
        <v>1</v>
      </c>
      <c r="C719" s="37"/>
      <c r="D719" s="37"/>
      <c r="E719" s="37"/>
    </row>
    <row r="720" spans="1:5">
      <c r="A720" s="38" t="s">
        <v>2187</v>
      </c>
      <c r="B720" s="37">
        <v>1</v>
      </c>
      <c r="C720" s="37"/>
      <c r="D720" s="37"/>
      <c r="E720" s="37"/>
    </row>
    <row r="721" spans="1:5">
      <c r="A721" s="38" t="s">
        <v>4477</v>
      </c>
      <c r="B721" s="37">
        <v>1</v>
      </c>
      <c r="C721" s="37"/>
      <c r="D721" s="37"/>
      <c r="E721" s="37"/>
    </row>
    <row r="722" spans="1:5">
      <c r="A722" s="38" t="s">
        <v>403</v>
      </c>
      <c r="B722" s="37">
        <v>1</v>
      </c>
      <c r="C722" s="37"/>
      <c r="D722" s="37"/>
      <c r="E722" s="37"/>
    </row>
    <row r="723" spans="1:5">
      <c r="A723" s="38" t="s">
        <v>4742</v>
      </c>
      <c r="B723" s="37">
        <v>1</v>
      </c>
      <c r="C723" s="37"/>
      <c r="D723" s="37"/>
      <c r="E723" s="37"/>
    </row>
    <row r="724" spans="1:5">
      <c r="A724" s="38" t="s">
        <v>166</v>
      </c>
      <c r="B724" s="37">
        <v>1</v>
      </c>
      <c r="C724" s="37"/>
      <c r="D724" s="37"/>
      <c r="E724" s="37"/>
    </row>
    <row r="725" spans="1:5">
      <c r="A725" s="38" t="s">
        <v>4440</v>
      </c>
      <c r="B725" s="37">
        <v>1</v>
      </c>
      <c r="C725" s="37"/>
      <c r="D725" s="37"/>
      <c r="E725" s="37"/>
    </row>
    <row r="726" spans="1:5">
      <c r="A726" s="38" t="s">
        <v>4705</v>
      </c>
      <c r="B726" s="37">
        <v>1</v>
      </c>
      <c r="C726" s="37"/>
      <c r="D726" s="37"/>
      <c r="E726" s="37"/>
    </row>
    <row r="727" spans="1:5">
      <c r="A727" s="38" t="s">
        <v>4496</v>
      </c>
      <c r="B727" s="37">
        <v>1</v>
      </c>
      <c r="C727" s="37"/>
      <c r="D727" s="37"/>
      <c r="E727" s="37"/>
    </row>
    <row r="728" spans="1:5">
      <c r="A728" s="38" t="s">
        <v>4486</v>
      </c>
      <c r="B728" s="37">
        <v>1</v>
      </c>
      <c r="C728" s="37"/>
      <c r="D728" s="37"/>
      <c r="E728" s="37"/>
    </row>
    <row r="729" spans="1:5">
      <c r="A729" s="38" t="s">
        <v>4764</v>
      </c>
      <c r="B729" s="37">
        <v>1</v>
      </c>
      <c r="C729" s="37"/>
      <c r="D729" s="37"/>
      <c r="E729" s="37"/>
    </row>
    <row r="730" spans="1:5">
      <c r="A730" s="38" t="s">
        <v>4512</v>
      </c>
      <c r="B730" s="37">
        <v>1</v>
      </c>
      <c r="C730" s="37"/>
      <c r="D730" s="37"/>
      <c r="E730" s="37"/>
    </row>
    <row r="731" spans="1:5">
      <c r="A731" s="38" t="s">
        <v>4713</v>
      </c>
      <c r="B731" s="37">
        <v>1</v>
      </c>
      <c r="C731" s="37"/>
      <c r="D731" s="37"/>
      <c r="E731" s="37"/>
    </row>
    <row r="732" spans="1:5">
      <c r="A732" s="38" t="s">
        <v>1928</v>
      </c>
      <c r="B732" s="37">
        <v>1</v>
      </c>
      <c r="C732" s="37"/>
      <c r="D732" s="37"/>
      <c r="E732" s="37"/>
    </row>
    <row r="733" spans="1:5">
      <c r="A733" s="38" t="s">
        <v>4758</v>
      </c>
      <c r="B733" s="37">
        <v>1</v>
      </c>
      <c r="C733" s="37"/>
      <c r="D733" s="37"/>
      <c r="E733" s="37"/>
    </row>
    <row r="734" spans="1:5">
      <c r="A734" s="38" t="s">
        <v>4722</v>
      </c>
      <c r="B734" s="37">
        <v>1</v>
      </c>
      <c r="C734" s="37"/>
      <c r="D734" s="37"/>
      <c r="E734" s="37"/>
    </row>
    <row r="735" spans="1:5">
      <c r="A735" s="38" t="s">
        <v>4812</v>
      </c>
      <c r="B735" s="37">
        <v>1</v>
      </c>
      <c r="C735" s="37"/>
      <c r="D735" s="37"/>
      <c r="E735" s="37"/>
    </row>
    <row r="736" spans="1:5">
      <c r="A736" s="38" t="s">
        <v>4420</v>
      </c>
      <c r="B736" s="37">
        <v>1</v>
      </c>
      <c r="C736" s="37"/>
      <c r="D736" s="37"/>
      <c r="E736" s="37"/>
    </row>
    <row r="737" spans="1:5">
      <c r="A737" s="38" t="s">
        <v>323</v>
      </c>
      <c r="B737" s="37">
        <v>1</v>
      </c>
      <c r="C737" s="37"/>
      <c r="D737" s="37"/>
      <c r="E737" s="37"/>
    </row>
    <row r="738" spans="1:5">
      <c r="A738" s="38" t="s">
        <v>4857</v>
      </c>
      <c r="B738" s="37">
        <v>1</v>
      </c>
      <c r="C738" s="37"/>
      <c r="D738" s="37"/>
      <c r="E738" s="37"/>
    </row>
    <row r="739" spans="1:5">
      <c r="A739" s="38" t="s">
        <v>138</v>
      </c>
      <c r="B739" s="37">
        <v>1</v>
      </c>
      <c r="C739" s="37"/>
      <c r="D739" s="37"/>
      <c r="E739" s="37"/>
    </row>
    <row r="740" spans="1:5">
      <c r="A740" s="38" t="s">
        <v>1230</v>
      </c>
      <c r="B740" s="37">
        <v>1</v>
      </c>
      <c r="C740" s="37"/>
      <c r="D740" s="37"/>
      <c r="E740" s="37"/>
    </row>
    <row r="741" spans="1:5">
      <c r="A741" s="38" t="s">
        <v>4466</v>
      </c>
      <c r="B741" s="37">
        <v>1</v>
      </c>
      <c r="C741" s="37"/>
      <c r="D741" s="37"/>
      <c r="E741" s="37"/>
    </row>
    <row r="742" spans="1:5">
      <c r="A742" s="38" t="s">
        <v>4456</v>
      </c>
      <c r="B742" s="37">
        <v>1</v>
      </c>
      <c r="C742" s="37"/>
      <c r="D742" s="37"/>
      <c r="E742" s="37"/>
    </row>
    <row r="743" spans="1:5">
      <c r="A743" s="38" t="s">
        <v>4820</v>
      </c>
      <c r="B743" s="37">
        <v>1</v>
      </c>
      <c r="C743" s="37"/>
      <c r="D743" s="37"/>
      <c r="E743" s="37"/>
    </row>
    <row r="744" spans="1:5">
      <c r="A744" s="38" t="s">
        <v>4484</v>
      </c>
      <c r="B744" s="37">
        <v>1</v>
      </c>
      <c r="C744" s="37"/>
      <c r="D744" s="37"/>
      <c r="E744" s="37"/>
    </row>
    <row r="745" spans="1:5">
      <c r="A745" s="38" t="s">
        <v>4650</v>
      </c>
      <c r="B745" s="37">
        <v>1</v>
      </c>
      <c r="C745" s="37"/>
      <c r="D745" s="37"/>
      <c r="E745" s="37"/>
    </row>
    <row r="746" spans="1:5">
      <c r="A746" s="38" t="s">
        <v>871</v>
      </c>
      <c r="B746" s="37">
        <v>1</v>
      </c>
      <c r="C746" s="37"/>
      <c r="D746" s="37"/>
      <c r="E746" s="37"/>
    </row>
    <row r="747" spans="1:5">
      <c r="A747" s="38" t="s">
        <v>4634</v>
      </c>
      <c r="B747" s="37">
        <v>1</v>
      </c>
      <c r="C747" s="37"/>
      <c r="D747" s="37"/>
      <c r="E747" s="37"/>
    </row>
    <row r="748" spans="1:5">
      <c r="A748" s="38" t="s">
        <v>4531</v>
      </c>
      <c r="B748" s="37">
        <v>1</v>
      </c>
      <c r="C748" s="37"/>
      <c r="D748" s="37"/>
      <c r="E748" s="37"/>
    </row>
    <row r="749" spans="1:5">
      <c r="A749" s="38" t="s">
        <v>4646</v>
      </c>
      <c r="B749" s="37">
        <v>1</v>
      </c>
      <c r="C749" s="37"/>
      <c r="D749" s="37"/>
      <c r="E749" s="37"/>
    </row>
    <row r="750" spans="1:5">
      <c r="A750" s="38" t="s">
        <v>4805</v>
      </c>
      <c r="B750" s="37">
        <v>1</v>
      </c>
      <c r="C750" s="37"/>
      <c r="D750" s="37"/>
      <c r="E750" s="37"/>
    </row>
    <row r="751" spans="1:5">
      <c r="A751" s="38" t="s">
        <v>4605</v>
      </c>
      <c r="B751" s="37">
        <v>1</v>
      </c>
      <c r="C751" s="37"/>
      <c r="D751" s="37"/>
      <c r="E751" s="37"/>
    </row>
    <row r="752" spans="1:5">
      <c r="A752" s="38" t="s">
        <v>2181</v>
      </c>
      <c r="B752" s="37">
        <v>1</v>
      </c>
      <c r="C752" s="37"/>
      <c r="D752" s="37"/>
      <c r="E752" s="37"/>
    </row>
    <row r="753" spans="1:5">
      <c r="A753" s="38" t="s">
        <v>2363</v>
      </c>
      <c r="B753" s="37">
        <v>1</v>
      </c>
      <c r="C753" s="37"/>
      <c r="D753" s="37"/>
      <c r="E753" s="37"/>
    </row>
    <row r="754" spans="1:5">
      <c r="A754" s="38" t="s">
        <v>4518</v>
      </c>
      <c r="B754" s="37">
        <v>1</v>
      </c>
      <c r="C754" s="37"/>
      <c r="D754" s="37"/>
      <c r="E754" s="37"/>
    </row>
    <row r="755" spans="1:5">
      <c r="A755" s="38" t="s">
        <v>1408</v>
      </c>
      <c r="B755" s="37">
        <v>1</v>
      </c>
      <c r="C755" s="37"/>
      <c r="D755" s="37"/>
      <c r="E755" s="37"/>
    </row>
    <row r="756" spans="1:5">
      <c r="A756" s="38" t="s">
        <v>4775</v>
      </c>
      <c r="B756" s="37">
        <v>1</v>
      </c>
      <c r="C756" s="37"/>
      <c r="D756" s="37"/>
      <c r="E756" s="37"/>
    </row>
    <row r="757" spans="1:5">
      <c r="A757" s="38" t="s">
        <v>4479</v>
      </c>
      <c r="B757" s="37">
        <v>1</v>
      </c>
      <c r="C757" s="37"/>
      <c r="D757" s="37"/>
      <c r="E757" s="37"/>
    </row>
    <row r="758" spans="1:5">
      <c r="A758" s="38" t="s">
        <v>4814</v>
      </c>
      <c r="B758" s="37">
        <v>1</v>
      </c>
      <c r="C758" s="37"/>
      <c r="D758" s="37"/>
      <c r="E758" s="37"/>
    </row>
    <row r="759" spans="1:5">
      <c r="A759" s="38" t="s">
        <v>4681</v>
      </c>
      <c r="B759" s="37">
        <v>1</v>
      </c>
      <c r="C759" s="37"/>
      <c r="D759" s="37"/>
      <c r="E759" s="37"/>
    </row>
    <row r="760" spans="1:5">
      <c r="A760" s="38" t="s">
        <v>4553</v>
      </c>
      <c r="B760" s="37">
        <v>1</v>
      </c>
      <c r="C760" s="37"/>
      <c r="D760" s="37"/>
      <c r="E760" s="37"/>
    </row>
    <row r="761" spans="1:5">
      <c r="A761" s="38" t="s">
        <v>4699</v>
      </c>
      <c r="B761" s="37">
        <v>1</v>
      </c>
      <c r="C761" s="37"/>
      <c r="D761" s="37"/>
      <c r="E761" s="37"/>
    </row>
    <row r="762" spans="1:5">
      <c r="A762" s="38" t="s">
        <v>4491</v>
      </c>
      <c r="B762" s="37">
        <v>1</v>
      </c>
      <c r="C762" s="37"/>
      <c r="D762" s="37"/>
      <c r="E762" s="37"/>
    </row>
    <row r="763" spans="1:5">
      <c r="A763" s="38" t="s">
        <v>4757</v>
      </c>
      <c r="B763" s="37">
        <v>1</v>
      </c>
      <c r="C763" s="37"/>
      <c r="D763" s="37"/>
      <c r="E763" s="37"/>
    </row>
    <row r="764" spans="1:5">
      <c r="A764" s="38" t="s">
        <v>4827</v>
      </c>
      <c r="B764" s="37">
        <v>1</v>
      </c>
      <c r="C764" s="37"/>
      <c r="D764" s="37"/>
      <c r="E764" s="37"/>
    </row>
    <row r="765" spans="1:5">
      <c r="A765" s="38" t="s">
        <v>4501</v>
      </c>
      <c r="B765" s="37">
        <v>1</v>
      </c>
      <c r="C765" s="37"/>
      <c r="D765" s="37"/>
      <c r="E765" s="37"/>
    </row>
    <row r="766" spans="1:5">
      <c r="A766" s="38" t="s">
        <v>4696</v>
      </c>
      <c r="B766" s="37">
        <v>1</v>
      </c>
      <c r="C766" s="37"/>
      <c r="D766" s="37"/>
      <c r="E766" s="37"/>
    </row>
    <row r="767" spans="1:5">
      <c r="A767" s="38" t="s">
        <v>4677</v>
      </c>
      <c r="B767" s="37">
        <v>1</v>
      </c>
      <c r="C767" s="37"/>
      <c r="D767" s="37"/>
      <c r="E767" s="37"/>
    </row>
    <row r="768" spans="1:5">
      <c r="A768" s="38" t="s">
        <v>4861</v>
      </c>
      <c r="B768" s="37">
        <v>1</v>
      </c>
      <c r="C768" s="37"/>
      <c r="D768" s="37"/>
      <c r="E768" s="37"/>
    </row>
    <row r="769" spans="1:5">
      <c r="A769" s="38" t="s">
        <v>3163</v>
      </c>
      <c r="B769" s="37">
        <v>1</v>
      </c>
      <c r="C769" s="37"/>
      <c r="D769" s="37"/>
      <c r="E769" s="37"/>
    </row>
    <row r="770" spans="1:5">
      <c r="A770" s="38" t="s">
        <v>3271</v>
      </c>
      <c r="B770" s="37">
        <v>1</v>
      </c>
      <c r="C770" s="37"/>
      <c r="D770" s="37"/>
      <c r="E770" s="37"/>
    </row>
    <row r="771" spans="1:5">
      <c r="A771" s="38" t="s">
        <v>2234</v>
      </c>
      <c r="B771" s="37">
        <v>1</v>
      </c>
      <c r="C771" s="37"/>
      <c r="D771" s="37"/>
      <c r="E771" s="37"/>
    </row>
    <row r="772" spans="1:5">
      <c r="A772" s="38" t="s">
        <v>2537</v>
      </c>
      <c r="B772" s="37">
        <v>1</v>
      </c>
      <c r="C772" s="37"/>
      <c r="D772" s="37"/>
      <c r="E772" s="37"/>
    </row>
    <row r="773" spans="1:5">
      <c r="A773" s="38" t="s">
        <v>4739</v>
      </c>
      <c r="B773" s="37">
        <v>1</v>
      </c>
      <c r="C773" s="37"/>
      <c r="D773" s="37"/>
      <c r="E773" s="37"/>
    </row>
    <row r="774" spans="1:5">
      <c r="A774" s="38" t="s">
        <v>758</v>
      </c>
      <c r="B774" s="37">
        <v>1</v>
      </c>
      <c r="C774" s="37"/>
      <c r="D774" s="37"/>
      <c r="E774" s="37"/>
    </row>
    <row r="775" spans="1:5">
      <c r="A775" s="38" t="s">
        <v>4623</v>
      </c>
      <c r="B775" s="37">
        <v>1</v>
      </c>
      <c r="C775" s="37"/>
      <c r="D775" s="37"/>
      <c r="E775" s="37"/>
    </row>
    <row r="776" spans="1:5">
      <c r="A776" s="38" t="s">
        <v>4781</v>
      </c>
      <c r="B776" s="37">
        <v>1</v>
      </c>
      <c r="C776" s="37"/>
      <c r="D776" s="37"/>
      <c r="E776" s="37"/>
    </row>
    <row r="777" spans="1:5">
      <c r="A777" s="38" t="s">
        <v>1679</v>
      </c>
      <c r="B777" s="37">
        <v>1</v>
      </c>
      <c r="C777" s="37"/>
      <c r="D777" s="37"/>
      <c r="E777" s="37"/>
    </row>
    <row r="778" spans="1:5">
      <c r="A778" s="38" t="s">
        <v>4821</v>
      </c>
      <c r="B778" s="37">
        <v>1</v>
      </c>
      <c r="C778" s="37"/>
      <c r="D778" s="37"/>
      <c r="E778" s="37"/>
    </row>
    <row r="779" spans="1:5">
      <c r="A779" s="38" t="s">
        <v>4907</v>
      </c>
      <c r="B779" s="37">
        <v>1</v>
      </c>
      <c r="C779" s="37"/>
      <c r="D779" s="37"/>
      <c r="E779" s="37"/>
    </row>
    <row r="780" spans="1:5">
      <c r="A780" s="38" t="s">
        <v>3106</v>
      </c>
      <c r="B780" s="37">
        <v>1</v>
      </c>
      <c r="C780" s="37"/>
      <c r="D780" s="37"/>
      <c r="E780" s="37"/>
    </row>
    <row r="781" spans="1:5">
      <c r="A781" s="38" t="s">
        <v>94</v>
      </c>
      <c r="B781" s="37">
        <v>1</v>
      </c>
      <c r="C781" s="37"/>
      <c r="D781" s="37"/>
      <c r="E781" s="37"/>
    </row>
    <row r="782" spans="1:5">
      <c r="A782" s="38" t="s">
        <v>4729</v>
      </c>
      <c r="B782" s="37">
        <v>1</v>
      </c>
      <c r="C782" s="37"/>
      <c r="D782" s="37"/>
      <c r="E782" s="37"/>
    </row>
    <row r="783" spans="1:5">
      <c r="A783" s="38" t="s">
        <v>4733</v>
      </c>
      <c r="B783" s="37">
        <v>1</v>
      </c>
      <c r="C783" s="37"/>
      <c r="D783" s="37"/>
      <c r="E783" s="37"/>
    </row>
    <row r="784" spans="1:5">
      <c r="A784" s="38" t="s">
        <v>2480</v>
      </c>
      <c r="B784" s="37">
        <v>1</v>
      </c>
      <c r="C784" s="37"/>
      <c r="D784" s="37"/>
      <c r="E784" s="37"/>
    </row>
    <row r="785" spans="1:5">
      <c r="A785" s="38" t="s">
        <v>4609</v>
      </c>
      <c r="B785" s="37">
        <v>1</v>
      </c>
      <c r="C785" s="37"/>
      <c r="D785" s="37"/>
      <c r="E785" s="37"/>
    </row>
    <row r="786" spans="1:5">
      <c r="A786" s="38" t="s">
        <v>4853</v>
      </c>
      <c r="B786" s="37">
        <v>1</v>
      </c>
      <c r="C786" s="37"/>
      <c r="D786" s="37"/>
      <c r="E786" s="37"/>
    </row>
    <row r="787" spans="1:5">
      <c r="A787" s="38" t="s">
        <v>3101</v>
      </c>
      <c r="B787" s="37">
        <v>1</v>
      </c>
      <c r="C787" s="37"/>
      <c r="D787" s="37"/>
      <c r="E787" s="37"/>
    </row>
    <row r="788" spans="1:5">
      <c r="A788" s="38" t="s">
        <v>4471</v>
      </c>
      <c r="B788" s="37">
        <v>1</v>
      </c>
      <c r="C788" s="37"/>
      <c r="D788" s="37"/>
      <c r="E788" s="37"/>
    </row>
    <row r="789" spans="1:5">
      <c r="A789" s="38" t="s">
        <v>72</v>
      </c>
      <c r="B789" s="37">
        <v>1</v>
      </c>
      <c r="C789" s="37"/>
      <c r="D789" s="37"/>
      <c r="E789" s="37"/>
    </row>
    <row r="790" spans="1:5">
      <c r="A790" s="38" t="s">
        <v>4581</v>
      </c>
      <c r="B790" s="37">
        <v>1</v>
      </c>
      <c r="C790" s="37"/>
      <c r="D790" s="37"/>
      <c r="E790" s="37"/>
    </row>
    <row r="791" spans="1:5">
      <c r="A791" s="38" t="s">
        <v>4684</v>
      </c>
      <c r="B791" s="37">
        <v>1</v>
      </c>
      <c r="C791" s="37"/>
      <c r="D791" s="37"/>
      <c r="E791" s="37"/>
    </row>
    <row r="792" spans="1:5">
      <c r="A792" s="38" t="s">
        <v>4434</v>
      </c>
      <c r="B792" s="37">
        <v>1</v>
      </c>
      <c r="C792" s="37"/>
      <c r="D792" s="37"/>
      <c r="E792" s="37"/>
    </row>
    <row r="793" spans="1:5">
      <c r="A793" s="38" t="s">
        <v>2466</v>
      </c>
      <c r="B793" s="37">
        <v>1</v>
      </c>
      <c r="C793" s="37"/>
      <c r="D793" s="37"/>
      <c r="E793" s="37"/>
    </row>
    <row r="794" spans="1:5">
      <c r="A794" s="38" t="s">
        <v>4546</v>
      </c>
      <c r="B794" s="37">
        <v>1</v>
      </c>
      <c r="C794" s="37"/>
      <c r="D794" s="37"/>
      <c r="E794" s="37"/>
    </row>
    <row r="795" spans="1:5">
      <c r="A795" s="38" t="s">
        <v>4539</v>
      </c>
      <c r="B795" s="37">
        <v>1</v>
      </c>
      <c r="C795" s="37"/>
      <c r="D795" s="37"/>
      <c r="E795" s="37"/>
    </row>
    <row r="796" spans="1:5">
      <c r="A796" s="38" t="s">
        <v>4863</v>
      </c>
      <c r="B796" s="37">
        <v>1</v>
      </c>
      <c r="C796" s="37"/>
      <c r="D796" s="37"/>
      <c r="E796" s="37"/>
    </row>
    <row r="797" spans="1:5">
      <c r="A797" s="38" t="s">
        <v>4709</v>
      </c>
      <c r="B797" s="37">
        <v>1</v>
      </c>
      <c r="C797" s="37"/>
      <c r="D797" s="37"/>
      <c r="E797" s="37"/>
    </row>
    <row r="798" spans="1:5">
      <c r="A798" s="38" t="s">
        <v>4503</v>
      </c>
      <c r="B798" s="37">
        <v>1</v>
      </c>
      <c r="C798" s="37"/>
      <c r="D798" s="37"/>
      <c r="E798" s="37"/>
    </row>
    <row r="799" spans="1:5">
      <c r="A799" s="38" t="s">
        <v>601</v>
      </c>
      <c r="B799" s="37">
        <v>1</v>
      </c>
      <c r="C799" s="37"/>
      <c r="D799" s="37"/>
      <c r="E799" s="37"/>
    </row>
    <row r="800" spans="1:5">
      <c r="A800" s="38" t="s">
        <v>2151</v>
      </c>
      <c r="B800" s="37">
        <v>1</v>
      </c>
      <c r="C800" s="37"/>
      <c r="D800" s="37"/>
      <c r="E800" s="37"/>
    </row>
    <row r="801" spans="1:5">
      <c r="A801" s="38" t="s">
        <v>532</v>
      </c>
      <c r="B801" s="37">
        <v>1</v>
      </c>
      <c r="C801" s="37"/>
      <c r="D801" s="37"/>
      <c r="E801" s="37"/>
    </row>
    <row r="802" spans="1:5">
      <c r="A802" s="38" t="s">
        <v>4836</v>
      </c>
      <c r="B802" s="37">
        <v>1</v>
      </c>
      <c r="C802" s="37"/>
      <c r="D802" s="37"/>
      <c r="E802" s="37"/>
    </row>
    <row r="803" spans="1:5">
      <c r="A803" s="38" t="s">
        <v>4679</v>
      </c>
      <c r="B803" s="37">
        <v>1</v>
      </c>
      <c r="C803" s="37"/>
      <c r="D803" s="37"/>
      <c r="E803" s="37"/>
    </row>
    <row r="804" spans="1:5">
      <c r="A804" s="38" t="s">
        <v>4526</v>
      </c>
      <c r="B804" s="37">
        <v>1</v>
      </c>
      <c r="C804" s="37"/>
      <c r="D804" s="37"/>
      <c r="E804" s="37"/>
    </row>
    <row r="805" spans="1:5">
      <c r="A805" s="38" t="s">
        <v>285</v>
      </c>
      <c r="B805" s="37">
        <v>1</v>
      </c>
      <c r="C805" s="37"/>
      <c r="D805" s="37"/>
      <c r="E805" s="37"/>
    </row>
    <row r="806" spans="1:5">
      <c r="A806" s="38" t="s">
        <v>4542</v>
      </c>
      <c r="B806" s="37">
        <v>1</v>
      </c>
      <c r="C806" s="37"/>
      <c r="D806" s="37"/>
      <c r="E806" s="37"/>
    </row>
    <row r="807" spans="1:5">
      <c r="A807" s="38" t="s">
        <v>3070</v>
      </c>
      <c r="B807" s="37">
        <v>1</v>
      </c>
      <c r="C807" s="37"/>
      <c r="D807" s="37"/>
      <c r="E807" s="37"/>
    </row>
    <row r="808" spans="1:5">
      <c r="A808" s="38" t="s">
        <v>4670</v>
      </c>
      <c r="B808" s="37">
        <v>1</v>
      </c>
      <c r="C808" s="37"/>
      <c r="D808" s="37"/>
      <c r="E808" s="37"/>
    </row>
    <row r="809" spans="1:5">
      <c r="A809" s="38" t="s">
        <v>4664</v>
      </c>
      <c r="B809" s="37">
        <v>1</v>
      </c>
      <c r="C809" s="37"/>
      <c r="D809" s="37"/>
      <c r="E809" s="37"/>
    </row>
    <row r="810" spans="1:5">
      <c r="A810" s="38" t="s">
        <v>4862</v>
      </c>
      <c r="B810" s="37">
        <v>1</v>
      </c>
      <c r="C810" s="37"/>
      <c r="D810" s="37"/>
      <c r="E810" s="37"/>
    </row>
    <row r="811" spans="1:5">
      <c r="A811" s="38" t="s">
        <v>4601</v>
      </c>
      <c r="B811" s="37">
        <v>1</v>
      </c>
      <c r="C811" s="37"/>
      <c r="D811" s="37"/>
      <c r="E811" s="37"/>
    </row>
    <row r="812" spans="1:5">
      <c r="A812" s="38" t="s">
        <v>4631</v>
      </c>
      <c r="B812" s="37">
        <v>1</v>
      </c>
      <c r="C812" s="37"/>
      <c r="D812" s="37"/>
      <c r="E812" s="37"/>
    </row>
    <row r="813" spans="1:5">
      <c r="A813" s="38" t="s">
        <v>4642</v>
      </c>
      <c r="B813" s="37">
        <v>1</v>
      </c>
      <c r="C813" s="37"/>
      <c r="D813" s="37"/>
      <c r="E813" s="37"/>
    </row>
    <row r="814" spans="1:5">
      <c r="A814" s="38" t="s">
        <v>4683</v>
      </c>
      <c r="B814" s="37">
        <v>1</v>
      </c>
      <c r="C814" s="37"/>
      <c r="D814" s="37"/>
      <c r="E814" s="37"/>
    </row>
    <row r="815" spans="1:5">
      <c r="A815" s="38" t="s">
        <v>4651</v>
      </c>
      <c r="B815" s="37">
        <v>1</v>
      </c>
      <c r="C815" s="37"/>
      <c r="D815" s="37"/>
      <c r="E815" s="37"/>
    </row>
    <row r="816" spans="1:5">
      <c r="A816" s="38" t="s">
        <v>4797</v>
      </c>
      <c r="B816" s="37">
        <v>1</v>
      </c>
      <c r="C816" s="37"/>
      <c r="D816" s="37"/>
      <c r="E816" s="37"/>
    </row>
    <row r="817" spans="1:5">
      <c r="A817" s="38" t="s">
        <v>4607</v>
      </c>
      <c r="B817" s="37">
        <v>1</v>
      </c>
      <c r="C817" s="37"/>
      <c r="D817" s="37"/>
      <c r="E817" s="37"/>
    </row>
    <row r="818" spans="1:5">
      <c r="A818" s="38" t="s">
        <v>4852</v>
      </c>
      <c r="B818" s="37">
        <v>1</v>
      </c>
      <c r="C818" s="37"/>
      <c r="D818" s="37"/>
      <c r="E818" s="37"/>
    </row>
    <row r="819" spans="1:5">
      <c r="A819" s="38" t="s">
        <v>4519</v>
      </c>
      <c r="B819" s="37">
        <v>1</v>
      </c>
      <c r="C819" s="37"/>
      <c r="D819" s="37"/>
      <c r="E819" s="37"/>
    </row>
    <row r="820" spans="1:5">
      <c r="A820" s="38" t="s">
        <v>4451</v>
      </c>
      <c r="B820" s="37">
        <v>1</v>
      </c>
      <c r="C820" s="37"/>
      <c r="D820" s="37"/>
      <c r="E820" s="37"/>
    </row>
    <row r="821" spans="1:5">
      <c r="A821" s="38" t="s">
        <v>4504</v>
      </c>
      <c r="B821" s="37">
        <v>1</v>
      </c>
      <c r="C821" s="37"/>
      <c r="D821" s="37"/>
      <c r="E821" s="37"/>
    </row>
    <row r="822" spans="1:5">
      <c r="A822" s="38" t="s">
        <v>4577</v>
      </c>
      <c r="B822" s="37">
        <v>1</v>
      </c>
      <c r="C822" s="37"/>
      <c r="D822" s="37"/>
      <c r="E822" s="37"/>
    </row>
    <row r="823" spans="1:5">
      <c r="A823" s="38" t="s">
        <v>2571</v>
      </c>
      <c r="B823" s="37">
        <v>1</v>
      </c>
      <c r="C823" s="37"/>
      <c r="D823" s="37"/>
      <c r="E823" s="37"/>
    </row>
    <row r="824" spans="1:5">
      <c r="A824" s="38" t="s">
        <v>1492</v>
      </c>
      <c r="B824" s="37">
        <v>1</v>
      </c>
      <c r="C824" s="37"/>
      <c r="D824" s="37"/>
      <c r="E824" s="37"/>
    </row>
    <row r="825" spans="1:5">
      <c r="A825" s="38" t="s">
        <v>4718</v>
      </c>
      <c r="B825" s="37">
        <v>1</v>
      </c>
      <c r="C825" s="37"/>
      <c r="D825" s="37"/>
      <c r="E825" s="37"/>
    </row>
    <row r="826" spans="1:5">
      <c r="A826" s="38" t="s">
        <v>4593</v>
      </c>
      <c r="B826" s="37">
        <v>1</v>
      </c>
      <c r="C826" s="37"/>
      <c r="D826" s="37"/>
      <c r="E826" s="37"/>
    </row>
    <row r="827" spans="1:5">
      <c r="A827" s="38" t="s">
        <v>2096</v>
      </c>
      <c r="B827" s="37">
        <v>1</v>
      </c>
      <c r="C827" s="37"/>
      <c r="D827" s="37"/>
      <c r="E827" s="37"/>
    </row>
    <row r="828" spans="1:5">
      <c r="A828" s="38" t="s">
        <v>546</v>
      </c>
      <c r="B828" s="37">
        <v>1</v>
      </c>
      <c r="C828" s="37"/>
      <c r="D828" s="37"/>
      <c r="E828" s="37"/>
    </row>
    <row r="829" spans="1:5">
      <c r="A829" s="38" t="s">
        <v>4636</v>
      </c>
      <c r="B829" s="37">
        <v>1</v>
      </c>
      <c r="C829" s="37"/>
      <c r="D829" s="37"/>
      <c r="E829" s="37"/>
    </row>
    <row r="830" spans="1:5">
      <c r="A830" s="38" t="s">
        <v>2262</v>
      </c>
      <c r="B830" s="37">
        <v>1</v>
      </c>
      <c r="C830" s="37"/>
      <c r="D830" s="37"/>
      <c r="E830" s="37"/>
    </row>
    <row r="831" spans="1:5">
      <c r="A831" s="38" t="s">
        <v>4630</v>
      </c>
      <c r="B831" s="37">
        <v>1</v>
      </c>
      <c r="C831" s="37"/>
      <c r="D831" s="37"/>
      <c r="E831" s="37"/>
    </row>
    <row r="832" spans="1:5">
      <c r="A832" s="38" t="s">
        <v>4447</v>
      </c>
      <c r="B832" s="37">
        <v>1</v>
      </c>
      <c r="C832" s="37"/>
      <c r="D832" s="37"/>
      <c r="E832" s="37"/>
    </row>
    <row r="833" spans="1:5">
      <c r="A833" s="38" t="s">
        <v>4842</v>
      </c>
      <c r="B833" s="37">
        <v>1</v>
      </c>
      <c r="C833" s="37"/>
      <c r="D833" s="37"/>
      <c r="E833" s="37"/>
    </row>
    <row r="834" spans="1:5">
      <c r="A834" s="38" t="s">
        <v>1483</v>
      </c>
      <c r="B834" s="37">
        <v>1</v>
      </c>
      <c r="C834" s="37"/>
      <c r="D834" s="37"/>
      <c r="E834" s="37"/>
    </row>
    <row r="835" spans="1:5">
      <c r="A835" s="38" t="s">
        <v>4765</v>
      </c>
      <c r="B835" s="37">
        <v>1</v>
      </c>
      <c r="C835" s="37"/>
      <c r="D835" s="37"/>
      <c r="E835" s="37"/>
    </row>
    <row r="836" spans="1:5">
      <c r="A836" s="38" t="s">
        <v>1216</v>
      </c>
      <c r="B836" s="37">
        <v>1</v>
      </c>
      <c r="C836" s="37"/>
      <c r="D836" s="37"/>
      <c r="E836" s="37"/>
    </row>
    <row r="837" spans="1:5">
      <c r="A837" s="38" t="s">
        <v>4811</v>
      </c>
      <c r="B837" s="37">
        <v>1</v>
      </c>
      <c r="C837" s="37"/>
      <c r="D837" s="37"/>
      <c r="E837" s="37"/>
    </row>
    <row r="838" spans="1:5">
      <c r="A838" s="38" t="s">
        <v>4801</v>
      </c>
      <c r="B838" s="37">
        <v>1</v>
      </c>
      <c r="C838" s="37"/>
      <c r="D838" s="37"/>
      <c r="E838" s="37"/>
    </row>
    <row r="839" spans="1:5">
      <c r="A839" s="38" t="s">
        <v>4767</v>
      </c>
      <c r="B839" s="37">
        <v>1</v>
      </c>
      <c r="C839" s="37"/>
      <c r="D839" s="37"/>
      <c r="E839" s="37"/>
    </row>
    <row r="840" spans="1:5">
      <c r="A840" s="38" t="s">
        <v>1692</v>
      </c>
      <c r="B840" s="37">
        <v>1</v>
      </c>
      <c r="C840" s="37"/>
      <c r="D840" s="37"/>
      <c r="E840" s="37"/>
    </row>
    <row r="841" spans="1:5">
      <c r="A841" s="38" t="s">
        <v>4421</v>
      </c>
      <c r="B841" s="37">
        <v>1</v>
      </c>
      <c r="C841" s="37"/>
      <c r="D841" s="37"/>
      <c r="E841" s="37"/>
    </row>
    <row r="842" spans="1:5">
      <c r="A842" s="38" t="s">
        <v>4672</v>
      </c>
      <c r="B842" s="37">
        <v>1</v>
      </c>
      <c r="C842" s="37"/>
      <c r="D842" s="37"/>
      <c r="E842" s="37"/>
    </row>
    <row r="843" spans="1:5">
      <c r="A843" s="38" t="s">
        <v>2527</v>
      </c>
      <c r="B843" s="37">
        <v>1</v>
      </c>
      <c r="C843" s="37"/>
      <c r="D843" s="37"/>
      <c r="E843" s="37"/>
    </row>
    <row r="844" spans="1:5">
      <c r="A844" s="38" t="s">
        <v>4715</v>
      </c>
      <c r="B844" s="37">
        <v>1</v>
      </c>
      <c r="C844" s="37"/>
      <c r="D844" s="37"/>
      <c r="E844" s="37"/>
    </row>
    <row r="845" spans="1:5">
      <c r="A845" s="38" t="s">
        <v>1976</v>
      </c>
      <c r="B845" s="37">
        <v>1</v>
      </c>
      <c r="C845" s="37"/>
      <c r="D845" s="37"/>
      <c r="E845" s="37"/>
    </row>
    <row r="846" spans="1:5">
      <c r="A846" s="38" t="s">
        <v>4574</v>
      </c>
      <c r="B846" s="37">
        <v>1</v>
      </c>
      <c r="C846" s="37"/>
      <c r="D846" s="37"/>
      <c r="E846" s="37"/>
    </row>
    <row r="847" spans="1:5">
      <c r="A847" s="38" t="s">
        <v>4840</v>
      </c>
      <c r="B847" s="37">
        <v>1</v>
      </c>
      <c r="C847" s="37"/>
      <c r="D847" s="37"/>
      <c r="E847" s="37"/>
    </row>
    <row r="848" spans="1:5">
      <c r="A848" s="38" t="s">
        <v>1762</v>
      </c>
      <c r="B848" s="37">
        <v>1</v>
      </c>
      <c r="C848" s="37"/>
      <c r="D848" s="37"/>
      <c r="E848" s="37"/>
    </row>
    <row r="849" spans="1:5">
      <c r="A849" s="38" t="s">
        <v>2928</v>
      </c>
      <c r="B849" s="37">
        <v>1</v>
      </c>
      <c r="C849" s="37"/>
      <c r="D849" s="37"/>
      <c r="E849" s="37"/>
    </row>
    <row r="850" spans="1:5">
      <c r="A850" s="38" t="s">
        <v>4787</v>
      </c>
      <c r="B850" s="37">
        <v>1</v>
      </c>
      <c r="C850" s="37"/>
      <c r="D850" s="37"/>
      <c r="E850" s="37"/>
    </row>
    <row r="851" spans="1:5">
      <c r="A851" s="38" t="s">
        <v>4698</v>
      </c>
      <c r="B851" s="37">
        <v>1</v>
      </c>
      <c r="C851" s="37"/>
      <c r="D851" s="37"/>
      <c r="E851" s="37"/>
    </row>
    <row r="852" spans="1:5">
      <c r="A852" s="38" t="s">
        <v>4816</v>
      </c>
      <c r="B852" s="37">
        <v>1</v>
      </c>
      <c r="C852" s="37"/>
      <c r="D852" s="37"/>
      <c r="E852" s="37"/>
    </row>
    <row r="853" spans="1:5">
      <c r="A853" s="38" t="s">
        <v>4510</v>
      </c>
      <c r="B853" s="37">
        <v>1</v>
      </c>
      <c r="C853" s="37"/>
      <c r="D853" s="37"/>
      <c r="E853" s="37"/>
    </row>
    <row r="854" spans="1:5">
      <c r="A854" s="38" t="s">
        <v>4494</v>
      </c>
      <c r="B854" s="37">
        <v>1</v>
      </c>
      <c r="C854" s="37"/>
      <c r="D854" s="37"/>
      <c r="E854" s="37"/>
    </row>
    <row r="855" spans="1:5">
      <c r="A855" s="38" t="s">
        <v>4652</v>
      </c>
      <c r="B855" s="37">
        <v>1</v>
      </c>
      <c r="C855" s="37"/>
      <c r="D855" s="37"/>
      <c r="E855" s="37"/>
    </row>
    <row r="856" spans="1:5">
      <c r="A856" s="38" t="s">
        <v>4697</v>
      </c>
      <c r="B856" s="37">
        <v>1</v>
      </c>
      <c r="C856" s="37"/>
      <c r="D856" s="37"/>
      <c r="E856" s="37"/>
    </row>
    <row r="857" spans="1:5">
      <c r="A857" s="38" t="s">
        <v>4493</v>
      </c>
      <c r="B857" s="37">
        <v>1</v>
      </c>
      <c r="C857" s="37"/>
      <c r="D857" s="37"/>
      <c r="E857" s="37"/>
    </row>
    <row r="858" spans="1:5">
      <c r="A858" s="38" t="s">
        <v>4839</v>
      </c>
      <c r="B858" s="37">
        <v>1</v>
      </c>
      <c r="C858" s="37"/>
      <c r="D858" s="37"/>
      <c r="E858" s="37"/>
    </row>
    <row r="859" spans="1:5">
      <c r="A859" s="38" t="s">
        <v>3143</v>
      </c>
      <c r="B859" s="37">
        <v>1</v>
      </c>
      <c r="C859" s="37"/>
      <c r="D859" s="37"/>
      <c r="E859" s="37"/>
    </row>
    <row r="860" spans="1:5">
      <c r="A860" s="38" t="s">
        <v>1698</v>
      </c>
      <c r="B860" s="37">
        <v>1</v>
      </c>
      <c r="C860" s="37"/>
      <c r="D860" s="37"/>
      <c r="E860" s="37"/>
    </row>
    <row r="861" spans="1:5">
      <c r="A861" s="38" t="s">
        <v>2165</v>
      </c>
      <c r="B861" s="37">
        <v>1</v>
      </c>
      <c r="C861" s="37"/>
      <c r="D861" s="37"/>
      <c r="E861" s="37"/>
    </row>
    <row r="862" spans="1:5">
      <c r="A862" s="38" t="s">
        <v>4848</v>
      </c>
      <c r="B862" s="37">
        <v>1</v>
      </c>
      <c r="C862" s="37"/>
      <c r="D862" s="37"/>
      <c r="E862" s="37"/>
    </row>
    <row r="863" spans="1:5">
      <c r="A863" s="38" t="s">
        <v>2507</v>
      </c>
      <c r="B863" s="37">
        <v>1</v>
      </c>
      <c r="C863" s="37"/>
      <c r="D863" s="37"/>
      <c r="E863" s="37"/>
    </row>
    <row r="864" spans="1:5">
      <c r="A864" s="38" t="s">
        <v>4441</v>
      </c>
      <c r="B864" s="37">
        <v>1</v>
      </c>
      <c r="C864" s="37"/>
      <c r="D864" s="37"/>
      <c r="E864" s="37"/>
    </row>
    <row r="865" spans="1:5">
      <c r="A865" s="38" t="s">
        <v>4462</v>
      </c>
      <c r="B865" s="37">
        <v>1</v>
      </c>
      <c r="C865" s="37"/>
      <c r="D865" s="37"/>
      <c r="E865" s="37"/>
    </row>
    <row r="866" spans="1:5">
      <c r="A866" s="38" t="s">
        <v>4647</v>
      </c>
      <c r="B866" s="37">
        <v>1</v>
      </c>
      <c r="C866" s="37"/>
      <c r="D866" s="37"/>
      <c r="E866" s="37"/>
    </row>
    <row r="867" spans="1:5">
      <c r="A867" s="38" t="s">
        <v>2227</v>
      </c>
      <c r="B867" s="37">
        <v>1</v>
      </c>
      <c r="C867" s="37"/>
      <c r="D867" s="37"/>
      <c r="E867" s="37"/>
    </row>
    <row r="868" spans="1:5">
      <c r="A868" s="38" t="s">
        <v>4569</v>
      </c>
      <c r="B868" s="37">
        <v>1</v>
      </c>
      <c r="C868" s="37"/>
      <c r="D868" s="37"/>
      <c r="E868" s="37"/>
    </row>
    <row r="869" spans="1:5">
      <c r="A869" s="38" t="s">
        <v>4803</v>
      </c>
      <c r="B869" s="37">
        <v>1</v>
      </c>
      <c r="C869" s="37"/>
      <c r="D869" s="37"/>
      <c r="E869" s="37"/>
    </row>
    <row r="870" spans="1:5">
      <c r="A870" s="38" t="s">
        <v>4669</v>
      </c>
      <c r="B870" s="37">
        <v>1</v>
      </c>
      <c r="C870" s="37"/>
      <c r="D870" s="37"/>
      <c r="E870" s="37"/>
    </row>
    <row r="871" spans="1:5">
      <c r="A871" s="38" t="s">
        <v>4524</v>
      </c>
      <c r="B871" s="37">
        <v>1</v>
      </c>
      <c r="C871" s="37"/>
      <c r="D871" s="37"/>
      <c r="E871" s="37"/>
    </row>
    <row r="872" spans="1:5">
      <c r="A872" s="38" t="s">
        <v>1750</v>
      </c>
      <c r="B872" s="37">
        <v>1</v>
      </c>
      <c r="C872" s="37"/>
      <c r="D872" s="37"/>
      <c r="E872" s="37"/>
    </row>
    <row r="873" spans="1:5">
      <c r="A873" s="38" t="s">
        <v>2729</v>
      </c>
      <c r="B873" s="37">
        <v>1</v>
      </c>
      <c r="C873" s="37"/>
      <c r="D873" s="37"/>
      <c r="E873" s="37"/>
    </row>
    <row r="874" spans="1:5">
      <c r="A874" s="38" t="s">
        <v>4786</v>
      </c>
      <c r="B874" s="37">
        <v>1</v>
      </c>
      <c r="C874" s="37"/>
      <c r="D874" s="37"/>
      <c r="E874" s="37"/>
    </row>
    <row r="875" spans="1:5">
      <c r="A875" s="38" t="s">
        <v>4732</v>
      </c>
      <c r="B875" s="37">
        <v>1</v>
      </c>
      <c r="C875" s="37"/>
      <c r="D875" s="37"/>
      <c r="E875" s="37"/>
    </row>
    <row r="876" spans="1:5">
      <c r="A876" s="38" t="s">
        <v>4655</v>
      </c>
      <c r="B876" s="37">
        <v>1</v>
      </c>
      <c r="C876" s="37"/>
      <c r="D876" s="37"/>
      <c r="E876" s="37"/>
    </row>
    <row r="877" spans="1:5">
      <c r="A877" s="38" t="s">
        <v>1993</v>
      </c>
      <c r="B877" s="37">
        <v>1</v>
      </c>
      <c r="C877" s="37"/>
      <c r="D877" s="37"/>
      <c r="E877" s="37"/>
    </row>
    <row r="878" spans="1:5">
      <c r="A878" s="38" t="s">
        <v>4470</v>
      </c>
      <c r="B878" s="37">
        <v>1</v>
      </c>
      <c r="C878" s="37"/>
      <c r="D878" s="37"/>
      <c r="E878" s="37"/>
    </row>
    <row r="879" spans="1:5">
      <c r="A879" s="38" t="s">
        <v>4854</v>
      </c>
      <c r="B879" s="37">
        <v>1</v>
      </c>
      <c r="C879" s="37"/>
      <c r="D879" s="37"/>
      <c r="E879" s="37"/>
    </row>
    <row r="880" spans="1:5">
      <c r="A880" s="38" t="s">
        <v>281</v>
      </c>
      <c r="B880" s="37">
        <v>1</v>
      </c>
      <c r="C880" s="37"/>
      <c r="D880" s="37"/>
      <c r="E880" s="37"/>
    </row>
    <row r="881" spans="1:5">
      <c r="A881" s="38" t="s">
        <v>4643</v>
      </c>
      <c r="B881" s="37">
        <v>1</v>
      </c>
      <c r="C881" s="37"/>
      <c r="D881" s="37"/>
      <c r="E881" s="37"/>
    </row>
    <row r="882" spans="1:5">
      <c r="A882" s="38" t="s">
        <v>4771</v>
      </c>
      <c r="B882" s="37">
        <v>1</v>
      </c>
      <c r="C882" s="37"/>
      <c r="D882" s="37"/>
      <c r="E882" s="37"/>
    </row>
    <row r="883" spans="1:5">
      <c r="A883" s="38" t="s">
        <v>4807</v>
      </c>
      <c r="B883" s="37">
        <v>1</v>
      </c>
      <c r="C883" s="37"/>
      <c r="D883" s="37"/>
      <c r="E883" s="37"/>
    </row>
    <row r="884" spans="1:5">
      <c r="A884" s="38" t="s">
        <v>4694</v>
      </c>
      <c r="B884" s="37">
        <v>1</v>
      </c>
      <c r="C884" s="37"/>
      <c r="D884" s="37"/>
      <c r="E884" s="37"/>
    </row>
    <row r="885" spans="1:5">
      <c r="A885" s="38" t="s">
        <v>4534</v>
      </c>
      <c r="B885" s="37">
        <v>1</v>
      </c>
      <c r="C885" s="37"/>
      <c r="D885" s="37"/>
      <c r="E885" s="37"/>
    </row>
    <row r="886" spans="1:5">
      <c r="A886" s="38" t="s">
        <v>4800</v>
      </c>
      <c r="B886" s="37">
        <v>1</v>
      </c>
      <c r="C886" s="37"/>
      <c r="D886" s="37"/>
      <c r="E886" s="37"/>
    </row>
    <row r="887" spans="1:5">
      <c r="A887" s="38" t="s">
        <v>1153</v>
      </c>
      <c r="B887" s="37">
        <v>1</v>
      </c>
      <c r="C887" s="37"/>
      <c r="D887" s="37"/>
      <c r="E887" s="37"/>
    </row>
    <row r="888" spans="1:5">
      <c r="A888" s="38" t="s">
        <v>1961</v>
      </c>
      <c r="B888" s="37">
        <v>1</v>
      </c>
      <c r="C888" s="37"/>
      <c r="D888" s="37"/>
      <c r="E888" s="37"/>
    </row>
    <row r="889" spans="1:5">
      <c r="A889" s="38" t="s">
        <v>4437</v>
      </c>
      <c r="B889" s="37">
        <v>1</v>
      </c>
      <c r="C889" s="37"/>
      <c r="D889" s="37"/>
      <c r="E889" s="37"/>
    </row>
    <row r="890" spans="1:5">
      <c r="A890" s="38" t="s">
        <v>4905</v>
      </c>
      <c r="B890" s="37">
        <v>1</v>
      </c>
      <c r="C890" s="37"/>
      <c r="D890" s="37"/>
      <c r="E890" s="37"/>
    </row>
    <row r="891" spans="1:5">
      <c r="A891" s="38" t="s">
        <v>4618</v>
      </c>
      <c r="B891" s="37">
        <v>1</v>
      </c>
      <c r="C891" s="37"/>
      <c r="D891" s="37"/>
      <c r="E891" s="37"/>
    </row>
    <row r="892" spans="1:5">
      <c r="A892" s="38" t="s">
        <v>454</v>
      </c>
      <c r="B892" s="37">
        <v>1</v>
      </c>
      <c r="C892" s="37"/>
      <c r="D892" s="37"/>
      <c r="E892" s="37"/>
    </row>
    <row r="893" spans="1:5">
      <c r="A893" s="38" t="s">
        <v>2117</v>
      </c>
      <c r="B893" s="37">
        <v>1</v>
      </c>
      <c r="C893" s="37"/>
      <c r="D893" s="37"/>
      <c r="E893" s="37"/>
    </row>
    <row r="894" spans="1:5">
      <c r="A894" s="38" t="s">
        <v>4719</v>
      </c>
      <c r="B894" s="37">
        <v>1</v>
      </c>
      <c r="C894" s="37"/>
      <c r="D894" s="37"/>
      <c r="E894" s="37"/>
    </row>
    <row r="895" spans="1:5">
      <c r="A895" s="38" t="s">
        <v>4826</v>
      </c>
      <c r="B895" s="37">
        <v>1</v>
      </c>
      <c r="C895" s="37"/>
      <c r="D895" s="37"/>
      <c r="E895" s="37"/>
    </row>
    <row r="896" spans="1:5">
      <c r="A896" s="38" t="s">
        <v>4759</v>
      </c>
      <c r="B896" s="37">
        <v>1</v>
      </c>
      <c r="C896" s="37"/>
      <c r="D896" s="37"/>
      <c r="E896" s="37"/>
    </row>
    <row r="897" spans="1:5">
      <c r="A897" s="38" t="s">
        <v>4433</v>
      </c>
      <c r="B897" s="37">
        <v>1</v>
      </c>
      <c r="C897" s="37"/>
      <c r="D897" s="37"/>
      <c r="E897" s="37"/>
    </row>
    <row r="898" spans="1:5">
      <c r="A898" s="38" t="s">
        <v>2353</v>
      </c>
      <c r="B898" s="37">
        <v>1</v>
      </c>
      <c r="C898" s="37"/>
      <c r="D898" s="37"/>
      <c r="E898" s="37"/>
    </row>
    <row r="899" spans="1:5">
      <c r="A899" s="38" t="s">
        <v>899</v>
      </c>
      <c r="B899" s="37">
        <v>1</v>
      </c>
      <c r="C899" s="37"/>
      <c r="D899" s="37"/>
      <c r="E899" s="37"/>
    </row>
    <row r="900" spans="1:5">
      <c r="A900" s="38" t="s">
        <v>1580</v>
      </c>
      <c r="B900" s="37">
        <v>1</v>
      </c>
      <c r="C900" s="37"/>
      <c r="D900" s="37"/>
      <c r="E900" s="37"/>
    </row>
    <row r="901" spans="1:5">
      <c r="A901" s="38" t="s">
        <v>4768</v>
      </c>
      <c r="B901" s="37">
        <v>1</v>
      </c>
      <c r="C901" s="37"/>
      <c r="D901" s="37"/>
      <c r="E901" s="37"/>
    </row>
    <row r="902" spans="1:5">
      <c r="A902" s="38" t="s">
        <v>4779</v>
      </c>
      <c r="B902" s="37">
        <v>1</v>
      </c>
      <c r="C902" s="37"/>
      <c r="D902" s="37"/>
      <c r="E902" s="37"/>
    </row>
    <row r="903" spans="1:5">
      <c r="A903" s="38" t="s">
        <v>4791</v>
      </c>
      <c r="B903" s="37">
        <v>1</v>
      </c>
      <c r="C903" s="37"/>
      <c r="D903" s="37"/>
      <c r="E903" s="37"/>
    </row>
    <row r="904" spans="1:5">
      <c r="A904" s="38" t="s">
        <v>1955</v>
      </c>
      <c r="B904" s="37">
        <v>1</v>
      </c>
      <c r="C904" s="37"/>
      <c r="D904" s="37"/>
      <c r="E904" s="37"/>
    </row>
    <row r="905" spans="1:5">
      <c r="A905" s="38" t="s">
        <v>4599</v>
      </c>
      <c r="B905" s="37">
        <v>1</v>
      </c>
      <c r="C905" s="37"/>
      <c r="D905" s="37"/>
      <c r="E905" s="37"/>
    </row>
    <row r="906" spans="1:5">
      <c r="A906" s="38" t="s">
        <v>2398</v>
      </c>
      <c r="B906" s="37">
        <v>1</v>
      </c>
      <c r="C906" s="37"/>
      <c r="D906" s="37"/>
      <c r="E906" s="37"/>
    </row>
    <row r="907" spans="1:5">
      <c r="A907" s="38" t="s">
        <v>4708</v>
      </c>
      <c r="B907" s="37">
        <v>1</v>
      </c>
      <c r="C907" s="37"/>
      <c r="D907" s="37"/>
      <c r="E907" s="37"/>
    </row>
    <row r="908" spans="1:5">
      <c r="A908" s="38" t="s">
        <v>2333</v>
      </c>
      <c r="B908" s="37">
        <v>1</v>
      </c>
      <c r="C908" s="37"/>
      <c r="D908" s="37"/>
      <c r="E908" s="37"/>
    </row>
    <row r="909" spans="1:5">
      <c r="A909" s="38" t="s">
        <v>4808</v>
      </c>
      <c r="B909" s="37">
        <v>1</v>
      </c>
      <c r="C909" s="37"/>
      <c r="D909" s="37"/>
      <c r="E909" s="37"/>
    </row>
    <row r="910" spans="1:5">
      <c r="A910" s="38" t="s">
        <v>595</v>
      </c>
      <c r="B910" s="37">
        <v>1</v>
      </c>
      <c r="C910" s="37"/>
      <c r="D910" s="37"/>
      <c r="E910" s="37"/>
    </row>
    <row r="911" spans="1:5">
      <c r="A911" s="38" t="s">
        <v>4860</v>
      </c>
      <c r="B911" s="37">
        <v>1</v>
      </c>
      <c r="C911" s="37"/>
      <c r="D911" s="37"/>
      <c r="E911" s="37"/>
    </row>
    <row r="912" spans="1:5">
      <c r="A912" s="38" t="s">
        <v>1144</v>
      </c>
      <c r="B912" s="37">
        <v>1</v>
      </c>
      <c r="C912" s="37"/>
      <c r="D912" s="37"/>
      <c r="E912" s="37"/>
    </row>
    <row r="913" spans="1:5">
      <c r="A913" s="38" t="s">
        <v>4749</v>
      </c>
      <c r="B913" s="37">
        <v>1</v>
      </c>
      <c r="C913" s="37"/>
      <c r="D913" s="37"/>
      <c r="E913" s="37"/>
    </row>
    <row r="914" spans="1:5">
      <c r="A914" s="38" t="s">
        <v>4868</v>
      </c>
      <c r="B914" s="37">
        <v>1</v>
      </c>
      <c r="C914" s="37"/>
      <c r="D914" s="37"/>
      <c r="E914" s="37"/>
    </row>
    <row r="915" spans="1:5">
      <c r="A915" s="38" t="s">
        <v>1502</v>
      </c>
      <c r="B915" s="37">
        <v>1</v>
      </c>
      <c r="C915" s="37"/>
      <c r="D915" s="37"/>
      <c r="E915" s="37"/>
    </row>
    <row r="916" spans="1:5">
      <c r="A916" s="38" t="s">
        <v>3294</v>
      </c>
      <c r="B916" s="37">
        <v>1</v>
      </c>
      <c r="C916" s="37"/>
      <c r="D916" s="37"/>
      <c r="E916" s="37"/>
    </row>
    <row r="917" spans="1:5">
      <c r="A917" s="38" t="s">
        <v>4480</v>
      </c>
      <c r="B917" s="37">
        <v>1</v>
      </c>
      <c r="C917" s="37"/>
      <c r="D917" s="37"/>
      <c r="E917" s="37"/>
    </row>
    <row r="918" spans="1:5">
      <c r="A918" s="38" t="s">
        <v>1587</v>
      </c>
      <c r="B918" s="37">
        <v>1</v>
      </c>
      <c r="C918" s="37"/>
      <c r="D918" s="37"/>
      <c r="E918" s="37"/>
    </row>
    <row r="919" spans="1:5">
      <c r="A919" s="38" t="s">
        <v>669</v>
      </c>
      <c r="B919" s="37">
        <v>1</v>
      </c>
      <c r="C919" s="37"/>
      <c r="D919" s="37"/>
      <c r="E919" s="37"/>
    </row>
    <row r="920" spans="1:5">
      <c r="A920" s="38" t="s">
        <v>2113</v>
      </c>
      <c r="B920" s="37">
        <v>1</v>
      </c>
      <c r="C920" s="37"/>
      <c r="D920" s="37"/>
      <c r="E920" s="37"/>
    </row>
    <row r="921" spans="1:5">
      <c r="A921" s="38" t="s">
        <v>1644</v>
      </c>
      <c r="B921" s="37">
        <v>1</v>
      </c>
      <c r="C921" s="37"/>
      <c r="D921" s="37"/>
      <c r="E921" s="37"/>
    </row>
    <row r="922" spans="1:5">
      <c r="A922" s="38" t="s">
        <v>4777</v>
      </c>
      <c r="B922" s="37">
        <v>1</v>
      </c>
      <c r="C922" s="37"/>
      <c r="D922" s="37"/>
      <c r="E922" s="37"/>
    </row>
    <row r="923" spans="1:5">
      <c r="A923" s="38" t="s">
        <v>558</v>
      </c>
      <c r="B923" s="37">
        <v>1</v>
      </c>
      <c r="C923" s="37"/>
      <c r="D923" s="37"/>
      <c r="E923" s="37"/>
    </row>
    <row r="924" spans="1:5">
      <c r="A924" s="38" t="s">
        <v>4825</v>
      </c>
      <c r="B924" s="37">
        <v>1</v>
      </c>
      <c r="C924" s="37"/>
      <c r="D924" s="37"/>
      <c r="E924" s="37"/>
    </row>
    <row r="925" spans="1:5">
      <c r="A925" s="38" t="s">
        <v>2190</v>
      </c>
      <c r="B925" s="37">
        <v>1</v>
      </c>
      <c r="C925" s="37"/>
      <c r="D925" s="37"/>
      <c r="E925" s="37"/>
    </row>
    <row r="926" spans="1:5">
      <c r="A926" s="38" t="s">
        <v>639</v>
      </c>
      <c r="B926" s="37">
        <v>1</v>
      </c>
      <c r="C926" s="37"/>
      <c r="D926" s="37"/>
      <c r="E926" s="37"/>
    </row>
    <row r="927" spans="1:5">
      <c r="A927" s="38" t="s">
        <v>4796</v>
      </c>
      <c r="B927" s="37">
        <v>1</v>
      </c>
      <c r="C927" s="37"/>
      <c r="D927" s="37"/>
      <c r="E927" s="37"/>
    </row>
    <row r="928" spans="1:5">
      <c r="A928" s="38" t="s">
        <v>4463</v>
      </c>
      <c r="B928" s="37">
        <v>1</v>
      </c>
      <c r="C928" s="37"/>
      <c r="D928" s="37"/>
      <c r="E928" s="37"/>
    </row>
    <row r="929" spans="1:5">
      <c r="A929" s="38" t="s">
        <v>4637</v>
      </c>
      <c r="B929" s="37">
        <v>1</v>
      </c>
      <c r="C929" s="37"/>
      <c r="D929" s="37"/>
      <c r="E929" s="37"/>
    </row>
    <row r="930" spans="1:5">
      <c r="A930" s="38" t="s">
        <v>4711</v>
      </c>
      <c r="B930" s="37">
        <v>1</v>
      </c>
      <c r="C930" s="37"/>
      <c r="D930" s="37"/>
      <c r="E930" s="37"/>
    </row>
    <row r="931" spans="1:5">
      <c r="A931" s="38" t="s">
        <v>1657</v>
      </c>
      <c r="B931" s="37">
        <v>1</v>
      </c>
      <c r="C931" s="37"/>
      <c r="D931" s="37"/>
      <c r="E931" s="37"/>
    </row>
    <row r="932" spans="1:5">
      <c r="A932" s="38" t="s">
        <v>4563</v>
      </c>
      <c r="B932" s="37">
        <v>1</v>
      </c>
      <c r="C932" s="37"/>
      <c r="D932" s="37"/>
      <c r="E932" s="37"/>
    </row>
    <row r="933" spans="1:5">
      <c r="A933" s="38" t="s">
        <v>2000</v>
      </c>
      <c r="B933" s="37">
        <v>1</v>
      </c>
      <c r="C933" s="37"/>
      <c r="D933" s="37"/>
      <c r="E933" s="37"/>
    </row>
    <row r="934" spans="1:5">
      <c r="A934" s="38" t="s">
        <v>4573</v>
      </c>
      <c r="B934" s="37">
        <v>1</v>
      </c>
      <c r="C934" s="37"/>
      <c r="D934" s="37"/>
      <c r="E934" s="37"/>
    </row>
    <row r="935" spans="1:5">
      <c r="A935" s="38" t="s">
        <v>4598</v>
      </c>
      <c r="B935" s="37">
        <v>1</v>
      </c>
      <c r="C935" s="37"/>
      <c r="D935" s="37"/>
      <c r="E935" s="37"/>
    </row>
    <row r="936" spans="1:5">
      <c r="A936" s="38" t="s">
        <v>4702</v>
      </c>
      <c r="B936" s="37">
        <v>1</v>
      </c>
      <c r="C936" s="37"/>
      <c r="D936" s="37"/>
      <c r="E936" s="37"/>
    </row>
    <row r="937" spans="1:5">
      <c r="A937" s="38" t="s">
        <v>993</v>
      </c>
      <c r="B937" s="37">
        <v>1</v>
      </c>
      <c r="C937" s="37"/>
      <c r="D937" s="37"/>
      <c r="E937" s="37"/>
    </row>
    <row r="938" spans="1:5">
      <c r="A938" s="38" t="s">
        <v>1712</v>
      </c>
      <c r="B938" s="37">
        <v>1</v>
      </c>
      <c r="C938" s="37"/>
      <c r="D938" s="37"/>
      <c r="E938" s="37"/>
    </row>
    <row r="939" spans="1:5">
      <c r="A939" s="38" t="s">
        <v>4831</v>
      </c>
      <c r="B939" s="37">
        <v>1</v>
      </c>
      <c r="C939" s="37"/>
      <c r="D939" s="37"/>
      <c r="E939" s="37"/>
    </row>
    <row r="940" spans="1:5">
      <c r="A940" s="38" t="s">
        <v>4703</v>
      </c>
      <c r="B940" s="37">
        <v>1</v>
      </c>
      <c r="C940" s="37"/>
      <c r="D940" s="37"/>
      <c r="E940" s="37"/>
    </row>
    <row r="941" spans="1:5">
      <c r="A941" s="38" t="s">
        <v>4904</v>
      </c>
      <c r="B941" s="37">
        <v>1869</v>
      </c>
      <c r="C941" s="37"/>
      <c r="D941" s="37"/>
      <c r="E941" s="37"/>
    </row>
  </sheetData>
  <sortState xmlns:xlrd2="http://schemas.microsoft.com/office/spreadsheetml/2017/richdata2" ref="A46:E65">
    <sortCondition descending="1" ref="D46:D65"/>
  </sortState>
  <mergeCells count="10">
    <mergeCell ref="A21:F21"/>
    <mergeCell ref="A13:F13"/>
    <mergeCell ref="A2:F2"/>
    <mergeCell ref="A67:F67"/>
    <mergeCell ref="A95:F95"/>
    <mergeCell ref="A103:F103"/>
    <mergeCell ref="A81:F81"/>
    <mergeCell ref="A44:E44"/>
    <mergeCell ref="A37:F37"/>
    <mergeCell ref="A35:F35"/>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474DDD-1E6C-4832-B741-5DC54910EA7F}">
  <sheetPr codeName="Sheet5"/>
  <dimension ref="B2:C26"/>
  <sheetViews>
    <sheetView workbookViewId="0"/>
  </sheetViews>
  <sheetFormatPr defaultRowHeight="15.75"/>
  <cols>
    <col min="1" max="1" width="3.875" style="36" customWidth="1"/>
    <col min="2" max="2" width="21.5" style="36" customWidth="1"/>
    <col min="3" max="3" width="65.5" style="36" customWidth="1"/>
    <col min="4" max="4" width="4" style="36" customWidth="1"/>
    <col min="5" max="16384" width="9" style="36"/>
  </cols>
  <sheetData>
    <row r="2" spans="2:3" ht="32.25" customHeight="1">
      <c r="B2" s="153" t="s">
        <v>4953</v>
      </c>
      <c r="C2" s="153"/>
    </row>
    <row r="3" spans="2:3" ht="18.75">
      <c r="B3" s="39"/>
      <c r="C3" s="39"/>
    </row>
    <row r="4" spans="2:3" ht="18.75">
      <c r="B4" s="77" t="s">
        <v>4304</v>
      </c>
      <c r="C4" s="77" t="s">
        <v>4930</v>
      </c>
    </row>
    <row r="5" spans="2:3" ht="42" customHeight="1">
      <c r="B5" s="75" t="s">
        <v>3373</v>
      </c>
      <c r="C5" s="76" t="s">
        <v>4931</v>
      </c>
    </row>
    <row r="6" spans="2:3" ht="74.25" customHeight="1">
      <c r="B6" s="75" t="s">
        <v>3372</v>
      </c>
      <c r="C6" s="76" t="s">
        <v>4932</v>
      </c>
    </row>
    <row r="7" spans="2:3" ht="39.75" customHeight="1">
      <c r="B7" s="75" t="s">
        <v>3371</v>
      </c>
      <c r="C7" s="76" t="s">
        <v>4933</v>
      </c>
    </row>
    <row r="8" spans="2:3" ht="25.5" customHeight="1">
      <c r="B8" s="75" t="s">
        <v>3370</v>
      </c>
      <c r="C8" s="76" t="s">
        <v>4934</v>
      </c>
    </row>
    <row r="9" spans="2:3" ht="28.5" customHeight="1">
      <c r="B9" s="75" t="s">
        <v>3369</v>
      </c>
      <c r="C9" s="76" t="s">
        <v>4935</v>
      </c>
    </row>
    <row r="10" spans="2:3" ht="49.5" customHeight="1">
      <c r="B10" s="75" t="s">
        <v>3368</v>
      </c>
      <c r="C10" s="76" t="s">
        <v>4936</v>
      </c>
    </row>
    <row r="11" spans="2:3" ht="18.75">
      <c r="B11" s="75" t="s">
        <v>3367</v>
      </c>
      <c r="C11" s="76" t="s">
        <v>4937</v>
      </c>
    </row>
    <row r="12" spans="2:3" ht="41.25" customHeight="1">
      <c r="B12" s="75" t="s">
        <v>3366</v>
      </c>
      <c r="C12" s="76" t="s">
        <v>4938</v>
      </c>
    </row>
    <row r="13" spans="2:3" ht="35.25" customHeight="1">
      <c r="B13" s="75" t="s">
        <v>3365</v>
      </c>
      <c r="C13" s="76" t="s">
        <v>4939</v>
      </c>
    </row>
    <row r="14" spans="2:3" ht="63.75" customHeight="1">
      <c r="B14" s="75" t="s">
        <v>3364</v>
      </c>
      <c r="C14" s="76" t="s">
        <v>4940</v>
      </c>
    </row>
    <row r="15" spans="2:3" ht="24.75" customHeight="1">
      <c r="B15" s="75" t="s">
        <v>3363</v>
      </c>
      <c r="C15" s="76" t="s">
        <v>4941</v>
      </c>
    </row>
    <row r="16" spans="2:3" ht="30.75" customHeight="1">
      <c r="B16" s="75" t="s">
        <v>3362</v>
      </c>
      <c r="C16" s="76" t="s">
        <v>4942</v>
      </c>
    </row>
    <row r="17" spans="2:3" ht="31.5" customHeight="1">
      <c r="B17" s="75" t="s">
        <v>3361</v>
      </c>
      <c r="C17" s="76" t="s">
        <v>4943</v>
      </c>
    </row>
    <row r="18" spans="2:3" ht="27.75" customHeight="1">
      <c r="B18" s="75" t="s">
        <v>3360</v>
      </c>
      <c r="C18" s="76" t="s">
        <v>4944</v>
      </c>
    </row>
    <row r="19" spans="2:3" ht="30" customHeight="1">
      <c r="B19" s="75" t="s">
        <v>3359</v>
      </c>
      <c r="C19" s="76" t="s">
        <v>4945</v>
      </c>
    </row>
    <row r="20" spans="2:3" ht="30" customHeight="1">
      <c r="B20" s="75" t="s">
        <v>3358</v>
      </c>
      <c r="C20" s="76" t="s">
        <v>4946</v>
      </c>
    </row>
    <row r="21" spans="2:3" ht="29.25" customHeight="1">
      <c r="B21" s="75" t="s">
        <v>3357</v>
      </c>
      <c r="C21" s="76" t="s">
        <v>4947</v>
      </c>
    </row>
    <row r="22" spans="2:3" ht="98.25" customHeight="1">
      <c r="B22" s="75" t="s">
        <v>3356</v>
      </c>
      <c r="C22" s="76" t="s">
        <v>4948</v>
      </c>
    </row>
    <row r="23" spans="2:3" ht="27" customHeight="1">
      <c r="B23" s="75" t="s">
        <v>3355</v>
      </c>
      <c r="C23" s="76" t="s">
        <v>4949</v>
      </c>
    </row>
    <row r="24" spans="2:3" ht="27" customHeight="1">
      <c r="B24" s="75" t="s">
        <v>3354</v>
      </c>
      <c r="C24" s="76" t="s">
        <v>4950</v>
      </c>
    </row>
    <row r="25" spans="2:3" ht="89.25" customHeight="1">
      <c r="B25" s="75" t="s">
        <v>3353</v>
      </c>
      <c r="C25" s="76" t="s">
        <v>4951</v>
      </c>
    </row>
    <row r="26" spans="2:3" ht="108" customHeight="1">
      <c r="B26" s="75" t="s">
        <v>4395</v>
      </c>
      <c r="C26" s="76" t="s">
        <v>4952</v>
      </c>
    </row>
  </sheetData>
  <mergeCells count="1">
    <mergeCell ref="B2:C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AC4AB-AECF-464D-A78A-F1AA1BCD45C8}">
  <dimension ref="B2:C28"/>
  <sheetViews>
    <sheetView workbookViewId="0"/>
  </sheetViews>
  <sheetFormatPr defaultRowHeight="15.75"/>
  <cols>
    <col min="1" max="1" width="9" style="36"/>
    <col min="2" max="2" width="21.5" style="36" customWidth="1"/>
    <col min="3" max="3" width="99.125" style="36" customWidth="1"/>
    <col min="4" max="16384" width="9" style="36"/>
  </cols>
  <sheetData>
    <row r="2" spans="2:3" ht="22.5">
      <c r="B2" s="153" t="s">
        <v>5023</v>
      </c>
      <c r="C2" s="153"/>
    </row>
    <row r="4" spans="2:3" ht="409.5" customHeight="1">
      <c r="B4" s="154" t="s">
        <v>5024</v>
      </c>
      <c r="C4" s="154"/>
    </row>
    <row r="5" spans="2:3">
      <c r="B5" s="154"/>
      <c r="C5" s="154"/>
    </row>
    <row r="6" spans="2:3">
      <c r="B6" s="154"/>
      <c r="C6" s="154"/>
    </row>
    <row r="7" spans="2:3">
      <c r="B7" s="154"/>
      <c r="C7" s="154"/>
    </row>
    <row r="8" spans="2:3">
      <c r="B8" s="154"/>
      <c r="C8" s="154"/>
    </row>
    <row r="9" spans="2:3">
      <c r="B9" s="154"/>
      <c r="C9" s="154"/>
    </row>
    <row r="10" spans="2:3">
      <c r="B10" s="154"/>
      <c r="C10" s="154"/>
    </row>
    <row r="11" spans="2:3">
      <c r="B11" s="154"/>
      <c r="C11" s="154"/>
    </row>
    <row r="12" spans="2:3">
      <c r="B12" s="154"/>
      <c r="C12" s="154"/>
    </row>
    <row r="13" spans="2:3">
      <c r="B13" s="154"/>
      <c r="C13" s="154"/>
    </row>
    <row r="14" spans="2:3">
      <c r="B14" s="154"/>
      <c r="C14" s="154"/>
    </row>
    <row r="15" spans="2:3">
      <c r="B15" s="154"/>
      <c r="C15" s="154"/>
    </row>
    <row r="16" spans="2:3">
      <c r="B16" s="154"/>
      <c r="C16" s="154"/>
    </row>
    <row r="17" spans="2:3">
      <c r="B17" s="154"/>
      <c r="C17" s="154"/>
    </row>
    <row r="18" spans="2:3">
      <c r="B18" s="154"/>
      <c r="C18" s="154"/>
    </row>
    <row r="19" spans="2:3">
      <c r="B19" s="154"/>
      <c r="C19" s="154"/>
    </row>
    <row r="20" spans="2:3">
      <c r="B20" s="154"/>
      <c r="C20" s="154"/>
    </row>
    <row r="21" spans="2:3">
      <c r="B21" s="154"/>
      <c r="C21" s="154"/>
    </row>
    <row r="22" spans="2:3">
      <c r="B22" s="154"/>
      <c r="C22" s="154"/>
    </row>
    <row r="23" spans="2:3">
      <c r="B23" s="154"/>
      <c r="C23" s="154"/>
    </row>
    <row r="24" spans="2:3">
      <c r="B24" s="154"/>
      <c r="C24" s="154"/>
    </row>
    <row r="25" spans="2:3">
      <c r="B25" s="154"/>
      <c r="C25" s="154"/>
    </row>
    <row r="26" spans="2:3">
      <c r="B26" s="154"/>
      <c r="C26" s="154"/>
    </row>
    <row r="27" spans="2:3">
      <c r="B27" s="154"/>
      <c r="C27" s="154"/>
    </row>
    <row r="28" spans="2:3">
      <c r="B28" s="154"/>
      <c r="C28" s="154"/>
    </row>
  </sheetData>
  <mergeCells count="2">
    <mergeCell ref="B2:C2"/>
    <mergeCell ref="B4:C2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14E268-E845-4914-A61B-B33A356CB144}">
  <sheetPr codeName="Sheet6"/>
  <dimension ref="A1:X1870"/>
  <sheetViews>
    <sheetView workbookViewId="0"/>
  </sheetViews>
  <sheetFormatPr defaultRowHeight="15.75"/>
  <cols>
    <col min="1" max="1" width="5.625" style="36" bestFit="1" customWidth="1"/>
    <col min="2" max="2" width="38.375" style="36" bestFit="1" customWidth="1"/>
    <col min="3" max="3" width="28.75" style="36" bestFit="1" customWidth="1"/>
    <col min="4" max="5" width="81" style="36" bestFit="1" customWidth="1"/>
    <col min="6" max="6" width="11.375" style="36" bestFit="1" customWidth="1"/>
    <col min="7" max="7" width="16.125" style="36" bestFit="1" customWidth="1"/>
    <col min="8" max="8" width="12" style="36" bestFit="1" customWidth="1"/>
    <col min="9" max="9" width="9" style="36" bestFit="1" customWidth="1"/>
    <col min="10" max="10" width="13" style="36" bestFit="1" customWidth="1"/>
    <col min="11" max="11" width="8.375" style="36" bestFit="1" customWidth="1"/>
    <col min="12" max="12" width="10.25" style="36" bestFit="1" customWidth="1"/>
    <col min="13" max="13" width="13.125" style="36" bestFit="1" customWidth="1"/>
    <col min="14" max="14" width="13.75" style="36" bestFit="1" customWidth="1"/>
    <col min="15" max="15" width="17.25" style="36" bestFit="1" customWidth="1"/>
    <col min="16" max="16" width="9.625" style="36" bestFit="1" customWidth="1"/>
    <col min="17" max="17" width="9.375" style="36" bestFit="1" customWidth="1"/>
    <col min="18" max="18" width="8.25" style="36" bestFit="1" customWidth="1"/>
    <col min="19" max="19" width="16.25" style="36" bestFit="1" customWidth="1"/>
    <col min="20" max="20" width="13.375" style="36" bestFit="1" customWidth="1"/>
    <col min="21" max="21" width="79.25" style="36" bestFit="1" customWidth="1"/>
    <col min="22" max="22" width="13.25" style="36" bestFit="1" customWidth="1"/>
    <col min="23" max="16384" width="9" style="36"/>
  </cols>
  <sheetData>
    <row r="1" spans="1:22" ht="18.75">
      <c r="A1" s="74" t="s">
        <v>3373</v>
      </c>
      <c r="B1" s="74" t="s">
        <v>3372</v>
      </c>
      <c r="C1" s="74" t="s">
        <v>3371</v>
      </c>
      <c r="D1" s="74" t="s">
        <v>3370</v>
      </c>
      <c r="E1" s="74" t="s">
        <v>3369</v>
      </c>
      <c r="F1" s="74" t="s">
        <v>3368</v>
      </c>
      <c r="G1" s="74" t="s">
        <v>3367</v>
      </c>
      <c r="H1" s="74" t="s">
        <v>3366</v>
      </c>
      <c r="I1" s="74" t="s">
        <v>3365</v>
      </c>
      <c r="J1" s="74" t="s">
        <v>3364</v>
      </c>
      <c r="K1" s="74" t="s">
        <v>3363</v>
      </c>
      <c r="L1" s="74" t="s">
        <v>3362</v>
      </c>
      <c r="M1" s="74" t="s">
        <v>3361</v>
      </c>
      <c r="N1" s="74" t="s">
        <v>3360</v>
      </c>
      <c r="O1" s="74" t="s">
        <v>3359</v>
      </c>
      <c r="P1" s="74" t="s">
        <v>3358</v>
      </c>
      <c r="Q1" s="74" t="s">
        <v>3357</v>
      </c>
      <c r="R1" s="74" t="s">
        <v>3356</v>
      </c>
      <c r="S1" s="74" t="s">
        <v>3355</v>
      </c>
      <c r="T1" s="74" t="s">
        <v>3354</v>
      </c>
      <c r="U1" s="74" t="s">
        <v>3353</v>
      </c>
      <c r="V1" s="74" t="s">
        <v>4395</v>
      </c>
    </row>
    <row r="2" spans="1:22" ht="17.25">
      <c r="A2" s="70">
        <v>1</v>
      </c>
      <c r="B2" s="70" t="s">
        <v>3352</v>
      </c>
      <c r="C2" s="70" t="s">
        <v>3351</v>
      </c>
      <c r="D2" s="70" t="s">
        <v>3350</v>
      </c>
      <c r="E2" s="70" t="s">
        <v>30</v>
      </c>
      <c r="F2" s="71">
        <v>26</v>
      </c>
      <c r="G2" s="71">
        <v>240</v>
      </c>
      <c r="H2" s="72">
        <v>0.15416666666666667</v>
      </c>
      <c r="I2" s="71" t="b">
        <v>0</v>
      </c>
      <c r="J2" s="71">
        <v>35</v>
      </c>
      <c r="K2" s="71">
        <v>91</v>
      </c>
      <c r="L2" s="71">
        <v>91</v>
      </c>
      <c r="M2" s="71">
        <v>7</v>
      </c>
      <c r="N2" s="71">
        <v>0</v>
      </c>
      <c r="O2" s="71">
        <v>0</v>
      </c>
      <c r="P2" s="71">
        <v>10</v>
      </c>
      <c r="Q2" s="71">
        <v>24</v>
      </c>
      <c r="R2" s="71">
        <v>148</v>
      </c>
      <c r="S2" s="71" t="s">
        <v>354</v>
      </c>
      <c r="T2" s="73">
        <v>38237</v>
      </c>
      <c r="U2" s="71" t="s">
        <v>3385</v>
      </c>
      <c r="V2" s="71" t="b">
        <v>0</v>
      </c>
    </row>
    <row r="3" spans="1:22" ht="17.25">
      <c r="A3" s="70">
        <v>2</v>
      </c>
      <c r="B3" s="70" t="s">
        <v>3349</v>
      </c>
      <c r="C3" s="70" t="s">
        <v>67</v>
      </c>
      <c r="D3" s="70" t="s">
        <v>3348</v>
      </c>
      <c r="E3" s="70" t="s">
        <v>65</v>
      </c>
      <c r="F3" s="71">
        <v>42</v>
      </c>
      <c r="G3" s="71">
        <v>1</v>
      </c>
      <c r="H3" s="72">
        <v>0.10972222222222222</v>
      </c>
      <c r="I3" s="71" t="b">
        <v>1</v>
      </c>
      <c r="J3" s="71">
        <v>64</v>
      </c>
      <c r="K3" s="71">
        <v>69</v>
      </c>
      <c r="L3" s="71">
        <v>90</v>
      </c>
      <c r="M3" s="71">
        <v>4</v>
      </c>
      <c r="N3" s="71">
        <v>1</v>
      </c>
      <c r="O3" s="71">
        <v>0</v>
      </c>
      <c r="P3" s="71">
        <v>7</v>
      </c>
      <c r="Q3" s="71">
        <v>15</v>
      </c>
      <c r="R3" s="71">
        <v>144</v>
      </c>
      <c r="S3" s="71" t="s">
        <v>48</v>
      </c>
      <c r="T3" s="73">
        <v>45730</v>
      </c>
      <c r="U3" s="71" t="s">
        <v>3386</v>
      </c>
      <c r="V3" s="71" t="b">
        <v>0</v>
      </c>
    </row>
    <row r="4" spans="1:22" ht="17.25">
      <c r="A4" s="70">
        <v>3</v>
      </c>
      <c r="B4" s="70" t="s">
        <v>3347</v>
      </c>
      <c r="C4" s="70" t="s">
        <v>54</v>
      </c>
      <c r="D4" s="70" t="s">
        <v>3346</v>
      </c>
      <c r="E4" s="70" t="s">
        <v>324</v>
      </c>
      <c r="F4" s="71">
        <v>15</v>
      </c>
      <c r="G4" s="71">
        <v>3</v>
      </c>
      <c r="H4" s="72" t="s">
        <v>4326</v>
      </c>
      <c r="I4" s="71" t="b">
        <v>0</v>
      </c>
      <c r="J4" s="71">
        <v>78</v>
      </c>
      <c r="K4" s="71">
        <v>66</v>
      </c>
      <c r="L4" s="71">
        <v>73</v>
      </c>
      <c r="M4" s="71">
        <v>8</v>
      </c>
      <c r="N4" s="71">
        <v>18</v>
      </c>
      <c r="O4" s="71">
        <v>0</v>
      </c>
      <c r="P4" s="71">
        <v>11</v>
      </c>
      <c r="Q4" s="71">
        <v>62</v>
      </c>
      <c r="R4" s="71">
        <v>100</v>
      </c>
      <c r="S4" s="71" t="s">
        <v>96</v>
      </c>
      <c r="T4" s="73" t="s">
        <v>4368</v>
      </c>
      <c r="U4" s="71" t="s">
        <v>3387</v>
      </c>
      <c r="V4" s="71" t="b">
        <v>0</v>
      </c>
    </row>
    <row r="5" spans="1:22" ht="17.25">
      <c r="A5" s="70">
        <v>4</v>
      </c>
      <c r="B5" s="70" t="s">
        <v>3345</v>
      </c>
      <c r="C5" s="70" t="s">
        <v>4446</v>
      </c>
      <c r="D5" s="70" t="s">
        <v>3344</v>
      </c>
      <c r="E5" s="70" t="s">
        <v>124</v>
      </c>
      <c r="F5" s="71">
        <v>3</v>
      </c>
      <c r="G5" s="71">
        <v>34</v>
      </c>
      <c r="H5" s="72">
        <v>0.13958333333333334</v>
      </c>
      <c r="I5" s="71" t="b">
        <v>1</v>
      </c>
      <c r="J5" s="71">
        <v>85</v>
      </c>
      <c r="K5" s="71">
        <v>82</v>
      </c>
      <c r="L5" s="71">
        <v>95</v>
      </c>
      <c r="M5" s="71">
        <v>10</v>
      </c>
      <c r="N5" s="71">
        <v>3</v>
      </c>
      <c r="O5" s="71">
        <v>0</v>
      </c>
      <c r="P5" s="71">
        <v>9</v>
      </c>
      <c r="Q5" s="71">
        <v>89</v>
      </c>
      <c r="R5" s="71">
        <v>108</v>
      </c>
      <c r="S5" s="71" t="s">
        <v>96</v>
      </c>
      <c r="T5" s="73">
        <v>45198</v>
      </c>
      <c r="U5" s="71" t="s">
        <v>3388</v>
      </c>
      <c r="V5" s="71" t="b">
        <v>0</v>
      </c>
    </row>
    <row r="6" spans="1:22" ht="17.25">
      <c r="A6" s="70">
        <v>4</v>
      </c>
      <c r="B6" s="70" t="s">
        <v>3345</v>
      </c>
      <c r="C6" s="70" t="s">
        <v>4405</v>
      </c>
      <c r="D6" s="70" t="s">
        <v>3344</v>
      </c>
      <c r="E6" s="70" t="s">
        <v>124</v>
      </c>
      <c r="F6" s="71">
        <v>3</v>
      </c>
      <c r="G6" s="71">
        <v>34</v>
      </c>
      <c r="H6" s="72">
        <v>0.13958333333333334</v>
      </c>
      <c r="I6" s="71" t="b">
        <v>1</v>
      </c>
      <c r="J6" s="71">
        <v>85</v>
      </c>
      <c r="K6" s="71">
        <v>82</v>
      </c>
      <c r="L6" s="71">
        <v>95</v>
      </c>
      <c r="M6" s="71">
        <v>10</v>
      </c>
      <c r="N6" s="71">
        <v>3</v>
      </c>
      <c r="O6" s="71">
        <v>0</v>
      </c>
      <c r="P6" s="71">
        <v>9</v>
      </c>
      <c r="Q6" s="71">
        <v>89</v>
      </c>
      <c r="R6" s="71">
        <v>108</v>
      </c>
      <c r="S6" s="71" t="s">
        <v>96</v>
      </c>
      <c r="T6" s="73">
        <v>45198</v>
      </c>
      <c r="U6" s="71" t="s">
        <v>3388</v>
      </c>
      <c r="V6" s="71" t="b">
        <v>0</v>
      </c>
    </row>
    <row r="7" spans="1:22" ht="17.25">
      <c r="A7" s="70">
        <v>5</v>
      </c>
      <c r="B7" s="70" t="s">
        <v>3343</v>
      </c>
      <c r="C7" s="70" t="s">
        <v>151</v>
      </c>
      <c r="D7" s="70" t="s">
        <v>96</v>
      </c>
      <c r="E7" s="70" t="s">
        <v>44</v>
      </c>
      <c r="F7" s="71">
        <v>24</v>
      </c>
      <c r="G7" s="71">
        <v>2</v>
      </c>
      <c r="H7" s="72">
        <v>0.12152777777777778</v>
      </c>
      <c r="I7" s="71" t="b">
        <v>0</v>
      </c>
      <c r="J7" s="71">
        <v>70</v>
      </c>
      <c r="K7" s="71">
        <v>80</v>
      </c>
      <c r="L7" s="71">
        <v>82</v>
      </c>
      <c r="M7" s="71">
        <v>7</v>
      </c>
      <c r="N7" s="71">
        <v>6</v>
      </c>
      <c r="O7" s="71">
        <v>0</v>
      </c>
      <c r="P7" s="71">
        <v>13</v>
      </c>
      <c r="Q7" s="71">
        <v>60</v>
      </c>
      <c r="R7" s="71">
        <v>124</v>
      </c>
      <c r="S7" s="71" t="s">
        <v>96</v>
      </c>
      <c r="T7" s="73">
        <v>45723</v>
      </c>
      <c r="U7" s="71" t="s">
        <v>3389</v>
      </c>
      <c r="V7" s="71" t="b">
        <v>0</v>
      </c>
    </row>
    <row r="8" spans="1:22" ht="17.25">
      <c r="A8" s="70">
        <v>6</v>
      </c>
      <c r="B8" s="70" t="s">
        <v>3342</v>
      </c>
      <c r="C8" s="70" t="s">
        <v>1063</v>
      </c>
      <c r="D8" s="70" t="s">
        <v>3341</v>
      </c>
      <c r="E8" s="70" t="s">
        <v>171</v>
      </c>
      <c r="F8" s="71">
        <v>71</v>
      </c>
      <c r="G8" s="71">
        <v>8</v>
      </c>
      <c r="H8" s="72" t="s">
        <v>4360</v>
      </c>
      <c r="I8" s="71" t="b">
        <v>0</v>
      </c>
      <c r="J8" s="71">
        <v>81</v>
      </c>
      <c r="K8" s="71">
        <v>67</v>
      </c>
      <c r="L8" s="71">
        <v>73</v>
      </c>
      <c r="M8" s="71">
        <v>8</v>
      </c>
      <c r="N8" s="71">
        <v>20</v>
      </c>
      <c r="O8" s="71">
        <v>0</v>
      </c>
      <c r="P8" s="71">
        <v>12</v>
      </c>
      <c r="Q8" s="71">
        <v>62</v>
      </c>
      <c r="R8" s="71">
        <v>124</v>
      </c>
      <c r="S8" s="71" t="s">
        <v>48</v>
      </c>
      <c r="T8" s="73" t="s">
        <v>4385</v>
      </c>
      <c r="U8" s="71" t="s">
        <v>3390</v>
      </c>
      <c r="V8" s="71" t="b">
        <v>0</v>
      </c>
    </row>
    <row r="9" spans="1:22" ht="17.25">
      <c r="A9" s="70">
        <v>6</v>
      </c>
      <c r="B9" s="70" t="s">
        <v>3342</v>
      </c>
      <c r="C9" s="70" t="s">
        <v>2061</v>
      </c>
      <c r="D9" s="70" t="s">
        <v>3341</v>
      </c>
      <c r="E9" s="70" t="s">
        <v>171</v>
      </c>
      <c r="F9" s="71">
        <v>71</v>
      </c>
      <c r="G9" s="71">
        <v>8</v>
      </c>
      <c r="H9" s="72" t="s">
        <v>4360</v>
      </c>
      <c r="I9" s="71" t="b">
        <v>0</v>
      </c>
      <c r="J9" s="71">
        <v>81</v>
      </c>
      <c r="K9" s="71">
        <v>67</v>
      </c>
      <c r="L9" s="71">
        <v>73</v>
      </c>
      <c r="M9" s="71">
        <v>8</v>
      </c>
      <c r="N9" s="71">
        <v>20</v>
      </c>
      <c r="O9" s="71">
        <v>0</v>
      </c>
      <c r="P9" s="71">
        <v>12</v>
      </c>
      <c r="Q9" s="71">
        <v>62</v>
      </c>
      <c r="R9" s="71">
        <v>124</v>
      </c>
      <c r="S9" s="71" t="s">
        <v>48</v>
      </c>
      <c r="T9" s="73" t="s">
        <v>4385</v>
      </c>
      <c r="U9" s="71" t="s">
        <v>3390</v>
      </c>
      <c r="V9" s="71" t="b">
        <v>0</v>
      </c>
    </row>
    <row r="10" spans="1:22" ht="17.25">
      <c r="A10" s="70">
        <v>6</v>
      </c>
      <c r="B10" s="70" t="s">
        <v>3342</v>
      </c>
      <c r="C10" s="70" t="s">
        <v>4555</v>
      </c>
      <c r="D10" s="70" t="s">
        <v>3341</v>
      </c>
      <c r="E10" s="70" t="s">
        <v>171</v>
      </c>
      <c r="F10" s="71">
        <v>71</v>
      </c>
      <c r="G10" s="71">
        <v>8</v>
      </c>
      <c r="H10" s="72" t="s">
        <v>4360</v>
      </c>
      <c r="I10" s="71" t="b">
        <v>0</v>
      </c>
      <c r="J10" s="71">
        <v>81</v>
      </c>
      <c r="K10" s="71">
        <v>67</v>
      </c>
      <c r="L10" s="71">
        <v>73</v>
      </c>
      <c r="M10" s="71">
        <v>8</v>
      </c>
      <c r="N10" s="71">
        <v>20</v>
      </c>
      <c r="O10" s="71">
        <v>0</v>
      </c>
      <c r="P10" s="71">
        <v>12</v>
      </c>
      <c r="Q10" s="71">
        <v>62</v>
      </c>
      <c r="R10" s="71">
        <v>124</v>
      </c>
      <c r="S10" s="71" t="s">
        <v>48</v>
      </c>
      <c r="T10" s="73" t="s">
        <v>4385</v>
      </c>
      <c r="U10" s="71" t="s">
        <v>3390</v>
      </c>
      <c r="V10" s="71" t="b">
        <v>0</v>
      </c>
    </row>
    <row r="11" spans="1:22" ht="17.25">
      <c r="A11" s="70">
        <v>7</v>
      </c>
      <c r="B11" s="70" t="s">
        <v>3340</v>
      </c>
      <c r="C11" s="70" t="s">
        <v>467</v>
      </c>
      <c r="D11" s="70" t="s">
        <v>666</v>
      </c>
      <c r="E11" s="70" t="s">
        <v>104</v>
      </c>
      <c r="F11" s="71">
        <v>29</v>
      </c>
      <c r="G11" s="71">
        <v>5</v>
      </c>
      <c r="H11" s="72" t="s">
        <v>4369</v>
      </c>
      <c r="I11" s="71" t="b">
        <v>0</v>
      </c>
      <c r="J11" s="71">
        <v>68</v>
      </c>
      <c r="K11" s="71">
        <v>54</v>
      </c>
      <c r="L11" s="71">
        <v>71</v>
      </c>
      <c r="M11" s="71">
        <v>5</v>
      </c>
      <c r="N11" s="71">
        <v>44</v>
      </c>
      <c r="O11" s="71">
        <v>0</v>
      </c>
      <c r="P11" s="71">
        <v>12</v>
      </c>
      <c r="Q11" s="71">
        <v>45</v>
      </c>
      <c r="R11" s="71">
        <v>108</v>
      </c>
      <c r="S11" s="71" t="s">
        <v>96</v>
      </c>
      <c r="T11" s="73" t="s">
        <v>4376</v>
      </c>
      <c r="U11" s="71" t="s">
        <v>3391</v>
      </c>
      <c r="V11" s="71" t="b">
        <v>0</v>
      </c>
    </row>
    <row r="12" spans="1:22" ht="17.25">
      <c r="A12" s="70">
        <v>8</v>
      </c>
      <c r="B12" s="70" t="s">
        <v>3339</v>
      </c>
      <c r="C12" s="70" t="s">
        <v>705</v>
      </c>
      <c r="D12" s="70" t="s">
        <v>3338</v>
      </c>
      <c r="E12" s="70" t="s">
        <v>2716</v>
      </c>
      <c r="F12" s="71">
        <v>192</v>
      </c>
      <c r="G12" s="71">
        <v>3</v>
      </c>
      <c r="H12" s="72">
        <v>0.14444444444444443</v>
      </c>
      <c r="I12" s="71" t="b">
        <v>0</v>
      </c>
      <c r="J12" s="71">
        <v>76</v>
      </c>
      <c r="K12" s="71">
        <v>69</v>
      </c>
      <c r="L12" s="71">
        <v>93</v>
      </c>
      <c r="M12" s="71">
        <v>4</v>
      </c>
      <c r="N12" s="71">
        <v>11</v>
      </c>
      <c r="O12" s="71">
        <v>0</v>
      </c>
      <c r="P12" s="71">
        <v>9</v>
      </c>
      <c r="Q12" s="71">
        <v>40</v>
      </c>
      <c r="R12" s="71">
        <v>115</v>
      </c>
      <c r="S12" s="71" t="s">
        <v>96</v>
      </c>
      <c r="T12" s="73">
        <v>39630</v>
      </c>
      <c r="U12" s="71" t="s">
        <v>3392</v>
      </c>
      <c r="V12" s="71" t="b">
        <v>0</v>
      </c>
    </row>
    <row r="13" spans="1:22" ht="17.25">
      <c r="A13" s="70">
        <v>9</v>
      </c>
      <c r="B13" s="70" t="s">
        <v>3337</v>
      </c>
      <c r="C13" s="70" t="s">
        <v>221</v>
      </c>
      <c r="D13" s="70" t="s">
        <v>866</v>
      </c>
      <c r="E13" s="70" t="s">
        <v>3336</v>
      </c>
      <c r="F13" s="71">
        <v>105</v>
      </c>
      <c r="G13" s="71">
        <v>7</v>
      </c>
      <c r="H13" s="72">
        <v>0.14027777777777778</v>
      </c>
      <c r="I13" s="71" t="b">
        <v>0</v>
      </c>
      <c r="J13" s="71">
        <v>65</v>
      </c>
      <c r="K13" s="71">
        <v>50</v>
      </c>
      <c r="L13" s="71">
        <v>89</v>
      </c>
      <c r="M13" s="71">
        <v>3</v>
      </c>
      <c r="N13" s="71">
        <v>68</v>
      </c>
      <c r="O13" s="71">
        <v>0</v>
      </c>
      <c r="P13" s="71">
        <v>15</v>
      </c>
      <c r="Q13" s="71">
        <v>44</v>
      </c>
      <c r="R13" s="71">
        <v>146</v>
      </c>
      <c r="S13" s="71" t="s">
        <v>143</v>
      </c>
      <c r="T13" s="73">
        <v>45737</v>
      </c>
      <c r="U13" s="71" t="s">
        <v>3393</v>
      </c>
      <c r="V13" s="71" t="b">
        <v>0</v>
      </c>
    </row>
    <row r="14" spans="1:22" ht="17.25">
      <c r="A14" s="70">
        <v>10</v>
      </c>
      <c r="B14" s="70" t="s">
        <v>3335</v>
      </c>
      <c r="C14" s="70" t="s">
        <v>4556</v>
      </c>
      <c r="D14" s="70" t="s">
        <v>3334</v>
      </c>
      <c r="E14" s="70" t="s">
        <v>924</v>
      </c>
      <c r="F14" s="71">
        <v>4</v>
      </c>
      <c r="G14" s="71">
        <v>33</v>
      </c>
      <c r="H14" s="72" t="s">
        <v>4315</v>
      </c>
      <c r="I14" s="71" t="b">
        <v>0</v>
      </c>
      <c r="J14" s="71">
        <v>78</v>
      </c>
      <c r="K14" s="71">
        <v>75</v>
      </c>
      <c r="L14" s="71">
        <v>74</v>
      </c>
      <c r="M14" s="71">
        <v>8</v>
      </c>
      <c r="N14" s="71">
        <v>16</v>
      </c>
      <c r="O14" s="71">
        <v>0</v>
      </c>
      <c r="P14" s="71">
        <v>12</v>
      </c>
      <c r="Q14" s="71">
        <v>70</v>
      </c>
      <c r="R14" s="71">
        <v>122</v>
      </c>
      <c r="S14" s="71" t="s">
        <v>115</v>
      </c>
      <c r="T14" s="73" t="s">
        <v>4386</v>
      </c>
      <c r="U14" s="71" t="s">
        <v>3394</v>
      </c>
      <c r="V14" s="71" t="b">
        <v>0</v>
      </c>
    </row>
    <row r="15" spans="1:22" ht="17.25">
      <c r="A15" s="70">
        <v>10</v>
      </c>
      <c r="B15" s="70" t="s">
        <v>3335</v>
      </c>
      <c r="C15" s="70" t="s">
        <v>4558</v>
      </c>
      <c r="D15" s="70" t="s">
        <v>3334</v>
      </c>
      <c r="E15" s="70" t="s">
        <v>924</v>
      </c>
      <c r="F15" s="71">
        <v>4</v>
      </c>
      <c r="G15" s="71">
        <v>33</v>
      </c>
      <c r="H15" s="72" t="s">
        <v>4315</v>
      </c>
      <c r="I15" s="71" t="b">
        <v>0</v>
      </c>
      <c r="J15" s="71">
        <v>78</v>
      </c>
      <c r="K15" s="71">
        <v>75</v>
      </c>
      <c r="L15" s="71">
        <v>74</v>
      </c>
      <c r="M15" s="71">
        <v>8</v>
      </c>
      <c r="N15" s="71">
        <v>16</v>
      </c>
      <c r="O15" s="71">
        <v>0</v>
      </c>
      <c r="P15" s="71">
        <v>12</v>
      </c>
      <c r="Q15" s="71">
        <v>70</v>
      </c>
      <c r="R15" s="71">
        <v>122</v>
      </c>
      <c r="S15" s="71" t="s">
        <v>115</v>
      </c>
      <c r="T15" s="73" t="s">
        <v>4386</v>
      </c>
      <c r="U15" s="71" t="s">
        <v>3394</v>
      </c>
      <c r="V15" s="71" t="b">
        <v>0</v>
      </c>
    </row>
    <row r="16" spans="1:22" ht="17.25">
      <c r="A16" s="70">
        <v>10</v>
      </c>
      <c r="B16" s="70" t="s">
        <v>3335</v>
      </c>
      <c r="C16" s="70" t="s">
        <v>4559</v>
      </c>
      <c r="D16" s="70" t="s">
        <v>3334</v>
      </c>
      <c r="E16" s="70" t="s">
        <v>924</v>
      </c>
      <c r="F16" s="71">
        <v>4</v>
      </c>
      <c r="G16" s="71">
        <v>33</v>
      </c>
      <c r="H16" s="72" t="s">
        <v>4315</v>
      </c>
      <c r="I16" s="71" t="b">
        <v>0</v>
      </c>
      <c r="J16" s="71">
        <v>78</v>
      </c>
      <c r="K16" s="71">
        <v>75</v>
      </c>
      <c r="L16" s="71">
        <v>74</v>
      </c>
      <c r="M16" s="71">
        <v>8</v>
      </c>
      <c r="N16" s="71">
        <v>16</v>
      </c>
      <c r="O16" s="71">
        <v>0</v>
      </c>
      <c r="P16" s="71">
        <v>12</v>
      </c>
      <c r="Q16" s="71">
        <v>70</v>
      </c>
      <c r="R16" s="71">
        <v>122</v>
      </c>
      <c r="S16" s="71" t="s">
        <v>115</v>
      </c>
      <c r="T16" s="73" t="s">
        <v>4386</v>
      </c>
      <c r="U16" s="71" t="s">
        <v>3394</v>
      </c>
      <c r="V16" s="71" t="b">
        <v>0</v>
      </c>
    </row>
    <row r="17" spans="1:22" ht="17.25">
      <c r="A17" s="70">
        <v>10</v>
      </c>
      <c r="B17" s="70" t="s">
        <v>3335</v>
      </c>
      <c r="C17" s="70" t="s">
        <v>4561</v>
      </c>
      <c r="D17" s="70" t="s">
        <v>3334</v>
      </c>
      <c r="E17" s="70" t="s">
        <v>924</v>
      </c>
      <c r="F17" s="71">
        <v>4</v>
      </c>
      <c r="G17" s="71">
        <v>33</v>
      </c>
      <c r="H17" s="72" t="s">
        <v>4315</v>
      </c>
      <c r="I17" s="71" t="b">
        <v>0</v>
      </c>
      <c r="J17" s="71">
        <v>78</v>
      </c>
      <c r="K17" s="71">
        <v>75</v>
      </c>
      <c r="L17" s="71">
        <v>74</v>
      </c>
      <c r="M17" s="71">
        <v>8</v>
      </c>
      <c r="N17" s="71">
        <v>16</v>
      </c>
      <c r="O17" s="71">
        <v>0</v>
      </c>
      <c r="P17" s="71">
        <v>12</v>
      </c>
      <c r="Q17" s="71">
        <v>70</v>
      </c>
      <c r="R17" s="71">
        <v>122</v>
      </c>
      <c r="S17" s="71" t="s">
        <v>115</v>
      </c>
      <c r="T17" s="73" t="s">
        <v>4386</v>
      </c>
      <c r="U17" s="71" t="s">
        <v>3394</v>
      </c>
      <c r="V17" s="71" t="b">
        <v>0</v>
      </c>
    </row>
    <row r="18" spans="1:22" ht="17.25">
      <c r="A18" s="70">
        <v>10</v>
      </c>
      <c r="B18" s="70" t="s">
        <v>3335</v>
      </c>
      <c r="C18" s="70" t="s">
        <v>4557</v>
      </c>
      <c r="D18" s="70" t="s">
        <v>3334</v>
      </c>
      <c r="E18" s="70" t="s">
        <v>924</v>
      </c>
      <c r="F18" s="71">
        <v>4</v>
      </c>
      <c r="G18" s="71">
        <v>33</v>
      </c>
      <c r="H18" s="72" t="s">
        <v>4315</v>
      </c>
      <c r="I18" s="71" t="b">
        <v>0</v>
      </c>
      <c r="J18" s="71">
        <v>78</v>
      </c>
      <c r="K18" s="71">
        <v>75</v>
      </c>
      <c r="L18" s="71">
        <v>74</v>
      </c>
      <c r="M18" s="71">
        <v>8</v>
      </c>
      <c r="N18" s="71">
        <v>16</v>
      </c>
      <c r="O18" s="71">
        <v>0</v>
      </c>
      <c r="P18" s="71">
        <v>12</v>
      </c>
      <c r="Q18" s="71">
        <v>70</v>
      </c>
      <c r="R18" s="71">
        <v>122</v>
      </c>
      <c r="S18" s="71" t="s">
        <v>115</v>
      </c>
      <c r="T18" s="73" t="s">
        <v>4386</v>
      </c>
      <c r="U18" s="71" t="s">
        <v>3394</v>
      </c>
      <c r="V18" s="71" t="b">
        <v>0</v>
      </c>
    </row>
    <row r="19" spans="1:22" ht="17.25">
      <c r="A19" s="70">
        <v>10</v>
      </c>
      <c r="B19" s="70" t="s">
        <v>3335</v>
      </c>
      <c r="C19" s="70" t="s">
        <v>4406</v>
      </c>
      <c r="D19" s="70" t="s">
        <v>3334</v>
      </c>
      <c r="E19" s="70" t="s">
        <v>924</v>
      </c>
      <c r="F19" s="71">
        <v>4</v>
      </c>
      <c r="G19" s="71">
        <v>33</v>
      </c>
      <c r="H19" s="72" t="s">
        <v>4315</v>
      </c>
      <c r="I19" s="71" t="b">
        <v>0</v>
      </c>
      <c r="J19" s="71">
        <v>78</v>
      </c>
      <c r="K19" s="71">
        <v>75</v>
      </c>
      <c r="L19" s="71">
        <v>74</v>
      </c>
      <c r="M19" s="71">
        <v>8</v>
      </c>
      <c r="N19" s="71">
        <v>16</v>
      </c>
      <c r="O19" s="71">
        <v>0</v>
      </c>
      <c r="P19" s="71">
        <v>12</v>
      </c>
      <c r="Q19" s="71">
        <v>70</v>
      </c>
      <c r="R19" s="71">
        <v>122</v>
      </c>
      <c r="S19" s="71" t="s">
        <v>115</v>
      </c>
      <c r="T19" s="73" t="s">
        <v>4386</v>
      </c>
      <c r="U19" s="71" t="s">
        <v>3394</v>
      </c>
      <c r="V19" s="71" t="b">
        <v>0</v>
      </c>
    </row>
    <row r="20" spans="1:22" ht="17.25">
      <c r="A20" s="70">
        <v>10</v>
      </c>
      <c r="B20" s="70" t="s">
        <v>3335</v>
      </c>
      <c r="C20" s="70" t="s">
        <v>4560</v>
      </c>
      <c r="D20" s="70" t="s">
        <v>3334</v>
      </c>
      <c r="E20" s="70" t="s">
        <v>924</v>
      </c>
      <c r="F20" s="71">
        <v>4</v>
      </c>
      <c r="G20" s="71">
        <v>33</v>
      </c>
      <c r="H20" s="72" t="s">
        <v>4315</v>
      </c>
      <c r="I20" s="71" t="b">
        <v>0</v>
      </c>
      <c r="J20" s="71">
        <v>78</v>
      </c>
      <c r="K20" s="71">
        <v>75</v>
      </c>
      <c r="L20" s="71">
        <v>74</v>
      </c>
      <c r="M20" s="71">
        <v>8</v>
      </c>
      <c r="N20" s="71">
        <v>16</v>
      </c>
      <c r="O20" s="71">
        <v>0</v>
      </c>
      <c r="P20" s="71">
        <v>12</v>
      </c>
      <c r="Q20" s="71">
        <v>70</v>
      </c>
      <c r="R20" s="71">
        <v>122</v>
      </c>
      <c r="S20" s="71" t="s">
        <v>115</v>
      </c>
      <c r="T20" s="73" t="s">
        <v>4386</v>
      </c>
      <c r="U20" s="71" t="s">
        <v>3394</v>
      </c>
      <c r="V20" s="71" t="b">
        <v>0</v>
      </c>
    </row>
    <row r="21" spans="1:22" ht="17.25">
      <c r="A21" s="70">
        <v>11</v>
      </c>
      <c r="B21" s="70" t="s">
        <v>3333</v>
      </c>
      <c r="C21" s="70" t="s">
        <v>1063</v>
      </c>
      <c r="D21" s="70" t="s">
        <v>2851</v>
      </c>
      <c r="E21" s="70" t="s">
        <v>1061</v>
      </c>
      <c r="F21" s="71">
        <v>36</v>
      </c>
      <c r="G21" s="71">
        <v>5</v>
      </c>
      <c r="H21" s="72" t="s">
        <v>4317</v>
      </c>
      <c r="I21" s="71" t="b">
        <v>0</v>
      </c>
      <c r="J21" s="71">
        <v>78</v>
      </c>
      <c r="K21" s="71">
        <v>63</v>
      </c>
      <c r="L21" s="71">
        <v>72</v>
      </c>
      <c r="M21" s="71">
        <v>11</v>
      </c>
      <c r="N21" s="71">
        <v>21</v>
      </c>
      <c r="O21" s="71">
        <v>0</v>
      </c>
      <c r="P21" s="71">
        <v>12</v>
      </c>
      <c r="Q21" s="71">
        <v>65</v>
      </c>
      <c r="R21" s="71">
        <v>116</v>
      </c>
      <c r="S21" s="71" t="s">
        <v>96</v>
      </c>
      <c r="T21" s="73" t="s">
        <v>4366</v>
      </c>
      <c r="U21" s="71" t="s">
        <v>3395</v>
      </c>
      <c r="V21" s="71" t="b">
        <v>0</v>
      </c>
    </row>
    <row r="22" spans="1:22" ht="17.25">
      <c r="A22" s="70">
        <v>12</v>
      </c>
      <c r="B22" s="70" t="s">
        <v>3332</v>
      </c>
      <c r="C22" s="70" t="s">
        <v>2061</v>
      </c>
      <c r="D22" s="70" t="s">
        <v>3331</v>
      </c>
      <c r="E22" s="70" t="s">
        <v>1485</v>
      </c>
      <c r="F22" s="71">
        <v>67</v>
      </c>
      <c r="G22" s="71">
        <v>1</v>
      </c>
      <c r="H22" s="72" t="s">
        <v>4387</v>
      </c>
      <c r="I22" s="71" t="b">
        <v>1</v>
      </c>
      <c r="J22" s="71">
        <v>78</v>
      </c>
      <c r="K22" s="71">
        <v>65</v>
      </c>
      <c r="L22" s="71">
        <v>72</v>
      </c>
      <c r="M22" s="71">
        <v>7</v>
      </c>
      <c r="N22" s="71">
        <v>21</v>
      </c>
      <c r="O22" s="71">
        <v>0</v>
      </c>
      <c r="P22" s="71">
        <v>12</v>
      </c>
      <c r="Q22" s="71">
        <v>57</v>
      </c>
      <c r="R22" s="71">
        <v>130</v>
      </c>
      <c r="S22" s="71" t="s">
        <v>48</v>
      </c>
      <c r="T22" s="73" t="s">
        <v>4388</v>
      </c>
      <c r="U22" s="71" t="s">
        <v>3396</v>
      </c>
      <c r="V22" s="71" t="b">
        <v>0</v>
      </c>
    </row>
    <row r="23" spans="1:22" ht="17.25">
      <c r="A23" s="70">
        <v>13</v>
      </c>
      <c r="B23" s="70" t="s">
        <v>3330</v>
      </c>
      <c r="C23" s="70" t="s">
        <v>97</v>
      </c>
      <c r="D23" s="70" t="s">
        <v>3329</v>
      </c>
      <c r="E23" s="70" t="s">
        <v>97</v>
      </c>
      <c r="F23" s="71">
        <v>4</v>
      </c>
      <c r="G23" s="71">
        <v>8</v>
      </c>
      <c r="H23" s="72" t="s">
        <v>4334</v>
      </c>
      <c r="I23" s="71" t="b">
        <v>0</v>
      </c>
      <c r="J23" s="71">
        <v>65</v>
      </c>
      <c r="K23" s="71">
        <v>52</v>
      </c>
      <c r="L23" s="71">
        <v>72</v>
      </c>
      <c r="M23" s="71">
        <v>4</v>
      </c>
      <c r="N23" s="71">
        <v>48</v>
      </c>
      <c r="O23" s="71">
        <v>0</v>
      </c>
      <c r="P23" s="71">
        <v>13</v>
      </c>
      <c r="Q23" s="71">
        <v>42</v>
      </c>
      <c r="R23" s="71">
        <v>96</v>
      </c>
      <c r="S23" s="71" t="s">
        <v>96</v>
      </c>
      <c r="T23" s="73" t="s">
        <v>4364</v>
      </c>
      <c r="U23" s="71" t="s">
        <v>3397</v>
      </c>
      <c r="V23" s="71" t="b">
        <v>0</v>
      </c>
    </row>
    <row r="24" spans="1:22" ht="17.25">
      <c r="A24" s="70">
        <v>14</v>
      </c>
      <c r="B24" s="70" t="s">
        <v>3328</v>
      </c>
      <c r="C24" s="70" t="s">
        <v>1026</v>
      </c>
      <c r="D24" s="70" t="s">
        <v>3327</v>
      </c>
      <c r="E24" s="70" t="s">
        <v>579</v>
      </c>
      <c r="F24" s="71">
        <v>17</v>
      </c>
      <c r="G24" s="71">
        <v>53</v>
      </c>
      <c r="H24" s="72">
        <v>0.14722222222222223</v>
      </c>
      <c r="I24" s="71" t="b">
        <v>0</v>
      </c>
      <c r="J24" s="71">
        <v>56</v>
      </c>
      <c r="K24" s="71">
        <v>58</v>
      </c>
      <c r="L24" s="71">
        <v>87</v>
      </c>
      <c r="M24" s="71">
        <v>3</v>
      </c>
      <c r="N24" s="71">
        <v>64</v>
      </c>
      <c r="O24" s="71">
        <v>0</v>
      </c>
      <c r="P24" s="71">
        <v>10</v>
      </c>
      <c r="Q24" s="71">
        <v>33</v>
      </c>
      <c r="R24" s="71">
        <v>89</v>
      </c>
      <c r="S24" s="71" t="s">
        <v>26</v>
      </c>
      <c r="T24" s="73">
        <v>45344</v>
      </c>
      <c r="U24" s="71" t="s">
        <v>3398</v>
      </c>
      <c r="V24" s="71" t="b">
        <v>0</v>
      </c>
    </row>
    <row r="25" spans="1:22" ht="17.25">
      <c r="A25" s="70">
        <v>15</v>
      </c>
      <c r="B25" s="70" t="s">
        <v>3326</v>
      </c>
      <c r="C25" s="70" t="s">
        <v>2333</v>
      </c>
      <c r="D25" s="70" t="s">
        <v>2332</v>
      </c>
      <c r="E25" s="70" t="s">
        <v>2331</v>
      </c>
      <c r="F25" s="71">
        <v>56</v>
      </c>
      <c r="G25" s="71">
        <v>101</v>
      </c>
      <c r="H25" s="72">
        <v>0.15694444444444444</v>
      </c>
      <c r="I25" s="71" t="b">
        <v>0</v>
      </c>
      <c r="J25" s="71">
        <v>57</v>
      </c>
      <c r="K25" s="71">
        <v>90</v>
      </c>
      <c r="L25" s="71">
        <v>87</v>
      </c>
      <c r="M25" s="71">
        <v>5</v>
      </c>
      <c r="N25" s="71">
        <v>2</v>
      </c>
      <c r="O25" s="71">
        <v>0</v>
      </c>
      <c r="P25" s="71">
        <v>9</v>
      </c>
      <c r="Q25" s="71">
        <v>88</v>
      </c>
      <c r="R25" s="71">
        <v>84</v>
      </c>
      <c r="S25" s="71" t="s">
        <v>2330</v>
      </c>
      <c r="T25" s="73">
        <v>31306</v>
      </c>
      <c r="U25" s="71" t="s">
        <v>3399</v>
      </c>
      <c r="V25" s="71" t="b">
        <v>0</v>
      </c>
    </row>
    <row r="26" spans="1:22" ht="17.25">
      <c r="A26" s="70">
        <v>16</v>
      </c>
      <c r="B26" s="70" t="s">
        <v>3325</v>
      </c>
      <c r="C26" s="70" t="s">
        <v>446</v>
      </c>
      <c r="D26" s="70" t="s">
        <v>3324</v>
      </c>
      <c r="E26" s="70" t="s">
        <v>444</v>
      </c>
      <c r="F26" s="71">
        <v>106</v>
      </c>
      <c r="G26" s="71">
        <v>2</v>
      </c>
      <c r="H26" s="72" t="s">
        <v>4377</v>
      </c>
      <c r="I26" s="71" t="b">
        <v>1</v>
      </c>
      <c r="J26" s="71">
        <v>82</v>
      </c>
      <c r="K26" s="71">
        <v>74</v>
      </c>
      <c r="L26" s="71">
        <v>74</v>
      </c>
      <c r="M26" s="71">
        <v>8</v>
      </c>
      <c r="N26" s="71">
        <v>18</v>
      </c>
      <c r="O26" s="71">
        <v>0</v>
      </c>
      <c r="P26" s="71">
        <v>12</v>
      </c>
      <c r="Q26" s="71">
        <v>80</v>
      </c>
      <c r="R26" s="71">
        <v>124</v>
      </c>
      <c r="S26" s="71" t="s">
        <v>128</v>
      </c>
      <c r="T26" s="73" t="s">
        <v>4378</v>
      </c>
      <c r="U26" s="71" t="s">
        <v>3400</v>
      </c>
      <c r="V26" s="71" t="b">
        <v>0</v>
      </c>
    </row>
    <row r="27" spans="1:22" ht="17.25">
      <c r="A27" s="70">
        <v>17</v>
      </c>
      <c r="B27" s="70" t="s">
        <v>3323</v>
      </c>
      <c r="C27" s="70" t="s">
        <v>221</v>
      </c>
      <c r="D27" s="70" t="s">
        <v>3322</v>
      </c>
      <c r="E27" s="70" t="s">
        <v>219</v>
      </c>
      <c r="F27" s="71">
        <v>19</v>
      </c>
      <c r="G27" s="71">
        <v>19</v>
      </c>
      <c r="H27" s="72" t="s">
        <v>4393</v>
      </c>
      <c r="I27" s="71" t="b">
        <v>0</v>
      </c>
      <c r="J27" s="71">
        <v>72</v>
      </c>
      <c r="K27" s="71">
        <v>64</v>
      </c>
      <c r="L27" s="71">
        <v>72</v>
      </c>
      <c r="M27" s="71">
        <v>5</v>
      </c>
      <c r="N27" s="71">
        <v>28</v>
      </c>
      <c r="O27" s="71">
        <v>0</v>
      </c>
      <c r="P27" s="71">
        <v>12</v>
      </c>
      <c r="Q27" s="71">
        <v>55</v>
      </c>
      <c r="R27" s="71">
        <v>124</v>
      </c>
      <c r="S27" s="71" t="s">
        <v>143</v>
      </c>
      <c r="T27" s="73" t="s">
        <v>4394</v>
      </c>
      <c r="U27" s="71" t="s">
        <v>3401</v>
      </c>
      <c r="V27" s="71" t="b">
        <v>0</v>
      </c>
    </row>
    <row r="28" spans="1:22" ht="17.25">
      <c r="A28" s="70">
        <v>17</v>
      </c>
      <c r="B28" s="70" t="s">
        <v>3323</v>
      </c>
      <c r="C28" s="70" t="s">
        <v>383</v>
      </c>
      <c r="D28" s="70" t="s">
        <v>3322</v>
      </c>
      <c r="E28" s="70" t="s">
        <v>219</v>
      </c>
      <c r="F28" s="71">
        <v>19</v>
      </c>
      <c r="G28" s="71">
        <v>19</v>
      </c>
      <c r="H28" s="72" t="s">
        <v>4393</v>
      </c>
      <c r="I28" s="71" t="b">
        <v>0</v>
      </c>
      <c r="J28" s="71">
        <v>72</v>
      </c>
      <c r="K28" s="71">
        <v>64</v>
      </c>
      <c r="L28" s="71">
        <v>72</v>
      </c>
      <c r="M28" s="71">
        <v>5</v>
      </c>
      <c r="N28" s="71">
        <v>28</v>
      </c>
      <c r="O28" s="71">
        <v>0</v>
      </c>
      <c r="P28" s="71">
        <v>12</v>
      </c>
      <c r="Q28" s="71">
        <v>55</v>
      </c>
      <c r="R28" s="71">
        <v>124</v>
      </c>
      <c r="S28" s="71" t="s">
        <v>143</v>
      </c>
      <c r="T28" s="73" t="s">
        <v>4394</v>
      </c>
      <c r="U28" s="71" t="s">
        <v>3401</v>
      </c>
      <c r="V28" s="71" t="b">
        <v>0</v>
      </c>
    </row>
    <row r="29" spans="1:22" ht="17.25">
      <c r="A29" s="70">
        <v>18</v>
      </c>
      <c r="B29" s="70" t="s">
        <v>3321</v>
      </c>
      <c r="C29" s="70" t="s">
        <v>1042</v>
      </c>
      <c r="D29" s="70" t="s">
        <v>3320</v>
      </c>
      <c r="E29" s="70" t="s">
        <v>92</v>
      </c>
      <c r="F29" s="71">
        <v>46</v>
      </c>
      <c r="G29" s="71">
        <v>9</v>
      </c>
      <c r="H29" s="72">
        <v>0.12222222222222222</v>
      </c>
      <c r="I29" s="71" t="b">
        <v>0</v>
      </c>
      <c r="J29" s="71">
        <v>55</v>
      </c>
      <c r="K29" s="71">
        <v>50</v>
      </c>
      <c r="L29" s="71">
        <v>72</v>
      </c>
      <c r="M29" s="71">
        <v>4</v>
      </c>
      <c r="N29" s="71">
        <v>60</v>
      </c>
      <c r="O29" s="71">
        <v>0</v>
      </c>
      <c r="P29" s="71">
        <v>18</v>
      </c>
      <c r="Q29" s="71">
        <v>75</v>
      </c>
      <c r="R29" s="71">
        <v>120</v>
      </c>
      <c r="S29" s="71" t="s">
        <v>29</v>
      </c>
      <c r="T29" s="73">
        <v>18264</v>
      </c>
      <c r="U29" s="71" t="s">
        <v>3402</v>
      </c>
      <c r="V29" s="71" t="b">
        <v>1</v>
      </c>
    </row>
    <row r="30" spans="1:22" ht="17.25">
      <c r="A30" s="70">
        <v>18</v>
      </c>
      <c r="B30" s="70" t="s">
        <v>3321</v>
      </c>
      <c r="C30" s="70" t="s">
        <v>4562</v>
      </c>
      <c r="D30" s="70" t="s">
        <v>3320</v>
      </c>
      <c r="E30" s="70" t="s">
        <v>92</v>
      </c>
      <c r="F30" s="71">
        <v>46</v>
      </c>
      <c r="G30" s="71">
        <v>9</v>
      </c>
      <c r="H30" s="72">
        <v>0.12222222222222222</v>
      </c>
      <c r="I30" s="71" t="b">
        <v>0</v>
      </c>
      <c r="J30" s="71">
        <v>55</v>
      </c>
      <c r="K30" s="71">
        <v>50</v>
      </c>
      <c r="L30" s="71">
        <v>72</v>
      </c>
      <c r="M30" s="71">
        <v>4</v>
      </c>
      <c r="N30" s="71">
        <v>60</v>
      </c>
      <c r="O30" s="71">
        <v>0</v>
      </c>
      <c r="P30" s="71">
        <v>18</v>
      </c>
      <c r="Q30" s="71">
        <v>75</v>
      </c>
      <c r="R30" s="71">
        <v>120</v>
      </c>
      <c r="S30" s="71" t="s">
        <v>29</v>
      </c>
      <c r="T30" s="73">
        <v>18264</v>
      </c>
      <c r="U30" s="71" t="s">
        <v>3402</v>
      </c>
      <c r="V30" s="71" t="b">
        <v>1</v>
      </c>
    </row>
    <row r="31" spans="1:22" ht="17.25">
      <c r="A31" s="70">
        <v>19</v>
      </c>
      <c r="B31" s="70" t="s">
        <v>3319</v>
      </c>
      <c r="C31" s="70" t="s">
        <v>122</v>
      </c>
      <c r="D31" s="70" t="s">
        <v>709</v>
      </c>
      <c r="E31" s="70" t="s">
        <v>120</v>
      </c>
      <c r="F31" s="71">
        <v>14</v>
      </c>
      <c r="G31" s="71">
        <v>62</v>
      </c>
      <c r="H31" s="72">
        <v>0.13333333333333333</v>
      </c>
      <c r="I31" s="71" t="b">
        <v>0</v>
      </c>
      <c r="J31" s="71">
        <v>62</v>
      </c>
      <c r="K31" s="71">
        <v>60</v>
      </c>
      <c r="L31" s="71">
        <v>75</v>
      </c>
      <c r="M31" s="71">
        <v>5</v>
      </c>
      <c r="N31" s="71">
        <v>40</v>
      </c>
      <c r="O31" s="71">
        <v>0</v>
      </c>
      <c r="P31" s="71">
        <v>10</v>
      </c>
      <c r="Q31" s="71">
        <v>42</v>
      </c>
      <c r="R31" s="71">
        <v>88</v>
      </c>
      <c r="S31" s="71" t="s">
        <v>74</v>
      </c>
      <c r="T31" s="73">
        <v>45583</v>
      </c>
      <c r="U31" s="71" t="s">
        <v>3403</v>
      </c>
      <c r="V31" s="71" t="b">
        <v>0</v>
      </c>
    </row>
    <row r="32" spans="1:22" ht="17.25">
      <c r="A32" s="70">
        <v>20</v>
      </c>
      <c r="B32" s="70" t="s">
        <v>3318</v>
      </c>
      <c r="C32" s="70" t="s">
        <v>4563</v>
      </c>
      <c r="D32" s="70" t="s">
        <v>3194</v>
      </c>
      <c r="E32" s="70" t="s">
        <v>188</v>
      </c>
      <c r="F32" s="71">
        <v>156</v>
      </c>
      <c r="G32" s="71">
        <v>3</v>
      </c>
      <c r="H32" s="72" t="s">
        <v>4383</v>
      </c>
      <c r="I32" s="71" t="b">
        <v>0</v>
      </c>
      <c r="J32" s="71">
        <v>85</v>
      </c>
      <c r="K32" s="71">
        <v>78</v>
      </c>
      <c r="L32" s="71">
        <v>75</v>
      </c>
      <c r="M32" s="71">
        <v>11</v>
      </c>
      <c r="N32" s="71">
        <v>12</v>
      </c>
      <c r="O32" s="71">
        <v>0</v>
      </c>
      <c r="P32" s="71">
        <v>20</v>
      </c>
      <c r="Q32" s="71">
        <v>81</v>
      </c>
      <c r="R32" s="71">
        <v>130</v>
      </c>
      <c r="S32" s="71" t="s">
        <v>128</v>
      </c>
      <c r="T32" s="73" t="s">
        <v>4384</v>
      </c>
      <c r="U32" s="71" t="s">
        <v>3404</v>
      </c>
      <c r="V32" s="71" t="b">
        <v>0</v>
      </c>
    </row>
    <row r="33" spans="1:24" ht="17.25">
      <c r="A33" s="70">
        <v>20</v>
      </c>
      <c r="B33" s="70" t="s">
        <v>3318</v>
      </c>
      <c r="C33" s="70" t="s">
        <v>4407</v>
      </c>
      <c r="D33" s="70" t="s">
        <v>3194</v>
      </c>
      <c r="E33" s="70" t="s">
        <v>188</v>
      </c>
      <c r="F33" s="71">
        <v>156</v>
      </c>
      <c r="G33" s="71">
        <v>3</v>
      </c>
      <c r="H33" s="72" t="s">
        <v>4383</v>
      </c>
      <c r="I33" s="71" t="b">
        <v>0</v>
      </c>
      <c r="J33" s="71">
        <v>85</v>
      </c>
      <c r="K33" s="71">
        <v>78</v>
      </c>
      <c r="L33" s="71">
        <v>75</v>
      </c>
      <c r="M33" s="71">
        <v>11</v>
      </c>
      <c r="N33" s="71">
        <v>12</v>
      </c>
      <c r="O33" s="71">
        <v>0</v>
      </c>
      <c r="P33" s="71">
        <v>20</v>
      </c>
      <c r="Q33" s="71">
        <v>81</v>
      </c>
      <c r="R33" s="71">
        <v>130</v>
      </c>
      <c r="S33" s="71" t="s">
        <v>128</v>
      </c>
      <c r="T33" s="73" t="s">
        <v>4384</v>
      </c>
      <c r="U33" s="71" t="s">
        <v>3404</v>
      </c>
      <c r="V33" s="71" t="b">
        <v>0</v>
      </c>
    </row>
    <row r="34" spans="1:24" ht="17.25">
      <c r="A34" s="70">
        <v>20</v>
      </c>
      <c r="B34" s="70" t="s">
        <v>3318</v>
      </c>
      <c r="C34" s="70" t="s">
        <v>4564</v>
      </c>
      <c r="D34" s="70" t="s">
        <v>3194</v>
      </c>
      <c r="E34" s="70" t="s">
        <v>188</v>
      </c>
      <c r="F34" s="71">
        <v>156</v>
      </c>
      <c r="G34" s="71">
        <v>3</v>
      </c>
      <c r="H34" s="72" t="s">
        <v>4383</v>
      </c>
      <c r="I34" s="71" t="b">
        <v>0</v>
      </c>
      <c r="J34" s="71">
        <v>85</v>
      </c>
      <c r="K34" s="71">
        <v>78</v>
      </c>
      <c r="L34" s="71">
        <v>75</v>
      </c>
      <c r="M34" s="71">
        <v>11</v>
      </c>
      <c r="N34" s="71">
        <v>12</v>
      </c>
      <c r="O34" s="71">
        <v>0</v>
      </c>
      <c r="P34" s="71">
        <v>20</v>
      </c>
      <c r="Q34" s="71">
        <v>81</v>
      </c>
      <c r="R34" s="71">
        <v>130</v>
      </c>
      <c r="S34" s="71" t="s">
        <v>128</v>
      </c>
      <c r="T34" s="73" t="s">
        <v>4384</v>
      </c>
      <c r="U34" s="71" t="s">
        <v>3404</v>
      </c>
      <c r="V34" s="71" t="b">
        <v>0</v>
      </c>
    </row>
    <row r="35" spans="1:24" ht="17.25">
      <c r="A35" s="70">
        <v>21</v>
      </c>
      <c r="B35" s="70" t="s">
        <v>3317</v>
      </c>
      <c r="C35" s="70" t="s">
        <v>485</v>
      </c>
      <c r="D35" s="70" t="s">
        <v>3316</v>
      </c>
      <c r="E35" s="70" t="s">
        <v>483</v>
      </c>
      <c r="F35" s="71">
        <v>159</v>
      </c>
      <c r="G35" s="71">
        <v>8</v>
      </c>
      <c r="H35" s="72">
        <v>0.11805555555555555</v>
      </c>
      <c r="I35" s="71" t="b">
        <v>0</v>
      </c>
      <c r="J35" s="71">
        <v>74</v>
      </c>
      <c r="K35" s="71">
        <v>86</v>
      </c>
      <c r="L35" s="71">
        <v>89</v>
      </c>
      <c r="M35" s="71">
        <v>6</v>
      </c>
      <c r="N35" s="71">
        <v>52</v>
      </c>
      <c r="O35" s="71">
        <v>0</v>
      </c>
      <c r="P35" s="71">
        <v>12</v>
      </c>
      <c r="Q35" s="71">
        <v>82</v>
      </c>
      <c r="R35" s="71">
        <v>138</v>
      </c>
      <c r="S35" s="71" t="s">
        <v>61</v>
      </c>
      <c r="T35" s="73">
        <v>45772</v>
      </c>
      <c r="U35" s="71" t="s">
        <v>3405</v>
      </c>
      <c r="V35" s="71" t="b">
        <v>0</v>
      </c>
    </row>
    <row r="36" spans="1:24" ht="17.25">
      <c r="A36" s="70">
        <v>21</v>
      </c>
      <c r="B36" s="70" t="s">
        <v>3317</v>
      </c>
      <c r="C36" s="70" t="s">
        <v>141</v>
      </c>
      <c r="D36" s="70" t="s">
        <v>3316</v>
      </c>
      <c r="E36" s="70" t="s">
        <v>483</v>
      </c>
      <c r="F36" s="71">
        <v>159</v>
      </c>
      <c r="G36" s="71">
        <v>8</v>
      </c>
      <c r="H36" s="72">
        <v>0.11805555555555555</v>
      </c>
      <c r="I36" s="71" t="b">
        <v>0</v>
      </c>
      <c r="J36" s="71">
        <v>74</v>
      </c>
      <c r="K36" s="71">
        <v>86</v>
      </c>
      <c r="L36" s="71">
        <v>89</v>
      </c>
      <c r="M36" s="71">
        <v>6</v>
      </c>
      <c r="N36" s="71">
        <v>52</v>
      </c>
      <c r="O36" s="71">
        <v>0</v>
      </c>
      <c r="P36" s="71">
        <v>12</v>
      </c>
      <c r="Q36" s="71">
        <v>82</v>
      </c>
      <c r="R36" s="71">
        <v>138</v>
      </c>
      <c r="S36" s="71" t="s">
        <v>61</v>
      </c>
      <c r="T36" s="73">
        <v>45772</v>
      </c>
      <c r="U36" s="71" t="s">
        <v>3405</v>
      </c>
      <c r="V36" s="71" t="b">
        <v>0</v>
      </c>
    </row>
    <row r="37" spans="1:24" ht="17.25">
      <c r="A37" s="70">
        <v>22</v>
      </c>
      <c r="B37" s="70" t="s">
        <v>3315</v>
      </c>
      <c r="C37" s="70" t="s">
        <v>4565</v>
      </c>
      <c r="D37" s="70" t="s">
        <v>3314</v>
      </c>
      <c r="E37" s="70" t="s">
        <v>3313</v>
      </c>
      <c r="F37" s="71">
        <v>123</v>
      </c>
      <c r="G37" s="71">
        <v>4</v>
      </c>
      <c r="H37" s="72">
        <v>0.14930555555555555</v>
      </c>
      <c r="I37" s="71" t="b">
        <v>0</v>
      </c>
      <c r="J37" s="71">
        <v>60</v>
      </c>
      <c r="K37" s="71">
        <v>55</v>
      </c>
      <c r="L37" s="71">
        <v>74</v>
      </c>
      <c r="M37" s="71">
        <v>5</v>
      </c>
      <c r="N37" s="71">
        <v>45</v>
      </c>
      <c r="O37" s="71">
        <v>0</v>
      </c>
      <c r="P37" s="71">
        <v>11</v>
      </c>
      <c r="Q37" s="71">
        <v>50</v>
      </c>
      <c r="R37" s="71">
        <v>90</v>
      </c>
      <c r="S37" s="71" t="s">
        <v>1045</v>
      </c>
      <c r="T37" s="73">
        <v>45604</v>
      </c>
      <c r="U37" s="71" t="s">
        <v>3406</v>
      </c>
      <c r="V37" s="71" t="b">
        <v>0</v>
      </c>
    </row>
    <row r="38" spans="1:24" ht="17.25">
      <c r="A38" s="70">
        <v>22</v>
      </c>
      <c r="B38" s="70" t="s">
        <v>3315</v>
      </c>
      <c r="C38" s="70" t="s">
        <v>4566</v>
      </c>
      <c r="D38" s="70" t="s">
        <v>3314</v>
      </c>
      <c r="E38" s="70" t="s">
        <v>3313</v>
      </c>
      <c r="F38" s="71">
        <v>123</v>
      </c>
      <c r="G38" s="71">
        <v>4</v>
      </c>
      <c r="H38" s="72">
        <v>0.14930555555555555</v>
      </c>
      <c r="I38" s="71" t="b">
        <v>0</v>
      </c>
      <c r="J38" s="71">
        <v>60</v>
      </c>
      <c r="K38" s="71">
        <v>55</v>
      </c>
      <c r="L38" s="71">
        <v>74</v>
      </c>
      <c r="M38" s="71">
        <v>5</v>
      </c>
      <c r="N38" s="71">
        <v>45</v>
      </c>
      <c r="O38" s="71">
        <v>0</v>
      </c>
      <c r="P38" s="71">
        <v>11</v>
      </c>
      <c r="Q38" s="71">
        <v>50</v>
      </c>
      <c r="R38" s="71">
        <v>90</v>
      </c>
      <c r="S38" s="71" t="s">
        <v>1045</v>
      </c>
      <c r="T38" s="73">
        <v>45604</v>
      </c>
      <c r="U38" s="71" t="s">
        <v>3406</v>
      </c>
      <c r="V38" s="71" t="b">
        <v>0</v>
      </c>
    </row>
    <row r="39" spans="1:24" ht="17.25">
      <c r="A39" s="70">
        <v>22</v>
      </c>
      <c r="B39" s="70" t="s">
        <v>3315</v>
      </c>
      <c r="C39" s="70" t="s">
        <v>3313</v>
      </c>
      <c r="D39" s="70" t="s">
        <v>3314</v>
      </c>
      <c r="E39" s="70" t="s">
        <v>3313</v>
      </c>
      <c r="F39" s="71">
        <v>123</v>
      </c>
      <c r="G39" s="71">
        <v>4</v>
      </c>
      <c r="H39" s="72">
        <v>0.14930555555555555</v>
      </c>
      <c r="I39" s="71" t="b">
        <v>0</v>
      </c>
      <c r="J39" s="71">
        <v>60</v>
      </c>
      <c r="K39" s="71">
        <v>55</v>
      </c>
      <c r="L39" s="71">
        <v>74</v>
      </c>
      <c r="M39" s="71">
        <v>5</v>
      </c>
      <c r="N39" s="71">
        <v>45</v>
      </c>
      <c r="O39" s="71">
        <v>0</v>
      </c>
      <c r="P39" s="71">
        <v>11</v>
      </c>
      <c r="Q39" s="71">
        <v>50</v>
      </c>
      <c r="R39" s="71">
        <v>90</v>
      </c>
      <c r="S39" s="71" t="s">
        <v>1045</v>
      </c>
      <c r="T39" s="73">
        <v>45604</v>
      </c>
      <c r="U39" s="71" t="s">
        <v>3406</v>
      </c>
      <c r="V39" s="71" t="b">
        <v>0</v>
      </c>
      <c r="X39" s="36" t="e" cm="1">
        <f t="array" ref="X39">SUMPRODUCT((#REF!="Feid")*1)</f>
        <v>#REF!</v>
      </c>
    </row>
    <row r="40" spans="1:24" ht="17.25">
      <c r="A40" s="70">
        <v>23</v>
      </c>
      <c r="B40" s="70" t="s">
        <v>3312</v>
      </c>
      <c r="C40" s="70" t="s">
        <v>3310</v>
      </c>
      <c r="D40" s="70" t="s">
        <v>3311</v>
      </c>
      <c r="E40" s="70" t="s">
        <v>3310</v>
      </c>
      <c r="F40" s="71">
        <v>90</v>
      </c>
      <c r="G40" s="71">
        <v>11</v>
      </c>
      <c r="H40" s="72">
        <v>0.12361111111111112</v>
      </c>
      <c r="I40" s="71" t="b">
        <v>0</v>
      </c>
      <c r="J40" s="71">
        <v>80</v>
      </c>
      <c r="K40" s="71">
        <v>78</v>
      </c>
      <c r="L40" s="71">
        <v>81</v>
      </c>
      <c r="M40" s="71">
        <v>10</v>
      </c>
      <c r="N40" s="71">
        <v>8</v>
      </c>
      <c r="O40" s="71">
        <v>0</v>
      </c>
      <c r="P40" s="71">
        <v>13</v>
      </c>
      <c r="Q40" s="71">
        <v>72</v>
      </c>
      <c r="R40" s="71">
        <v>130</v>
      </c>
      <c r="S40" s="71" t="s">
        <v>88</v>
      </c>
      <c r="T40" s="73">
        <v>45702</v>
      </c>
      <c r="U40" s="71" t="s">
        <v>3407</v>
      </c>
      <c r="V40" s="71" t="b">
        <v>0</v>
      </c>
    </row>
    <row r="41" spans="1:24" ht="17.25">
      <c r="A41" s="70">
        <v>23</v>
      </c>
      <c r="B41" s="70" t="s">
        <v>3312</v>
      </c>
      <c r="C41" s="70" t="s">
        <v>4567</v>
      </c>
      <c r="D41" s="70" t="s">
        <v>3311</v>
      </c>
      <c r="E41" s="70" t="s">
        <v>3310</v>
      </c>
      <c r="F41" s="71">
        <v>90</v>
      </c>
      <c r="G41" s="71">
        <v>11</v>
      </c>
      <c r="H41" s="72">
        <v>0.12361111111111112</v>
      </c>
      <c r="I41" s="71" t="b">
        <v>0</v>
      </c>
      <c r="J41" s="71">
        <v>80</v>
      </c>
      <c r="K41" s="71">
        <v>78</v>
      </c>
      <c r="L41" s="71">
        <v>81</v>
      </c>
      <c r="M41" s="71">
        <v>10</v>
      </c>
      <c r="N41" s="71">
        <v>8</v>
      </c>
      <c r="O41" s="71">
        <v>0</v>
      </c>
      <c r="P41" s="71">
        <v>13</v>
      </c>
      <c r="Q41" s="71">
        <v>72</v>
      </c>
      <c r="R41" s="71">
        <v>130</v>
      </c>
      <c r="S41" s="71" t="s">
        <v>88</v>
      </c>
      <c r="T41" s="73">
        <v>45702</v>
      </c>
      <c r="U41" s="71" t="s">
        <v>3407</v>
      </c>
      <c r="V41" s="71" t="b">
        <v>0</v>
      </c>
    </row>
    <row r="42" spans="1:24" ht="17.25">
      <c r="A42" s="70">
        <v>24</v>
      </c>
      <c r="B42" s="70" t="s">
        <v>3309</v>
      </c>
      <c r="C42" s="70" t="s">
        <v>54</v>
      </c>
      <c r="D42" s="70" t="s">
        <v>3308</v>
      </c>
      <c r="E42" s="70" t="s">
        <v>52</v>
      </c>
      <c r="F42" s="71">
        <v>12</v>
      </c>
      <c r="G42" s="71">
        <v>69</v>
      </c>
      <c r="H42" s="72">
        <v>0.1388888888888889</v>
      </c>
      <c r="I42" s="71" t="b">
        <v>0</v>
      </c>
      <c r="J42" s="71">
        <v>66</v>
      </c>
      <c r="K42" s="71">
        <v>76</v>
      </c>
      <c r="L42" s="71">
        <v>94</v>
      </c>
      <c r="M42" s="71">
        <v>4</v>
      </c>
      <c r="N42" s="71">
        <v>8</v>
      </c>
      <c r="O42" s="71">
        <v>0</v>
      </c>
      <c r="P42" s="71">
        <v>30</v>
      </c>
      <c r="Q42" s="71">
        <v>41</v>
      </c>
      <c r="R42" s="71">
        <v>100</v>
      </c>
      <c r="S42" s="71" t="s">
        <v>96</v>
      </c>
      <c r="T42" s="73">
        <v>42299</v>
      </c>
      <c r="U42" s="71" t="s">
        <v>3408</v>
      </c>
      <c r="V42" s="71" t="b">
        <v>0</v>
      </c>
    </row>
    <row r="43" spans="1:24" ht="17.25">
      <c r="A43" s="70">
        <v>25</v>
      </c>
      <c r="B43" s="70" t="s">
        <v>3307</v>
      </c>
      <c r="C43" s="70" t="s">
        <v>198</v>
      </c>
      <c r="D43" s="70" t="s">
        <v>273</v>
      </c>
      <c r="E43" s="70" t="s">
        <v>196</v>
      </c>
      <c r="F43" s="71">
        <v>45</v>
      </c>
      <c r="G43" s="71">
        <v>2</v>
      </c>
      <c r="H43" s="72">
        <v>0.15833333333333333</v>
      </c>
      <c r="I43" s="71" t="b">
        <v>0</v>
      </c>
      <c r="J43" s="71">
        <v>55</v>
      </c>
      <c r="K43" s="71">
        <v>58</v>
      </c>
      <c r="L43" s="71">
        <v>74</v>
      </c>
      <c r="M43" s="71">
        <v>4</v>
      </c>
      <c r="N43" s="71">
        <v>55</v>
      </c>
      <c r="O43" s="71">
        <v>0</v>
      </c>
      <c r="P43" s="71">
        <v>9</v>
      </c>
      <c r="Q43" s="71">
        <v>45</v>
      </c>
      <c r="R43" s="71">
        <v>92</v>
      </c>
      <c r="S43" s="71" t="s">
        <v>195</v>
      </c>
      <c r="T43" s="73">
        <v>45765</v>
      </c>
      <c r="U43" s="71" t="s">
        <v>3409</v>
      </c>
      <c r="V43" s="71" t="b">
        <v>0</v>
      </c>
    </row>
    <row r="44" spans="1:24" ht="17.25">
      <c r="A44" s="70">
        <v>26</v>
      </c>
      <c r="B44" s="70" t="s">
        <v>3306</v>
      </c>
      <c r="C44" s="70" t="s">
        <v>178</v>
      </c>
      <c r="D44" s="70" t="s">
        <v>3305</v>
      </c>
      <c r="E44" s="70" t="s">
        <v>388</v>
      </c>
      <c r="F44" s="71">
        <v>43</v>
      </c>
      <c r="G44" s="71">
        <v>11</v>
      </c>
      <c r="H44" s="72">
        <v>0.19444444444444445</v>
      </c>
      <c r="I44" s="71" t="b">
        <v>0</v>
      </c>
      <c r="J44" s="71">
        <v>68</v>
      </c>
      <c r="K44" s="71">
        <v>85</v>
      </c>
      <c r="L44" s="71">
        <v>85</v>
      </c>
      <c r="M44" s="71">
        <v>4</v>
      </c>
      <c r="N44" s="71">
        <v>5</v>
      </c>
      <c r="O44" s="71">
        <v>0</v>
      </c>
      <c r="P44" s="71">
        <v>14</v>
      </c>
      <c r="Q44" s="71">
        <v>42</v>
      </c>
      <c r="R44" s="71">
        <v>130</v>
      </c>
      <c r="S44" s="71" t="s">
        <v>69</v>
      </c>
      <c r="T44" s="73">
        <v>32020</v>
      </c>
      <c r="U44" s="71" t="s">
        <v>3410</v>
      </c>
      <c r="V44" s="71" t="b">
        <v>0</v>
      </c>
    </row>
    <row r="45" spans="1:24" ht="17.25">
      <c r="A45" s="70">
        <v>27</v>
      </c>
      <c r="B45" s="70" t="s">
        <v>3304</v>
      </c>
      <c r="C45" s="70" t="s">
        <v>383</v>
      </c>
      <c r="D45" s="70" t="s">
        <v>3303</v>
      </c>
      <c r="E45" s="70" t="s">
        <v>381</v>
      </c>
      <c r="F45" s="71">
        <v>58</v>
      </c>
      <c r="G45" s="71">
        <v>3</v>
      </c>
      <c r="H45" s="72">
        <v>0.11666666666666667</v>
      </c>
      <c r="I45" s="71" t="b">
        <v>1</v>
      </c>
      <c r="J45" s="71">
        <v>62</v>
      </c>
      <c r="K45" s="71">
        <v>78</v>
      </c>
      <c r="L45" s="71">
        <v>93</v>
      </c>
      <c r="M45" s="71">
        <v>5</v>
      </c>
      <c r="N45" s="71">
        <v>13</v>
      </c>
      <c r="O45" s="71">
        <v>0</v>
      </c>
      <c r="P45" s="71">
        <v>19</v>
      </c>
      <c r="Q45" s="71">
        <v>58</v>
      </c>
      <c r="R45" s="71">
        <v>104</v>
      </c>
      <c r="S45" s="71" t="s">
        <v>96</v>
      </c>
      <c r="T45" s="73">
        <v>45611</v>
      </c>
      <c r="U45" s="71" t="s">
        <v>3411</v>
      </c>
      <c r="V45" s="71" t="b">
        <v>0</v>
      </c>
    </row>
    <row r="46" spans="1:24" ht="17.25">
      <c r="A46" s="70">
        <v>28</v>
      </c>
      <c r="B46" s="70" t="s">
        <v>3302</v>
      </c>
      <c r="C46" s="70" t="s">
        <v>366</v>
      </c>
      <c r="D46" s="70" t="s">
        <v>3301</v>
      </c>
      <c r="E46" s="70" t="s">
        <v>171</v>
      </c>
      <c r="F46" s="71">
        <v>38</v>
      </c>
      <c r="G46" s="71">
        <v>190</v>
      </c>
      <c r="H46" s="72">
        <v>0.14791666666666667</v>
      </c>
      <c r="I46" s="71" t="b">
        <v>0</v>
      </c>
      <c r="J46" s="71">
        <v>61</v>
      </c>
      <c r="K46" s="71">
        <v>28</v>
      </c>
      <c r="L46" s="71">
        <v>86</v>
      </c>
      <c r="M46" s="71">
        <v>4</v>
      </c>
      <c r="N46" s="71">
        <v>93</v>
      </c>
      <c r="O46" s="71">
        <v>0</v>
      </c>
      <c r="P46" s="71">
        <v>9</v>
      </c>
      <c r="Q46" s="71">
        <v>39</v>
      </c>
      <c r="R46" s="71">
        <v>73</v>
      </c>
      <c r="S46" s="71" t="s">
        <v>96</v>
      </c>
      <c r="T46" s="73">
        <v>41250</v>
      </c>
      <c r="U46" s="71" t="s">
        <v>3412</v>
      </c>
      <c r="V46" s="71" t="b">
        <v>0</v>
      </c>
    </row>
    <row r="47" spans="1:24" ht="17.25">
      <c r="A47" s="70">
        <v>29</v>
      </c>
      <c r="B47" s="70" t="s">
        <v>3300</v>
      </c>
      <c r="C47" s="70" t="s">
        <v>356</v>
      </c>
      <c r="D47" s="70" t="s">
        <v>3299</v>
      </c>
      <c r="E47" s="70" t="s">
        <v>432</v>
      </c>
      <c r="F47" s="71">
        <v>199</v>
      </c>
      <c r="G47" s="71">
        <v>1</v>
      </c>
      <c r="H47" s="72">
        <v>0.21319444444444444</v>
      </c>
      <c r="I47" s="71" t="b">
        <v>0</v>
      </c>
      <c r="J47" s="71">
        <v>58</v>
      </c>
      <c r="K47" s="71">
        <v>75</v>
      </c>
      <c r="L47" s="71">
        <v>88</v>
      </c>
      <c r="M47" s="71">
        <v>3</v>
      </c>
      <c r="N47" s="71">
        <v>60</v>
      </c>
      <c r="O47" s="71">
        <v>1</v>
      </c>
      <c r="P47" s="71">
        <v>18</v>
      </c>
      <c r="Q47" s="71">
        <v>26</v>
      </c>
      <c r="R47" s="71">
        <v>131</v>
      </c>
      <c r="S47" s="71" t="s">
        <v>354</v>
      </c>
      <c r="T47" s="73">
        <v>37494</v>
      </c>
      <c r="U47" s="71" t="s">
        <v>3413</v>
      </c>
      <c r="V47" s="71" t="b">
        <v>0</v>
      </c>
    </row>
    <row r="48" spans="1:24" ht="17.25">
      <c r="A48" s="70">
        <v>30</v>
      </c>
      <c r="B48" s="70" t="s">
        <v>3298</v>
      </c>
      <c r="C48" s="70" t="s">
        <v>4569</v>
      </c>
      <c r="D48" s="70" t="s">
        <v>3297</v>
      </c>
      <c r="E48" s="70" t="s">
        <v>3296</v>
      </c>
      <c r="F48" s="71">
        <v>44</v>
      </c>
      <c r="G48" s="71">
        <v>11</v>
      </c>
      <c r="H48" s="72">
        <v>0.1076388888888889</v>
      </c>
      <c r="I48" s="71" t="b">
        <v>1</v>
      </c>
      <c r="J48" s="71">
        <v>90</v>
      </c>
      <c r="K48" s="71">
        <v>86</v>
      </c>
      <c r="L48" s="71">
        <v>96</v>
      </c>
      <c r="M48" s="71">
        <v>24</v>
      </c>
      <c r="N48" s="71">
        <v>4</v>
      </c>
      <c r="O48" s="71">
        <v>0</v>
      </c>
      <c r="P48" s="71">
        <v>8</v>
      </c>
      <c r="Q48" s="71">
        <v>73</v>
      </c>
      <c r="R48" s="71">
        <v>137</v>
      </c>
      <c r="S48" s="71" t="s">
        <v>534</v>
      </c>
      <c r="T48" s="73">
        <v>45632</v>
      </c>
      <c r="U48" s="71" t="s">
        <v>3414</v>
      </c>
      <c r="V48" s="71" t="b">
        <v>0</v>
      </c>
    </row>
    <row r="49" spans="1:22" ht="17.25">
      <c r="A49" s="70">
        <v>30</v>
      </c>
      <c r="B49" s="70" t="s">
        <v>3298</v>
      </c>
      <c r="C49" s="70" t="s">
        <v>4571</v>
      </c>
      <c r="D49" s="70" t="s">
        <v>3297</v>
      </c>
      <c r="E49" s="70" t="s">
        <v>3296</v>
      </c>
      <c r="F49" s="71">
        <v>44</v>
      </c>
      <c r="G49" s="71">
        <v>11</v>
      </c>
      <c r="H49" s="72">
        <v>0.1076388888888889</v>
      </c>
      <c r="I49" s="71" t="b">
        <v>1</v>
      </c>
      <c r="J49" s="71">
        <v>90</v>
      </c>
      <c r="K49" s="71">
        <v>86</v>
      </c>
      <c r="L49" s="71">
        <v>96</v>
      </c>
      <c r="M49" s="71">
        <v>24</v>
      </c>
      <c r="N49" s="71">
        <v>4</v>
      </c>
      <c r="O49" s="71">
        <v>0</v>
      </c>
      <c r="P49" s="71">
        <v>8</v>
      </c>
      <c r="Q49" s="71">
        <v>73</v>
      </c>
      <c r="R49" s="71">
        <v>137</v>
      </c>
      <c r="S49" s="71" t="s">
        <v>534</v>
      </c>
      <c r="T49" s="73">
        <v>45632</v>
      </c>
      <c r="U49" s="71" t="s">
        <v>3414</v>
      </c>
      <c r="V49" s="71" t="b">
        <v>0</v>
      </c>
    </row>
    <row r="50" spans="1:22" ht="17.25">
      <c r="A50" s="70">
        <v>30</v>
      </c>
      <c r="B50" s="70" t="s">
        <v>3298</v>
      </c>
      <c r="C50" s="70" t="s">
        <v>4572</v>
      </c>
      <c r="D50" s="70" t="s">
        <v>3297</v>
      </c>
      <c r="E50" s="70" t="s">
        <v>3296</v>
      </c>
      <c r="F50" s="71">
        <v>44</v>
      </c>
      <c r="G50" s="71">
        <v>11</v>
      </c>
      <c r="H50" s="72">
        <v>0.1076388888888889</v>
      </c>
      <c r="I50" s="71" t="b">
        <v>1</v>
      </c>
      <c r="J50" s="71">
        <v>90</v>
      </c>
      <c r="K50" s="71">
        <v>86</v>
      </c>
      <c r="L50" s="71">
        <v>96</v>
      </c>
      <c r="M50" s="71">
        <v>24</v>
      </c>
      <c r="N50" s="71">
        <v>4</v>
      </c>
      <c r="O50" s="71">
        <v>0</v>
      </c>
      <c r="P50" s="71">
        <v>8</v>
      </c>
      <c r="Q50" s="71">
        <v>73</v>
      </c>
      <c r="R50" s="71">
        <v>137</v>
      </c>
      <c r="S50" s="71" t="s">
        <v>534</v>
      </c>
      <c r="T50" s="73">
        <v>45632</v>
      </c>
      <c r="U50" s="71" t="s">
        <v>3414</v>
      </c>
      <c r="V50" s="71" t="b">
        <v>0</v>
      </c>
    </row>
    <row r="51" spans="1:22" ht="17.25">
      <c r="A51" s="70">
        <v>30</v>
      </c>
      <c r="B51" s="70" t="s">
        <v>3298</v>
      </c>
      <c r="C51" s="70" t="s">
        <v>4570</v>
      </c>
      <c r="D51" s="70" t="s">
        <v>3297</v>
      </c>
      <c r="E51" s="70" t="s">
        <v>3296</v>
      </c>
      <c r="F51" s="71">
        <v>44</v>
      </c>
      <c r="G51" s="71">
        <v>11</v>
      </c>
      <c r="H51" s="72">
        <v>0.1076388888888889</v>
      </c>
      <c r="I51" s="71" t="b">
        <v>1</v>
      </c>
      <c r="J51" s="71">
        <v>90</v>
      </c>
      <c r="K51" s="71">
        <v>86</v>
      </c>
      <c r="L51" s="71">
        <v>96</v>
      </c>
      <c r="M51" s="71">
        <v>24</v>
      </c>
      <c r="N51" s="71">
        <v>4</v>
      </c>
      <c r="O51" s="71">
        <v>0</v>
      </c>
      <c r="P51" s="71">
        <v>8</v>
      </c>
      <c r="Q51" s="71">
        <v>73</v>
      </c>
      <c r="R51" s="71">
        <v>137</v>
      </c>
      <c r="S51" s="71" t="s">
        <v>534</v>
      </c>
      <c r="T51" s="73">
        <v>45632</v>
      </c>
      <c r="U51" s="71" t="s">
        <v>3414</v>
      </c>
      <c r="V51" s="71" t="b">
        <v>0</v>
      </c>
    </row>
    <row r="52" spans="1:22" ht="17.25">
      <c r="A52" s="70">
        <v>30</v>
      </c>
      <c r="B52" s="70" t="s">
        <v>3298</v>
      </c>
      <c r="C52" s="70" t="s">
        <v>4543</v>
      </c>
      <c r="D52" s="70" t="s">
        <v>3297</v>
      </c>
      <c r="E52" s="70" t="s">
        <v>3296</v>
      </c>
      <c r="F52" s="71">
        <v>44</v>
      </c>
      <c r="G52" s="71">
        <v>11</v>
      </c>
      <c r="H52" s="72">
        <v>0.1076388888888889</v>
      </c>
      <c r="I52" s="71" t="b">
        <v>1</v>
      </c>
      <c r="J52" s="71">
        <v>90</v>
      </c>
      <c r="K52" s="71">
        <v>86</v>
      </c>
      <c r="L52" s="71">
        <v>96</v>
      </c>
      <c r="M52" s="71">
        <v>24</v>
      </c>
      <c r="N52" s="71">
        <v>4</v>
      </c>
      <c r="O52" s="71">
        <v>0</v>
      </c>
      <c r="P52" s="71">
        <v>8</v>
      </c>
      <c r="Q52" s="71">
        <v>73</v>
      </c>
      <c r="R52" s="71">
        <v>137</v>
      </c>
      <c r="S52" s="71" t="s">
        <v>534</v>
      </c>
      <c r="T52" s="73">
        <v>45632</v>
      </c>
      <c r="U52" s="71" t="s">
        <v>3414</v>
      </c>
      <c r="V52" s="71" t="b">
        <v>0</v>
      </c>
    </row>
    <row r="53" spans="1:22" ht="17.25">
      <c r="A53" s="70">
        <v>30</v>
      </c>
      <c r="B53" s="70" t="s">
        <v>3298</v>
      </c>
      <c r="C53" s="70" t="s">
        <v>4408</v>
      </c>
      <c r="D53" s="70" t="s">
        <v>3297</v>
      </c>
      <c r="E53" s="70" t="s">
        <v>3296</v>
      </c>
      <c r="F53" s="71">
        <v>44</v>
      </c>
      <c r="G53" s="71">
        <v>11</v>
      </c>
      <c r="H53" s="72">
        <v>0.1076388888888889</v>
      </c>
      <c r="I53" s="71" t="b">
        <v>1</v>
      </c>
      <c r="J53" s="71">
        <v>90</v>
      </c>
      <c r="K53" s="71">
        <v>86</v>
      </c>
      <c r="L53" s="71">
        <v>96</v>
      </c>
      <c r="M53" s="71">
        <v>24</v>
      </c>
      <c r="N53" s="71">
        <v>4</v>
      </c>
      <c r="O53" s="71">
        <v>0</v>
      </c>
      <c r="P53" s="71">
        <v>8</v>
      </c>
      <c r="Q53" s="71">
        <v>73</v>
      </c>
      <c r="R53" s="71">
        <v>137</v>
      </c>
      <c r="S53" s="71" t="s">
        <v>534</v>
      </c>
      <c r="T53" s="73">
        <v>45632</v>
      </c>
      <c r="U53" s="71" t="s">
        <v>3414</v>
      </c>
      <c r="V53" s="71" t="b">
        <v>0</v>
      </c>
    </row>
    <row r="54" spans="1:22" ht="17.25">
      <c r="A54" s="70">
        <v>30</v>
      </c>
      <c r="B54" s="70" t="s">
        <v>3298</v>
      </c>
      <c r="C54" s="70" t="s">
        <v>4568</v>
      </c>
      <c r="D54" s="70" t="s">
        <v>3297</v>
      </c>
      <c r="E54" s="70" t="s">
        <v>3296</v>
      </c>
      <c r="F54" s="71">
        <v>44</v>
      </c>
      <c r="G54" s="71">
        <v>11</v>
      </c>
      <c r="H54" s="72">
        <v>0.1076388888888889</v>
      </c>
      <c r="I54" s="71" t="b">
        <v>1</v>
      </c>
      <c r="J54" s="71">
        <v>90</v>
      </c>
      <c r="K54" s="71">
        <v>86</v>
      </c>
      <c r="L54" s="71">
        <v>96</v>
      </c>
      <c r="M54" s="71">
        <v>24</v>
      </c>
      <c r="N54" s="71">
        <v>4</v>
      </c>
      <c r="O54" s="71">
        <v>0</v>
      </c>
      <c r="P54" s="71">
        <v>8</v>
      </c>
      <c r="Q54" s="71">
        <v>73</v>
      </c>
      <c r="R54" s="71">
        <v>137</v>
      </c>
      <c r="S54" s="71" t="s">
        <v>534</v>
      </c>
      <c r="T54" s="73">
        <v>45632</v>
      </c>
      <c r="U54" s="71" t="s">
        <v>3414</v>
      </c>
      <c r="V54" s="71" t="b">
        <v>0</v>
      </c>
    </row>
    <row r="55" spans="1:22" ht="17.25">
      <c r="A55" s="70">
        <v>31</v>
      </c>
      <c r="B55" s="70" t="s">
        <v>3295</v>
      </c>
      <c r="C55" s="70" t="s">
        <v>3294</v>
      </c>
      <c r="D55" s="70" t="s">
        <v>3293</v>
      </c>
      <c r="E55" s="70" t="s">
        <v>3292</v>
      </c>
      <c r="F55" s="71">
        <v>63</v>
      </c>
      <c r="G55" s="71">
        <v>78</v>
      </c>
      <c r="H55" s="72">
        <v>0.16388888888888889</v>
      </c>
      <c r="I55" s="71" t="b">
        <v>0</v>
      </c>
      <c r="J55" s="71">
        <v>33</v>
      </c>
      <c r="K55" s="71">
        <v>94</v>
      </c>
      <c r="L55" s="71">
        <v>95</v>
      </c>
      <c r="M55" s="71">
        <v>7</v>
      </c>
      <c r="N55" s="71">
        <v>1</v>
      </c>
      <c r="O55" s="71">
        <v>0</v>
      </c>
      <c r="P55" s="71">
        <v>24</v>
      </c>
      <c r="Q55" s="71">
        <v>30</v>
      </c>
      <c r="R55" s="71">
        <v>95</v>
      </c>
      <c r="S55" s="71" t="s">
        <v>860</v>
      </c>
      <c r="T55" s="73">
        <v>37733</v>
      </c>
      <c r="U55" s="71" t="s">
        <v>3415</v>
      </c>
      <c r="V55" s="71" t="b">
        <v>0</v>
      </c>
    </row>
    <row r="56" spans="1:22" ht="17.25">
      <c r="A56" s="70">
        <v>32</v>
      </c>
      <c r="B56" s="70" t="s">
        <v>3291</v>
      </c>
      <c r="C56" s="70" t="s">
        <v>4573</v>
      </c>
      <c r="D56" s="70" t="s">
        <v>3290</v>
      </c>
      <c r="E56" s="70" t="s">
        <v>381</v>
      </c>
      <c r="F56" s="71">
        <v>109</v>
      </c>
      <c r="G56" s="71">
        <v>1</v>
      </c>
      <c r="H56" s="72">
        <v>0.1125</v>
      </c>
      <c r="I56" s="71" t="b">
        <v>1</v>
      </c>
      <c r="J56" s="71">
        <v>57</v>
      </c>
      <c r="K56" s="71">
        <v>70</v>
      </c>
      <c r="L56" s="71">
        <v>92</v>
      </c>
      <c r="M56" s="71">
        <v>5</v>
      </c>
      <c r="N56" s="71">
        <v>30</v>
      </c>
      <c r="O56" s="71">
        <v>0</v>
      </c>
      <c r="P56" s="71">
        <v>18</v>
      </c>
      <c r="Q56" s="71">
        <v>35</v>
      </c>
      <c r="R56" s="71">
        <v>72</v>
      </c>
      <c r="S56" s="71" t="s">
        <v>96</v>
      </c>
      <c r="T56" s="73">
        <v>45709</v>
      </c>
      <c r="U56" s="71" t="s">
        <v>3411</v>
      </c>
      <c r="V56" s="71" t="b">
        <v>0</v>
      </c>
    </row>
    <row r="57" spans="1:22" ht="17.25">
      <c r="A57" s="70">
        <v>32</v>
      </c>
      <c r="B57" s="70" t="s">
        <v>3291</v>
      </c>
      <c r="C57" s="70" t="s">
        <v>383</v>
      </c>
      <c r="D57" s="70" t="s">
        <v>3290</v>
      </c>
      <c r="E57" s="70" t="s">
        <v>381</v>
      </c>
      <c r="F57" s="71">
        <v>109</v>
      </c>
      <c r="G57" s="71">
        <v>1</v>
      </c>
      <c r="H57" s="72">
        <v>0.1125</v>
      </c>
      <c r="I57" s="71" t="b">
        <v>1</v>
      </c>
      <c r="J57" s="71">
        <v>57</v>
      </c>
      <c r="K57" s="71">
        <v>70</v>
      </c>
      <c r="L57" s="71">
        <v>92</v>
      </c>
      <c r="M57" s="71">
        <v>5</v>
      </c>
      <c r="N57" s="71">
        <v>30</v>
      </c>
      <c r="O57" s="71">
        <v>0</v>
      </c>
      <c r="P57" s="71">
        <v>18</v>
      </c>
      <c r="Q57" s="71">
        <v>35</v>
      </c>
      <c r="R57" s="71">
        <v>72</v>
      </c>
      <c r="S57" s="71" t="s">
        <v>96</v>
      </c>
      <c r="T57" s="73">
        <v>45709</v>
      </c>
      <c r="U57" s="71" t="s">
        <v>3411</v>
      </c>
      <c r="V57" s="71" t="b">
        <v>0</v>
      </c>
    </row>
    <row r="58" spans="1:22" ht="17.25">
      <c r="A58" s="70">
        <v>33</v>
      </c>
      <c r="B58" s="70" t="s">
        <v>3289</v>
      </c>
      <c r="C58" s="70" t="s">
        <v>4574</v>
      </c>
      <c r="D58" s="70" t="s">
        <v>3288</v>
      </c>
      <c r="E58" s="70" t="s">
        <v>188</v>
      </c>
      <c r="F58" s="71">
        <v>32</v>
      </c>
      <c r="G58" s="71">
        <v>18</v>
      </c>
      <c r="H58" s="72">
        <v>0.13194444444444445</v>
      </c>
      <c r="I58" s="71" t="b">
        <v>0</v>
      </c>
      <c r="J58" s="71">
        <v>82</v>
      </c>
      <c r="K58" s="71">
        <v>75</v>
      </c>
      <c r="L58" s="71">
        <v>92</v>
      </c>
      <c r="M58" s="71">
        <v>5</v>
      </c>
      <c r="N58" s="71">
        <v>2</v>
      </c>
      <c r="O58" s="71">
        <v>0</v>
      </c>
      <c r="P58" s="71">
        <v>6</v>
      </c>
      <c r="Q58" s="71">
        <v>77</v>
      </c>
      <c r="R58" s="71">
        <v>92</v>
      </c>
      <c r="S58" s="71" t="s">
        <v>128</v>
      </c>
      <c r="T58" s="73">
        <v>45674</v>
      </c>
      <c r="U58" s="71" t="s">
        <v>3416</v>
      </c>
      <c r="V58" s="71" t="b">
        <v>0</v>
      </c>
    </row>
    <row r="59" spans="1:22" ht="17.25">
      <c r="A59" s="70">
        <v>33</v>
      </c>
      <c r="B59" s="70" t="s">
        <v>3289</v>
      </c>
      <c r="C59" s="70" t="s">
        <v>4407</v>
      </c>
      <c r="D59" s="70" t="s">
        <v>3288</v>
      </c>
      <c r="E59" s="70" t="s">
        <v>188</v>
      </c>
      <c r="F59" s="71">
        <v>32</v>
      </c>
      <c r="G59" s="71">
        <v>18</v>
      </c>
      <c r="H59" s="72">
        <v>0.13194444444444445</v>
      </c>
      <c r="I59" s="71" t="b">
        <v>0</v>
      </c>
      <c r="J59" s="71">
        <v>82</v>
      </c>
      <c r="K59" s="71">
        <v>75</v>
      </c>
      <c r="L59" s="71">
        <v>92</v>
      </c>
      <c r="M59" s="71">
        <v>5</v>
      </c>
      <c r="N59" s="71">
        <v>2</v>
      </c>
      <c r="O59" s="71">
        <v>0</v>
      </c>
      <c r="P59" s="71">
        <v>6</v>
      </c>
      <c r="Q59" s="71">
        <v>77</v>
      </c>
      <c r="R59" s="71">
        <v>92</v>
      </c>
      <c r="S59" s="71" t="s">
        <v>128</v>
      </c>
      <c r="T59" s="73">
        <v>45674</v>
      </c>
      <c r="U59" s="71" t="s">
        <v>3416</v>
      </c>
      <c r="V59" s="71" t="b">
        <v>0</v>
      </c>
    </row>
    <row r="60" spans="1:22" ht="17.25">
      <c r="A60" s="70">
        <v>33</v>
      </c>
      <c r="B60" s="70" t="s">
        <v>3289</v>
      </c>
      <c r="C60" s="70" t="s">
        <v>4564</v>
      </c>
      <c r="D60" s="70" t="s">
        <v>3288</v>
      </c>
      <c r="E60" s="70" t="s">
        <v>188</v>
      </c>
      <c r="F60" s="71">
        <v>32</v>
      </c>
      <c r="G60" s="71">
        <v>18</v>
      </c>
      <c r="H60" s="72">
        <v>0.13194444444444445</v>
      </c>
      <c r="I60" s="71" t="b">
        <v>0</v>
      </c>
      <c r="J60" s="71">
        <v>82</v>
      </c>
      <c r="K60" s="71">
        <v>75</v>
      </c>
      <c r="L60" s="71">
        <v>92</v>
      </c>
      <c r="M60" s="71">
        <v>5</v>
      </c>
      <c r="N60" s="71">
        <v>2</v>
      </c>
      <c r="O60" s="71">
        <v>0</v>
      </c>
      <c r="P60" s="71">
        <v>6</v>
      </c>
      <c r="Q60" s="71">
        <v>77</v>
      </c>
      <c r="R60" s="71">
        <v>92</v>
      </c>
      <c r="S60" s="71" t="s">
        <v>128</v>
      </c>
      <c r="T60" s="73">
        <v>45674</v>
      </c>
      <c r="U60" s="71" t="s">
        <v>3416</v>
      </c>
      <c r="V60" s="71" t="b">
        <v>0</v>
      </c>
    </row>
    <row r="61" spans="1:22" ht="17.25">
      <c r="A61" s="70">
        <v>34</v>
      </c>
      <c r="B61" s="70" t="s">
        <v>3287</v>
      </c>
      <c r="C61" s="70" t="s">
        <v>3199</v>
      </c>
      <c r="D61" s="70" t="s">
        <v>3286</v>
      </c>
      <c r="E61" s="70" t="s">
        <v>3285</v>
      </c>
      <c r="F61" s="71">
        <v>123</v>
      </c>
      <c r="G61" s="71">
        <v>6</v>
      </c>
      <c r="H61" s="72">
        <v>0.15416666666666667</v>
      </c>
      <c r="I61" s="71" t="b">
        <v>0</v>
      </c>
      <c r="J61" s="71">
        <v>58</v>
      </c>
      <c r="K61" s="71">
        <v>52</v>
      </c>
      <c r="L61" s="71">
        <v>73</v>
      </c>
      <c r="M61" s="71">
        <v>5</v>
      </c>
      <c r="N61" s="71">
        <v>50</v>
      </c>
      <c r="O61" s="71">
        <v>0</v>
      </c>
      <c r="P61" s="71">
        <v>10</v>
      </c>
      <c r="Q61" s="71">
        <v>40</v>
      </c>
      <c r="R61" s="71">
        <v>88</v>
      </c>
      <c r="S61" s="71" t="s">
        <v>1045</v>
      </c>
      <c r="T61" s="73">
        <v>45786</v>
      </c>
      <c r="U61" s="71" t="s">
        <v>3417</v>
      </c>
      <c r="V61" s="71" t="b">
        <v>0</v>
      </c>
    </row>
    <row r="62" spans="1:22" ht="17.25">
      <c r="A62" s="70">
        <v>34</v>
      </c>
      <c r="B62" s="70" t="s">
        <v>3287</v>
      </c>
      <c r="C62" s="70" t="s">
        <v>4575</v>
      </c>
      <c r="D62" s="70" t="s">
        <v>3286</v>
      </c>
      <c r="E62" s="70" t="s">
        <v>3285</v>
      </c>
      <c r="F62" s="71">
        <v>123</v>
      </c>
      <c r="G62" s="71">
        <v>6</v>
      </c>
      <c r="H62" s="72">
        <v>0.15416666666666667</v>
      </c>
      <c r="I62" s="71" t="b">
        <v>0</v>
      </c>
      <c r="J62" s="71">
        <v>58</v>
      </c>
      <c r="K62" s="71">
        <v>52</v>
      </c>
      <c r="L62" s="71">
        <v>73</v>
      </c>
      <c r="M62" s="71">
        <v>5</v>
      </c>
      <c r="N62" s="71">
        <v>50</v>
      </c>
      <c r="O62" s="71">
        <v>0</v>
      </c>
      <c r="P62" s="71">
        <v>10</v>
      </c>
      <c r="Q62" s="71">
        <v>40</v>
      </c>
      <c r="R62" s="71">
        <v>88</v>
      </c>
      <c r="S62" s="71" t="s">
        <v>1045</v>
      </c>
      <c r="T62" s="73">
        <v>45786</v>
      </c>
      <c r="U62" s="71" t="s">
        <v>3417</v>
      </c>
      <c r="V62" s="71" t="b">
        <v>0</v>
      </c>
    </row>
    <row r="63" spans="1:22" ht="17.25">
      <c r="A63" s="70">
        <v>35</v>
      </c>
      <c r="B63" s="70" t="s">
        <v>3284</v>
      </c>
      <c r="C63" s="70" t="s">
        <v>705</v>
      </c>
      <c r="D63" s="70" t="s">
        <v>3283</v>
      </c>
      <c r="E63" s="70" t="s">
        <v>133</v>
      </c>
      <c r="F63" s="71">
        <v>95</v>
      </c>
      <c r="G63" s="71">
        <v>1</v>
      </c>
      <c r="H63" s="72">
        <v>0.14722222222222223</v>
      </c>
      <c r="I63" s="71" t="b">
        <v>0</v>
      </c>
      <c r="J63" s="71">
        <v>61</v>
      </c>
      <c r="K63" s="71">
        <v>88</v>
      </c>
      <c r="L63" s="71">
        <v>93</v>
      </c>
      <c r="M63" s="71">
        <v>5</v>
      </c>
      <c r="N63" s="71">
        <v>0</v>
      </c>
      <c r="O63" s="71">
        <v>0</v>
      </c>
      <c r="P63" s="71">
        <v>21</v>
      </c>
      <c r="Q63" s="71">
        <v>88</v>
      </c>
      <c r="R63" s="71">
        <v>122</v>
      </c>
      <c r="S63" s="71" t="s">
        <v>96</v>
      </c>
      <c r="T63" s="73">
        <v>45723</v>
      </c>
      <c r="U63" s="71" t="s">
        <v>3418</v>
      </c>
      <c r="V63" s="71" t="b">
        <v>0</v>
      </c>
    </row>
    <row r="64" spans="1:22" ht="17.25">
      <c r="A64" s="70">
        <v>36</v>
      </c>
      <c r="B64" s="70" t="s">
        <v>3282</v>
      </c>
      <c r="C64" s="70" t="s">
        <v>182</v>
      </c>
      <c r="D64" s="70" t="s">
        <v>3281</v>
      </c>
      <c r="E64" s="70" t="s">
        <v>180</v>
      </c>
      <c r="F64" s="71">
        <v>127</v>
      </c>
      <c r="G64" s="71">
        <v>1</v>
      </c>
      <c r="H64" s="72" t="s">
        <v>4322</v>
      </c>
      <c r="I64" s="71" t="b">
        <v>1</v>
      </c>
      <c r="J64" s="71">
        <v>74</v>
      </c>
      <c r="K64" s="71">
        <v>52</v>
      </c>
      <c r="L64" s="71">
        <v>71</v>
      </c>
      <c r="M64" s="71">
        <v>12</v>
      </c>
      <c r="N64" s="71">
        <v>34</v>
      </c>
      <c r="O64" s="71">
        <v>0</v>
      </c>
      <c r="P64" s="71">
        <v>11</v>
      </c>
      <c r="Q64" s="71">
        <v>42</v>
      </c>
      <c r="R64" s="71">
        <v>94</v>
      </c>
      <c r="S64" s="71" t="s">
        <v>26</v>
      </c>
      <c r="T64" s="73" t="s">
        <v>4386</v>
      </c>
      <c r="U64" s="71" t="s">
        <v>3419</v>
      </c>
      <c r="V64" s="71" t="b">
        <v>0</v>
      </c>
    </row>
    <row r="65" spans="1:22" ht="17.25">
      <c r="A65" s="70">
        <v>36</v>
      </c>
      <c r="B65" s="70" t="s">
        <v>3282</v>
      </c>
      <c r="C65" s="70" t="s">
        <v>1260</v>
      </c>
      <c r="D65" s="70" t="s">
        <v>3281</v>
      </c>
      <c r="E65" s="70" t="s">
        <v>180</v>
      </c>
      <c r="F65" s="71">
        <v>127</v>
      </c>
      <c r="G65" s="71">
        <v>1</v>
      </c>
      <c r="H65" s="72" t="s">
        <v>4322</v>
      </c>
      <c r="I65" s="71" t="b">
        <v>1</v>
      </c>
      <c r="J65" s="71">
        <v>74</v>
      </c>
      <c r="K65" s="71">
        <v>52</v>
      </c>
      <c r="L65" s="71">
        <v>71</v>
      </c>
      <c r="M65" s="71">
        <v>12</v>
      </c>
      <c r="N65" s="71">
        <v>34</v>
      </c>
      <c r="O65" s="71">
        <v>0</v>
      </c>
      <c r="P65" s="71">
        <v>11</v>
      </c>
      <c r="Q65" s="71">
        <v>42</v>
      </c>
      <c r="R65" s="71">
        <v>94</v>
      </c>
      <c r="S65" s="71" t="s">
        <v>26</v>
      </c>
      <c r="T65" s="73" t="s">
        <v>4386</v>
      </c>
      <c r="U65" s="71" t="s">
        <v>3419</v>
      </c>
      <c r="V65" s="71" t="b">
        <v>0</v>
      </c>
    </row>
    <row r="66" spans="1:22" ht="17.25">
      <c r="A66" s="70">
        <v>37</v>
      </c>
      <c r="B66" s="70" t="s">
        <v>3280</v>
      </c>
      <c r="C66" s="70" t="s">
        <v>356</v>
      </c>
      <c r="D66" s="70" t="s">
        <v>3279</v>
      </c>
      <c r="E66" s="70" t="s">
        <v>200</v>
      </c>
      <c r="F66" s="71">
        <v>83</v>
      </c>
      <c r="G66" s="71">
        <v>61</v>
      </c>
      <c r="H66" s="72">
        <v>0.18611111111111112</v>
      </c>
      <c r="I66" s="71" t="b">
        <v>0</v>
      </c>
      <c r="J66" s="71">
        <v>55</v>
      </c>
      <c r="K66" s="71">
        <v>68</v>
      </c>
      <c r="L66" s="71">
        <v>89</v>
      </c>
      <c r="M66" s="71">
        <v>3</v>
      </c>
      <c r="N66" s="71">
        <v>1</v>
      </c>
      <c r="O66" s="71">
        <v>0</v>
      </c>
      <c r="P66" s="71">
        <v>21</v>
      </c>
      <c r="Q66" s="71">
        <v>16</v>
      </c>
      <c r="R66" s="71">
        <v>125</v>
      </c>
      <c r="S66" s="71" t="s">
        <v>1526</v>
      </c>
      <c r="T66" s="73">
        <v>41761</v>
      </c>
      <c r="U66" s="71" t="s">
        <v>3420</v>
      </c>
      <c r="V66" s="71" t="b">
        <v>0</v>
      </c>
    </row>
    <row r="67" spans="1:22" ht="17.25">
      <c r="A67" s="70">
        <v>38</v>
      </c>
      <c r="B67" s="70" t="s">
        <v>3278</v>
      </c>
      <c r="C67" s="70" t="s">
        <v>67</v>
      </c>
      <c r="D67" s="70" t="s">
        <v>2879</v>
      </c>
      <c r="E67" s="70" t="s">
        <v>344</v>
      </c>
      <c r="F67" s="71">
        <v>3</v>
      </c>
      <c r="G67" s="71">
        <v>105</v>
      </c>
      <c r="H67" s="72">
        <v>0.17777777777777778</v>
      </c>
      <c r="I67" s="71" t="b">
        <v>1</v>
      </c>
      <c r="J67" s="71">
        <v>77</v>
      </c>
      <c r="K67" s="71">
        <v>78</v>
      </c>
      <c r="L67" s="71">
        <v>92</v>
      </c>
      <c r="M67" s="71">
        <v>5</v>
      </c>
      <c r="N67" s="71">
        <v>7</v>
      </c>
      <c r="O67" s="71">
        <v>0</v>
      </c>
      <c r="P67" s="71">
        <v>14</v>
      </c>
      <c r="Q67" s="71">
        <v>60</v>
      </c>
      <c r="R67" s="71">
        <v>120</v>
      </c>
      <c r="S67" s="71" t="s">
        <v>26</v>
      </c>
      <c r="T67" s="73">
        <v>45562</v>
      </c>
      <c r="U67" s="71" t="s">
        <v>3421</v>
      </c>
      <c r="V67" s="71" t="b">
        <v>0</v>
      </c>
    </row>
    <row r="68" spans="1:22" ht="17.25">
      <c r="A68" s="70">
        <v>38</v>
      </c>
      <c r="B68" s="70" t="s">
        <v>3278</v>
      </c>
      <c r="C68" s="70" t="s">
        <v>237</v>
      </c>
      <c r="D68" s="70" t="s">
        <v>2879</v>
      </c>
      <c r="E68" s="70" t="s">
        <v>344</v>
      </c>
      <c r="F68" s="71">
        <v>3</v>
      </c>
      <c r="G68" s="71">
        <v>105</v>
      </c>
      <c r="H68" s="72">
        <v>0.17777777777777778</v>
      </c>
      <c r="I68" s="71" t="b">
        <v>1</v>
      </c>
      <c r="J68" s="71">
        <v>77</v>
      </c>
      <c r="K68" s="71">
        <v>78</v>
      </c>
      <c r="L68" s="71">
        <v>92</v>
      </c>
      <c r="M68" s="71">
        <v>5</v>
      </c>
      <c r="N68" s="71">
        <v>7</v>
      </c>
      <c r="O68" s="71">
        <v>0</v>
      </c>
      <c r="P68" s="71">
        <v>14</v>
      </c>
      <c r="Q68" s="71">
        <v>60</v>
      </c>
      <c r="R68" s="71">
        <v>120</v>
      </c>
      <c r="S68" s="71" t="s">
        <v>26</v>
      </c>
      <c r="T68" s="73">
        <v>45562</v>
      </c>
      <c r="U68" s="71" t="s">
        <v>3421</v>
      </c>
      <c r="V68" s="71" t="b">
        <v>0</v>
      </c>
    </row>
    <row r="69" spans="1:22" ht="17.25">
      <c r="A69" s="70">
        <v>39</v>
      </c>
      <c r="B69" s="70" t="s">
        <v>3277</v>
      </c>
      <c r="C69" s="70" t="s">
        <v>122</v>
      </c>
      <c r="D69" s="70" t="s">
        <v>156</v>
      </c>
      <c r="E69" s="70" t="s">
        <v>120</v>
      </c>
      <c r="F69" s="71">
        <v>1</v>
      </c>
      <c r="G69" s="71">
        <v>22</v>
      </c>
      <c r="H69" s="72">
        <v>0.12777777777777777</v>
      </c>
      <c r="I69" s="71" t="b">
        <v>0</v>
      </c>
      <c r="J69" s="71">
        <v>44</v>
      </c>
      <c r="K69" s="71">
        <v>72</v>
      </c>
      <c r="L69" s="71">
        <v>96</v>
      </c>
      <c r="M69" s="71">
        <v>3</v>
      </c>
      <c r="N69" s="71">
        <v>0</v>
      </c>
      <c r="O69" s="71">
        <v>0</v>
      </c>
      <c r="P69" s="71">
        <v>9</v>
      </c>
      <c r="Q69" s="71">
        <v>24</v>
      </c>
      <c r="R69" s="71">
        <v>93</v>
      </c>
      <c r="S69" s="71" t="s">
        <v>74</v>
      </c>
      <c r="T69" s="73">
        <v>45513</v>
      </c>
      <c r="U69" s="71" t="s">
        <v>3422</v>
      </c>
      <c r="V69" s="71" t="b">
        <v>0</v>
      </c>
    </row>
    <row r="70" spans="1:22" ht="17.25">
      <c r="A70" s="70">
        <v>40</v>
      </c>
      <c r="B70" s="70" t="s">
        <v>3276</v>
      </c>
      <c r="C70" s="70" t="s">
        <v>2061</v>
      </c>
      <c r="D70" s="70" t="s">
        <v>3275</v>
      </c>
      <c r="E70" s="70" t="s">
        <v>1485</v>
      </c>
      <c r="F70" s="71">
        <v>34</v>
      </c>
      <c r="G70" s="71">
        <v>9</v>
      </c>
      <c r="H70" s="72" t="s">
        <v>4393</v>
      </c>
      <c r="I70" s="71" t="b">
        <v>1</v>
      </c>
      <c r="J70" s="71">
        <v>75</v>
      </c>
      <c r="K70" s="71">
        <v>58</v>
      </c>
      <c r="L70" s="71">
        <v>71</v>
      </c>
      <c r="M70" s="71">
        <v>6</v>
      </c>
      <c r="N70" s="71">
        <v>24</v>
      </c>
      <c r="O70" s="71">
        <v>0</v>
      </c>
      <c r="P70" s="71">
        <v>14</v>
      </c>
      <c r="Q70" s="71">
        <v>61</v>
      </c>
      <c r="R70" s="71">
        <v>116</v>
      </c>
      <c r="S70" s="71" t="s">
        <v>48</v>
      </c>
      <c r="T70" s="73" t="s">
        <v>4394</v>
      </c>
      <c r="U70" s="71" t="s">
        <v>3423</v>
      </c>
      <c r="V70" s="71" t="b">
        <v>0</v>
      </c>
    </row>
    <row r="71" spans="1:22" ht="17.25">
      <c r="A71" s="70">
        <v>41</v>
      </c>
      <c r="B71" s="70" t="s">
        <v>3274</v>
      </c>
      <c r="C71" s="70" t="s">
        <v>159</v>
      </c>
      <c r="D71" s="70" t="s">
        <v>3273</v>
      </c>
      <c r="E71" s="70" t="s">
        <v>319</v>
      </c>
      <c r="F71" s="71">
        <v>36</v>
      </c>
      <c r="G71" s="71">
        <v>23</v>
      </c>
      <c r="H71" s="72">
        <v>0.13055555555555556</v>
      </c>
      <c r="I71" s="71" t="b">
        <v>0</v>
      </c>
      <c r="J71" s="71">
        <v>72</v>
      </c>
      <c r="K71" s="71">
        <v>70</v>
      </c>
      <c r="L71" s="71">
        <v>78</v>
      </c>
      <c r="M71" s="71">
        <v>6</v>
      </c>
      <c r="N71" s="71">
        <v>20</v>
      </c>
      <c r="O71" s="71">
        <v>0</v>
      </c>
      <c r="P71" s="71">
        <v>10</v>
      </c>
      <c r="Q71" s="71">
        <v>68</v>
      </c>
      <c r="R71" s="71">
        <v>110</v>
      </c>
      <c r="S71" s="71" t="s">
        <v>96</v>
      </c>
      <c r="T71" s="73">
        <v>45744</v>
      </c>
      <c r="U71" s="71" t="s">
        <v>3424</v>
      </c>
      <c r="V71" s="71" t="b">
        <v>0</v>
      </c>
    </row>
    <row r="72" spans="1:22" ht="17.25">
      <c r="A72" s="70">
        <v>42</v>
      </c>
      <c r="B72" s="70" t="s">
        <v>3272</v>
      </c>
      <c r="C72" s="70" t="s">
        <v>3271</v>
      </c>
      <c r="D72" s="70" t="s">
        <v>3270</v>
      </c>
      <c r="E72" s="70" t="s">
        <v>3269</v>
      </c>
      <c r="F72" s="71">
        <v>146</v>
      </c>
      <c r="G72" s="71">
        <v>3</v>
      </c>
      <c r="H72" s="72">
        <v>0.16041666666666668</v>
      </c>
      <c r="I72" s="71" t="b">
        <v>0</v>
      </c>
      <c r="J72" s="71">
        <v>54</v>
      </c>
      <c r="K72" s="71">
        <v>87</v>
      </c>
      <c r="L72" s="71">
        <v>89</v>
      </c>
      <c r="M72" s="71">
        <v>4</v>
      </c>
      <c r="N72" s="71">
        <v>36</v>
      </c>
      <c r="O72" s="71">
        <v>0</v>
      </c>
      <c r="P72" s="71">
        <v>79</v>
      </c>
      <c r="Q72" s="71">
        <v>75</v>
      </c>
      <c r="R72" s="71">
        <v>101</v>
      </c>
      <c r="S72" s="71" t="s">
        <v>1760</v>
      </c>
      <c r="T72" s="73">
        <v>27987</v>
      </c>
      <c r="U72" s="71" t="s">
        <v>3425</v>
      </c>
      <c r="V72" s="71" t="b">
        <v>0</v>
      </c>
    </row>
    <row r="73" spans="1:22" ht="17.25">
      <c r="A73" s="70">
        <v>43</v>
      </c>
      <c r="B73" s="70" t="s">
        <v>3268</v>
      </c>
      <c r="C73" s="70" t="s">
        <v>310</v>
      </c>
      <c r="D73" s="70" t="s">
        <v>3267</v>
      </c>
      <c r="E73" s="70" t="s">
        <v>308</v>
      </c>
      <c r="F73" s="71">
        <v>110</v>
      </c>
      <c r="G73" s="71">
        <v>6</v>
      </c>
      <c r="H73" s="72">
        <v>0.13541666666666666</v>
      </c>
      <c r="I73" s="71" t="b">
        <v>0</v>
      </c>
      <c r="J73" s="71">
        <v>45</v>
      </c>
      <c r="K73" s="71">
        <v>40</v>
      </c>
      <c r="L73" s="71">
        <v>70</v>
      </c>
      <c r="M73" s="71">
        <v>3</v>
      </c>
      <c r="N73" s="71">
        <v>65</v>
      </c>
      <c r="O73" s="71">
        <v>0</v>
      </c>
      <c r="P73" s="71">
        <v>15</v>
      </c>
      <c r="Q73" s="71">
        <v>55</v>
      </c>
      <c r="R73" s="71">
        <v>85</v>
      </c>
      <c r="S73" s="71" t="s">
        <v>29</v>
      </c>
      <c r="T73" s="73">
        <v>40840</v>
      </c>
      <c r="U73" s="71" t="s">
        <v>3426</v>
      </c>
      <c r="V73" s="71" t="b">
        <v>1</v>
      </c>
    </row>
    <row r="74" spans="1:22" ht="17.25">
      <c r="A74" s="70">
        <v>44</v>
      </c>
      <c r="B74" s="70" t="s">
        <v>3266</v>
      </c>
      <c r="C74" s="70" t="s">
        <v>4576</v>
      </c>
      <c r="D74" s="70" t="s">
        <v>3265</v>
      </c>
      <c r="E74" s="70" t="s">
        <v>188</v>
      </c>
      <c r="F74" s="71">
        <v>124</v>
      </c>
      <c r="G74" s="71">
        <v>1</v>
      </c>
      <c r="H74" s="72" t="s">
        <v>4391</v>
      </c>
      <c r="I74" s="71" t="b">
        <v>1</v>
      </c>
      <c r="J74" s="71">
        <v>75</v>
      </c>
      <c r="K74" s="71">
        <v>69</v>
      </c>
      <c r="L74" s="71">
        <v>74</v>
      </c>
      <c r="M74" s="71">
        <v>6</v>
      </c>
      <c r="N74" s="71">
        <v>20</v>
      </c>
      <c r="O74" s="71">
        <v>0</v>
      </c>
      <c r="P74" s="71">
        <v>14</v>
      </c>
      <c r="Q74" s="71">
        <v>84</v>
      </c>
      <c r="R74" s="71">
        <v>138</v>
      </c>
      <c r="S74" s="71" t="s">
        <v>61</v>
      </c>
      <c r="T74" s="73" t="s">
        <v>4392</v>
      </c>
      <c r="U74" s="71" t="s">
        <v>3427</v>
      </c>
      <c r="V74" s="71" t="b">
        <v>0</v>
      </c>
    </row>
    <row r="75" spans="1:22" ht="17.25">
      <c r="A75" s="70">
        <v>44</v>
      </c>
      <c r="B75" s="70" t="s">
        <v>3266</v>
      </c>
      <c r="C75" s="70" t="s">
        <v>651</v>
      </c>
      <c r="D75" s="70" t="s">
        <v>3265</v>
      </c>
      <c r="E75" s="70" t="s">
        <v>188</v>
      </c>
      <c r="F75" s="71">
        <v>124</v>
      </c>
      <c r="G75" s="71">
        <v>1</v>
      </c>
      <c r="H75" s="72" t="s">
        <v>4391</v>
      </c>
      <c r="I75" s="71" t="b">
        <v>1</v>
      </c>
      <c r="J75" s="71">
        <v>75</v>
      </c>
      <c r="K75" s="71">
        <v>69</v>
      </c>
      <c r="L75" s="71">
        <v>74</v>
      </c>
      <c r="M75" s="71">
        <v>6</v>
      </c>
      <c r="N75" s="71">
        <v>20</v>
      </c>
      <c r="O75" s="71">
        <v>0</v>
      </c>
      <c r="P75" s="71">
        <v>14</v>
      </c>
      <c r="Q75" s="71">
        <v>84</v>
      </c>
      <c r="R75" s="71">
        <v>138</v>
      </c>
      <c r="S75" s="71" t="s">
        <v>61</v>
      </c>
      <c r="T75" s="73" t="s">
        <v>4392</v>
      </c>
      <c r="U75" s="71" t="s">
        <v>3427</v>
      </c>
      <c r="V75" s="71" t="b">
        <v>0</v>
      </c>
    </row>
    <row r="76" spans="1:22" ht="17.25">
      <c r="A76" s="70">
        <v>44</v>
      </c>
      <c r="B76" s="70" t="s">
        <v>3266</v>
      </c>
      <c r="C76" s="70" t="s">
        <v>1987</v>
      </c>
      <c r="D76" s="70" t="s">
        <v>3265</v>
      </c>
      <c r="E76" s="70" t="s">
        <v>188</v>
      </c>
      <c r="F76" s="71">
        <v>124</v>
      </c>
      <c r="G76" s="71">
        <v>1</v>
      </c>
      <c r="H76" s="72" t="s">
        <v>4391</v>
      </c>
      <c r="I76" s="71" t="b">
        <v>1</v>
      </c>
      <c r="J76" s="71">
        <v>75</v>
      </c>
      <c r="K76" s="71">
        <v>69</v>
      </c>
      <c r="L76" s="71">
        <v>74</v>
      </c>
      <c r="M76" s="71">
        <v>6</v>
      </c>
      <c r="N76" s="71">
        <v>20</v>
      </c>
      <c r="O76" s="71">
        <v>0</v>
      </c>
      <c r="P76" s="71">
        <v>14</v>
      </c>
      <c r="Q76" s="71">
        <v>84</v>
      </c>
      <c r="R76" s="71">
        <v>138</v>
      </c>
      <c r="S76" s="71" t="s">
        <v>61</v>
      </c>
      <c r="T76" s="73" t="s">
        <v>4392</v>
      </c>
      <c r="U76" s="71" t="s">
        <v>3427</v>
      </c>
      <c r="V76" s="71" t="b">
        <v>0</v>
      </c>
    </row>
    <row r="77" spans="1:22" ht="17.25">
      <c r="A77" s="70">
        <v>45</v>
      </c>
      <c r="B77" s="70" t="s">
        <v>3264</v>
      </c>
      <c r="C77" s="70" t="s">
        <v>4409</v>
      </c>
      <c r="D77" s="70" t="s">
        <v>3263</v>
      </c>
      <c r="E77" s="70" t="s">
        <v>120</v>
      </c>
      <c r="F77" s="71">
        <v>103</v>
      </c>
      <c r="G77" s="71">
        <v>5</v>
      </c>
      <c r="H77" s="72">
        <v>0.11666666666666667</v>
      </c>
      <c r="I77" s="71" t="b">
        <v>0</v>
      </c>
      <c r="J77" s="71">
        <v>50</v>
      </c>
      <c r="K77" s="71">
        <v>45</v>
      </c>
      <c r="L77" s="71">
        <v>72</v>
      </c>
      <c r="M77" s="71">
        <v>4</v>
      </c>
      <c r="N77" s="71">
        <v>55</v>
      </c>
      <c r="O77" s="71">
        <v>0</v>
      </c>
      <c r="P77" s="71">
        <v>16</v>
      </c>
      <c r="Q77" s="71">
        <v>65</v>
      </c>
      <c r="R77" s="71">
        <v>95</v>
      </c>
      <c r="S77" s="71" t="s">
        <v>29</v>
      </c>
      <c r="T77" s="73">
        <v>41933</v>
      </c>
      <c r="U77" s="71" t="s">
        <v>3428</v>
      </c>
      <c r="V77" s="71" t="b">
        <v>1</v>
      </c>
    </row>
    <row r="78" spans="1:22" ht="17.25">
      <c r="A78" s="70">
        <v>45</v>
      </c>
      <c r="B78" s="70" t="s">
        <v>3264</v>
      </c>
      <c r="C78" s="70" t="s">
        <v>310</v>
      </c>
      <c r="D78" s="70" t="s">
        <v>3263</v>
      </c>
      <c r="E78" s="70" t="s">
        <v>120</v>
      </c>
      <c r="F78" s="71">
        <v>103</v>
      </c>
      <c r="G78" s="71">
        <v>5</v>
      </c>
      <c r="H78" s="72">
        <v>0.11666666666666667</v>
      </c>
      <c r="I78" s="71" t="b">
        <v>0</v>
      </c>
      <c r="J78" s="71">
        <v>50</v>
      </c>
      <c r="K78" s="71">
        <v>45</v>
      </c>
      <c r="L78" s="71">
        <v>72</v>
      </c>
      <c r="M78" s="71">
        <v>4</v>
      </c>
      <c r="N78" s="71">
        <v>55</v>
      </c>
      <c r="O78" s="71">
        <v>0</v>
      </c>
      <c r="P78" s="71">
        <v>16</v>
      </c>
      <c r="Q78" s="71">
        <v>65</v>
      </c>
      <c r="R78" s="71">
        <v>95</v>
      </c>
      <c r="S78" s="71" t="s">
        <v>29</v>
      </c>
      <c r="T78" s="73">
        <v>41933</v>
      </c>
      <c r="U78" s="71" t="s">
        <v>3428</v>
      </c>
      <c r="V78" s="71" t="b">
        <v>1</v>
      </c>
    </row>
    <row r="79" spans="1:22" ht="17.25">
      <c r="A79" s="70">
        <v>46</v>
      </c>
      <c r="B79" s="70" t="s">
        <v>3262</v>
      </c>
      <c r="C79" s="70" t="s">
        <v>3261</v>
      </c>
      <c r="D79" s="70" t="s">
        <v>3260</v>
      </c>
      <c r="E79" s="70" t="s">
        <v>3259</v>
      </c>
      <c r="F79" s="71">
        <v>144</v>
      </c>
      <c r="G79" s="71">
        <v>5</v>
      </c>
      <c r="H79" s="72">
        <v>0.14930555555555555</v>
      </c>
      <c r="I79" s="71" t="b">
        <v>0</v>
      </c>
      <c r="J79" s="71">
        <v>58</v>
      </c>
      <c r="K79" s="71">
        <v>55</v>
      </c>
      <c r="L79" s="71">
        <v>74</v>
      </c>
      <c r="M79" s="71">
        <v>5</v>
      </c>
      <c r="N79" s="71">
        <v>45</v>
      </c>
      <c r="O79" s="71">
        <v>0</v>
      </c>
      <c r="P79" s="71">
        <v>11</v>
      </c>
      <c r="Q79" s="71">
        <v>42</v>
      </c>
      <c r="R79" s="71">
        <v>92</v>
      </c>
      <c r="S79" s="71" t="s">
        <v>1028</v>
      </c>
      <c r="T79" s="73">
        <v>45548</v>
      </c>
      <c r="U79" s="71" t="s">
        <v>3429</v>
      </c>
      <c r="V79" s="71" t="b">
        <v>0</v>
      </c>
    </row>
    <row r="80" spans="1:22" ht="17.25">
      <c r="A80" s="70">
        <v>47</v>
      </c>
      <c r="B80" s="70" t="s">
        <v>3258</v>
      </c>
      <c r="C80" s="70" t="s">
        <v>1739</v>
      </c>
      <c r="D80" s="70" t="s">
        <v>3257</v>
      </c>
      <c r="E80" s="70" t="s">
        <v>1737</v>
      </c>
      <c r="F80" s="71">
        <v>89</v>
      </c>
      <c r="G80" s="71">
        <v>23</v>
      </c>
      <c r="H80" s="72">
        <v>0.15416666666666667</v>
      </c>
      <c r="I80" s="71" t="b">
        <v>0</v>
      </c>
      <c r="J80" s="71">
        <v>68</v>
      </c>
      <c r="K80" s="71">
        <v>47</v>
      </c>
      <c r="L80" s="71">
        <v>84</v>
      </c>
      <c r="M80" s="71">
        <v>3</v>
      </c>
      <c r="N80" s="71">
        <v>58</v>
      </c>
      <c r="O80" s="71">
        <v>57</v>
      </c>
      <c r="P80" s="71">
        <v>16</v>
      </c>
      <c r="Q80" s="71">
        <v>59</v>
      </c>
      <c r="R80" s="71">
        <v>148</v>
      </c>
      <c r="S80" s="71" t="s">
        <v>74</v>
      </c>
      <c r="T80" s="73">
        <v>45464</v>
      </c>
      <c r="U80" s="71" t="s">
        <v>3430</v>
      </c>
      <c r="V80" s="71" t="b">
        <v>0</v>
      </c>
    </row>
    <row r="81" spans="1:22" ht="17.25">
      <c r="A81" s="70">
        <v>48</v>
      </c>
      <c r="B81" s="70" t="s">
        <v>3256</v>
      </c>
      <c r="C81" s="70" t="s">
        <v>373</v>
      </c>
      <c r="D81" s="70" t="s">
        <v>3255</v>
      </c>
      <c r="E81" s="70" t="s">
        <v>171</v>
      </c>
      <c r="F81" s="71">
        <v>5</v>
      </c>
      <c r="G81" s="71">
        <v>45</v>
      </c>
      <c r="H81" s="72">
        <v>0.1</v>
      </c>
      <c r="I81" s="71" t="b">
        <v>0</v>
      </c>
      <c r="J81" s="71">
        <v>78</v>
      </c>
      <c r="K81" s="71">
        <v>71</v>
      </c>
      <c r="L81" s="71">
        <v>93</v>
      </c>
      <c r="M81" s="71">
        <v>9</v>
      </c>
      <c r="N81" s="71">
        <v>2</v>
      </c>
      <c r="O81" s="71">
        <v>21</v>
      </c>
      <c r="P81" s="71">
        <v>14</v>
      </c>
      <c r="Q81" s="71">
        <v>62</v>
      </c>
      <c r="R81" s="71">
        <v>130</v>
      </c>
      <c r="S81" s="71" t="s">
        <v>413</v>
      </c>
      <c r="T81" s="73">
        <v>45505</v>
      </c>
      <c r="U81" s="71" t="s">
        <v>3431</v>
      </c>
      <c r="V81" s="71" t="b">
        <v>0</v>
      </c>
    </row>
    <row r="82" spans="1:22" ht="17.25">
      <c r="A82" s="70">
        <v>48</v>
      </c>
      <c r="B82" s="70" t="s">
        <v>3256</v>
      </c>
      <c r="C82" s="70" t="s">
        <v>415</v>
      </c>
      <c r="D82" s="70" t="s">
        <v>3255</v>
      </c>
      <c r="E82" s="70" t="s">
        <v>171</v>
      </c>
      <c r="F82" s="71">
        <v>5</v>
      </c>
      <c r="G82" s="71">
        <v>45</v>
      </c>
      <c r="H82" s="72">
        <v>0.1</v>
      </c>
      <c r="I82" s="71" t="b">
        <v>0</v>
      </c>
      <c r="J82" s="71">
        <v>78</v>
      </c>
      <c r="K82" s="71">
        <v>71</v>
      </c>
      <c r="L82" s="71">
        <v>93</v>
      </c>
      <c r="M82" s="71">
        <v>9</v>
      </c>
      <c r="N82" s="71">
        <v>2</v>
      </c>
      <c r="O82" s="71">
        <v>21</v>
      </c>
      <c r="P82" s="71">
        <v>14</v>
      </c>
      <c r="Q82" s="71">
        <v>62</v>
      </c>
      <c r="R82" s="71">
        <v>130</v>
      </c>
      <c r="S82" s="71" t="s">
        <v>413</v>
      </c>
      <c r="T82" s="73">
        <v>45505</v>
      </c>
      <c r="U82" s="71" t="s">
        <v>3431</v>
      </c>
      <c r="V82" s="71" t="b">
        <v>0</v>
      </c>
    </row>
    <row r="83" spans="1:22" ht="17.25">
      <c r="A83" s="70">
        <v>49</v>
      </c>
      <c r="B83" s="70" t="s">
        <v>3254</v>
      </c>
      <c r="C83" s="70" t="s">
        <v>3253</v>
      </c>
      <c r="D83" s="70" t="s">
        <v>3252</v>
      </c>
      <c r="E83" s="70" t="s">
        <v>735</v>
      </c>
      <c r="F83" s="71">
        <v>14</v>
      </c>
      <c r="G83" s="71">
        <v>97</v>
      </c>
      <c r="H83" s="72">
        <v>0.13541666666666666</v>
      </c>
      <c r="I83" s="71" t="b">
        <v>0</v>
      </c>
      <c r="J83" s="71">
        <v>68</v>
      </c>
      <c r="K83" s="71">
        <v>61</v>
      </c>
      <c r="L83" s="71">
        <v>86</v>
      </c>
      <c r="M83" s="71">
        <v>10</v>
      </c>
      <c r="N83" s="71">
        <v>3</v>
      </c>
      <c r="O83" s="71">
        <v>0</v>
      </c>
      <c r="P83" s="71">
        <v>19</v>
      </c>
      <c r="Q83" s="71">
        <v>50</v>
      </c>
      <c r="R83" s="71">
        <v>81</v>
      </c>
      <c r="S83" s="71" t="s">
        <v>26</v>
      </c>
      <c r="T83" s="73">
        <v>40491</v>
      </c>
      <c r="U83" s="71" t="s">
        <v>3432</v>
      </c>
      <c r="V83" s="71" t="b">
        <v>0</v>
      </c>
    </row>
    <row r="84" spans="1:22" ht="17.25">
      <c r="A84" s="70">
        <v>50</v>
      </c>
      <c r="B84" s="70" t="s">
        <v>3251</v>
      </c>
      <c r="C84" s="70" t="s">
        <v>766</v>
      </c>
      <c r="D84" s="70" t="s">
        <v>3250</v>
      </c>
      <c r="E84" s="70" t="s">
        <v>764</v>
      </c>
      <c r="F84" s="71">
        <v>150</v>
      </c>
      <c r="G84" s="71">
        <v>1</v>
      </c>
      <c r="H84" s="72" t="s">
        <v>4343</v>
      </c>
      <c r="I84" s="71" t="b">
        <v>0</v>
      </c>
      <c r="J84" s="71">
        <v>64</v>
      </c>
      <c r="K84" s="71">
        <v>68</v>
      </c>
      <c r="L84" s="71">
        <v>73</v>
      </c>
      <c r="M84" s="71">
        <v>5</v>
      </c>
      <c r="N84" s="71">
        <v>28</v>
      </c>
      <c r="O84" s="71">
        <v>0</v>
      </c>
      <c r="P84" s="71">
        <v>13</v>
      </c>
      <c r="Q84" s="71">
        <v>52</v>
      </c>
      <c r="R84" s="71">
        <v>125</v>
      </c>
      <c r="S84" s="71" t="s">
        <v>79</v>
      </c>
      <c r="T84" s="73" t="s">
        <v>4376</v>
      </c>
      <c r="U84" s="71" t="s">
        <v>3433</v>
      </c>
      <c r="V84" s="71" t="b">
        <v>0</v>
      </c>
    </row>
    <row r="85" spans="1:22" ht="17.25">
      <c r="A85" s="70">
        <v>51</v>
      </c>
      <c r="B85" s="70" t="s">
        <v>3249</v>
      </c>
      <c r="C85" s="70" t="s">
        <v>366</v>
      </c>
      <c r="D85" s="70" t="s">
        <v>3248</v>
      </c>
      <c r="E85" s="70" t="s">
        <v>171</v>
      </c>
      <c r="F85" s="71">
        <v>6</v>
      </c>
      <c r="G85" s="71">
        <v>205</v>
      </c>
      <c r="H85" s="72">
        <v>0.14305555555555555</v>
      </c>
      <c r="I85" s="71" t="b">
        <v>0</v>
      </c>
      <c r="J85" s="71">
        <v>85</v>
      </c>
      <c r="K85" s="71">
        <v>56</v>
      </c>
      <c r="L85" s="71">
        <v>92</v>
      </c>
      <c r="M85" s="71">
        <v>4</v>
      </c>
      <c r="N85" s="71">
        <v>1</v>
      </c>
      <c r="O85" s="71">
        <v>0</v>
      </c>
      <c r="P85" s="71">
        <v>9</v>
      </c>
      <c r="Q85" s="71">
        <v>86</v>
      </c>
      <c r="R85" s="71">
        <v>134</v>
      </c>
      <c r="S85" s="71" t="s">
        <v>26</v>
      </c>
      <c r="T85" s="73">
        <v>42692</v>
      </c>
      <c r="U85" s="71" t="s">
        <v>3434</v>
      </c>
      <c r="V85" s="71" t="b">
        <v>0</v>
      </c>
    </row>
    <row r="86" spans="1:22" ht="17.25">
      <c r="A86" s="70">
        <v>52</v>
      </c>
      <c r="B86" s="70" t="s">
        <v>3247</v>
      </c>
      <c r="C86" s="70" t="s">
        <v>511</v>
      </c>
      <c r="D86" s="70" t="s">
        <v>3246</v>
      </c>
      <c r="E86" s="70" t="s">
        <v>124</v>
      </c>
      <c r="F86" s="71">
        <v>5</v>
      </c>
      <c r="G86" s="71">
        <v>14</v>
      </c>
      <c r="H86" s="72" t="s">
        <v>4340</v>
      </c>
      <c r="I86" s="71" t="b">
        <v>1</v>
      </c>
      <c r="J86" s="71">
        <v>76</v>
      </c>
      <c r="K86" s="71">
        <v>78</v>
      </c>
      <c r="L86" s="71">
        <v>76</v>
      </c>
      <c r="M86" s="71">
        <v>7</v>
      </c>
      <c r="N86" s="71">
        <v>12</v>
      </c>
      <c r="O86" s="71">
        <v>0</v>
      </c>
      <c r="P86" s="71">
        <v>18</v>
      </c>
      <c r="Q86" s="71">
        <v>75</v>
      </c>
      <c r="R86" s="71">
        <v>118</v>
      </c>
      <c r="S86" s="71" t="s">
        <v>115</v>
      </c>
      <c r="T86" s="73" t="s">
        <v>4341</v>
      </c>
      <c r="U86" s="71" t="s">
        <v>3435</v>
      </c>
      <c r="V86" s="71" t="b">
        <v>0</v>
      </c>
    </row>
    <row r="87" spans="1:22" ht="17.25">
      <c r="A87" s="70">
        <v>53</v>
      </c>
      <c r="B87" s="70" t="s">
        <v>3245</v>
      </c>
      <c r="C87" s="70" t="s">
        <v>4410</v>
      </c>
      <c r="D87" s="70" t="s">
        <v>3244</v>
      </c>
      <c r="E87" s="70" t="s">
        <v>188</v>
      </c>
      <c r="F87" s="71">
        <v>47</v>
      </c>
      <c r="G87" s="71">
        <v>10</v>
      </c>
      <c r="H87" s="72" t="s">
        <v>4317</v>
      </c>
      <c r="I87" s="71" t="b">
        <v>1</v>
      </c>
      <c r="J87" s="71">
        <v>74</v>
      </c>
      <c r="K87" s="71">
        <v>65</v>
      </c>
      <c r="L87" s="71">
        <v>72</v>
      </c>
      <c r="M87" s="71">
        <v>5</v>
      </c>
      <c r="N87" s="71">
        <v>29</v>
      </c>
      <c r="O87" s="71">
        <v>0</v>
      </c>
      <c r="P87" s="71">
        <v>12</v>
      </c>
      <c r="Q87" s="71">
        <v>83</v>
      </c>
      <c r="R87" s="71">
        <v>140</v>
      </c>
      <c r="S87" s="71" t="s">
        <v>61</v>
      </c>
      <c r="T87" s="73" t="s">
        <v>4390</v>
      </c>
      <c r="U87" s="71" t="s">
        <v>3436</v>
      </c>
      <c r="V87" s="71" t="b">
        <v>0</v>
      </c>
    </row>
    <row r="88" spans="1:22" ht="17.25">
      <c r="A88" s="70">
        <v>53</v>
      </c>
      <c r="B88" s="70" t="s">
        <v>3245</v>
      </c>
      <c r="C88" s="70" t="s">
        <v>4577</v>
      </c>
      <c r="D88" s="70" t="s">
        <v>3244</v>
      </c>
      <c r="E88" s="70" t="s">
        <v>188</v>
      </c>
      <c r="F88" s="71">
        <v>47</v>
      </c>
      <c r="G88" s="71">
        <v>10</v>
      </c>
      <c r="H88" s="72" t="s">
        <v>4317</v>
      </c>
      <c r="I88" s="71" t="b">
        <v>1</v>
      </c>
      <c r="J88" s="71">
        <v>74</v>
      </c>
      <c r="K88" s="71">
        <v>65</v>
      </c>
      <c r="L88" s="71">
        <v>72</v>
      </c>
      <c r="M88" s="71">
        <v>5</v>
      </c>
      <c r="N88" s="71">
        <v>29</v>
      </c>
      <c r="O88" s="71">
        <v>0</v>
      </c>
      <c r="P88" s="71">
        <v>12</v>
      </c>
      <c r="Q88" s="71">
        <v>83</v>
      </c>
      <c r="R88" s="71">
        <v>140</v>
      </c>
      <c r="S88" s="71" t="s">
        <v>61</v>
      </c>
      <c r="T88" s="73" t="s">
        <v>4390</v>
      </c>
      <c r="U88" s="71" t="s">
        <v>3436</v>
      </c>
      <c r="V88" s="71" t="b">
        <v>0</v>
      </c>
    </row>
    <row r="89" spans="1:22" ht="17.25">
      <c r="A89" s="70">
        <v>54</v>
      </c>
      <c r="B89" s="70" t="s">
        <v>3243</v>
      </c>
      <c r="C89" s="70" t="s">
        <v>141</v>
      </c>
      <c r="D89" s="70" t="s">
        <v>489</v>
      </c>
      <c r="E89" s="70" t="s">
        <v>62</v>
      </c>
      <c r="F89" s="71">
        <v>17</v>
      </c>
      <c r="G89" s="71">
        <v>21</v>
      </c>
      <c r="H89" s="72">
        <v>0.12847222222222221</v>
      </c>
      <c r="I89" s="71" t="b">
        <v>1</v>
      </c>
      <c r="J89" s="71">
        <v>80</v>
      </c>
      <c r="K89" s="71">
        <v>73</v>
      </c>
      <c r="L89" s="71">
        <v>90</v>
      </c>
      <c r="M89" s="71">
        <v>3</v>
      </c>
      <c r="N89" s="71">
        <v>70</v>
      </c>
      <c r="O89" s="71">
        <v>0</v>
      </c>
      <c r="P89" s="71">
        <v>12</v>
      </c>
      <c r="Q89" s="71">
        <v>60</v>
      </c>
      <c r="R89" s="71">
        <v>120</v>
      </c>
      <c r="S89" s="71" t="s">
        <v>61</v>
      </c>
      <c r="T89" s="73">
        <v>45765</v>
      </c>
      <c r="U89" s="71" t="s">
        <v>3437</v>
      </c>
      <c r="V89" s="71" t="b">
        <v>0</v>
      </c>
    </row>
    <row r="90" spans="1:22" ht="17.25">
      <c r="A90" s="70">
        <v>55</v>
      </c>
      <c r="B90" s="70" t="s">
        <v>3242</v>
      </c>
      <c r="C90" s="70" t="s">
        <v>54</v>
      </c>
      <c r="D90" s="70" t="s">
        <v>3241</v>
      </c>
      <c r="E90" s="70" t="s">
        <v>324</v>
      </c>
      <c r="F90" s="71">
        <v>37</v>
      </c>
      <c r="G90" s="71">
        <v>2</v>
      </c>
      <c r="H90" s="72" t="s">
        <v>4320</v>
      </c>
      <c r="I90" s="71" t="b">
        <v>0</v>
      </c>
      <c r="J90" s="71">
        <v>65</v>
      </c>
      <c r="K90" s="71">
        <v>50</v>
      </c>
      <c r="L90" s="71">
        <v>71</v>
      </c>
      <c r="M90" s="71">
        <v>5</v>
      </c>
      <c r="N90" s="71">
        <v>52</v>
      </c>
      <c r="O90" s="71">
        <v>0</v>
      </c>
      <c r="P90" s="71">
        <v>13</v>
      </c>
      <c r="Q90" s="71">
        <v>41</v>
      </c>
      <c r="R90" s="71">
        <v>88</v>
      </c>
      <c r="S90" s="71" t="s">
        <v>96</v>
      </c>
      <c r="T90" s="73" t="s">
        <v>4368</v>
      </c>
      <c r="U90" s="71" t="s">
        <v>3387</v>
      </c>
      <c r="V90" s="71" t="b">
        <v>0</v>
      </c>
    </row>
    <row r="91" spans="1:22" ht="17.25">
      <c r="A91" s="70">
        <v>56</v>
      </c>
      <c r="B91" s="70" t="s">
        <v>3240</v>
      </c>
      <c r="C91" s="70" t="s">
        <v>3239</v>
      </c>
      <c r="D91" s="70" t="s">
        <v>3238</v>
      </c>
      <c r="E91" s="70" t="s">
        <v>3237</v>
      </c>
      <c r="F91" s="71">
        <v>141</v>
      </c>
      <c r="G91" s="71">
        <v>1</v>
      </c>
      <c r="H91" s="72">
        <v>0.14027777777777778</v>
      </c>
      <c r="I91" s="71" t="b">
        <v>0</v>
      </c>
      <c r="J91" s="71">
        <v>42</v>
      </c>
      <c r="K91" s="71">
        <v>66</v>
      </c>
      <c r="L91" s="71">
        <v>91</v>
      </c>
      <c r="M91" s="71">
        <v>4</v>
      </c>
      <c r="N91" s="71">
        <v>52</v>
      </c>
      <c r="O91" s="71">
        <v>0</v>
      </c>
      <c r="P91" s="71">
        <v>7</v>
      </c>
      <c r="Q91" s="71">
        <v>38</v>
      </c>
      <c r="R91" s="71">
        <v>112</v>
      </c>
      <c r="S91" s="71" t="s">
        <v>143</v>
      </c>
      <c r="T91" s="73">
        <v>37397</v>
      </c>
      <c r="U91" s="71" t="s">
        <v>3438</v>
      </c>
      <c r="V91" s="71" t="b">
        <v>0</v>
      </c>
    </row>
    <row r="92" spans="1:22" ht="17.25">
      <c r="A92" s="70">
        <v>57</v>
      </c>
      <c r="B92" s="70" t="s">
        <v>3236</v>
      </c>
      <c r="C92" s="70" t="s">
        <v>4579</v>
      </c>
      <c r="D92" s="70" t="s">
        <v>3235</v>
      </c>
      <c r="E92" s="70" t="s">
        <v>924</v>
      </c>
      <c r="F92" s="71">
        <v>15</v>
      </c>
      <c r="G92" s="71">
        <v>22</v>
      </c>
      <c r="H92" s="72" t="s">
        <v>4387</v>
      </c>
      <c r="I92" s="71" t="b">
        <v>0</v>
      </c>
      <c r="J92" s="71">
        <v>82</v>
      </c>
      <c r="K92" s="71">
        <v>80</v>
      </c>
      <c r="L92" s="71">
        <v>75</v>
      </c>
      <c r="M92" s="71">
        <v>10</v>
      </c>
      <c r="N92" s="71">
        <v>11</v>
      </c>
      <c r="O92" s="71">
        <v>0</v>
      </c>
      <c r="P92" s="71">
        <v>18</v>
      </c>
      <c r="Q92" s="71">
        <v>76</v>
      </c>
      <c r="R92" s="71">
        <v>128</v>
      </c>
      <c r="S92" s="71" t="s">
        <v>115</v>
      </c>
      <c r="T92" s="73" t="s">
        <v>4386</v>
      </c>
      <c r="U92" s="71" t="s">
        <v>3394</v>
      </c>
      <c r="V92" s="71" t="b">
        <v>0</v>
      </c>
    </row>
    <row r="93" spans="1:22" ht="17.25">
      <c r="A93" s="70">
        <v>57</v>
      </c>
      <c r="B93" s="70" t="s">
        <v>3236</v>
      </c>
      <c r="C93" s="70" t="s">
        <v>4578</v>
      </c>
      <c r="D93" s="70" t="s">
        <v>3235</v>
      </c>
      <c r="E93" s="70" t="s">
        <v>924</v>
      </c>
      <c r="F93" s="71">
        <v>15</v>
      </c>
      <c r="G93" s="71">
        <v>22</v>
      </c>
      <c r="H93" s="72" t="s">
        <v>4387</v>
      </c>
      <c r="I93" s="71" t="b">
        <v>0</v>
      </c>
      <c r="J93" s="71">
        <v>82</v>
      </c>
      <c r="K93" s="71">
        <v>80</v>
      </c>
      <c r="L93" s="71">
        <v>75</v>
      </c>
      <c r="M93" s="71">
        <v>10</v>
      </c>
      <c r="N93" s="71">
        <v>11</v>
      </c>
      <c r="O93" s="71">
        <v>0</v>
      </c>
      <c r="P93" s="71">
        <v>18</v>
      </c>
      <c r="Q93" s="71">
        <v>76</v>
      </c>
      <c r="R93" s="71">
        <v>128</v>
      </c>
      <c r="S93" s="71" t="s">
        <v>115</v>
      </c>
      <c r="T93" s="73" t="s">
        <v>4386</v>
      </c>
      <c r="U93" s="71" t="s">
        <v>3394</v>
      </c>
      <c r="V93" s="71" t="b">
        <v>0</v>
      </c>
    </row>
    <row r="94" spans="1:22" ht="17.25">
      <c r="A94" s="70">
        <v>57</v>
      </c>
      <c r="B94" s="70" t="s">
        <v>3236</v>
      </c>
      <c r="C94" s="70" t="s">
        <v>4411</v>
      </c>
      <c r="D94" s="70" t="s">
        <v>3235</v>
      </c>
      <c r="E94" s="70" t="s">
        <v>924</v>
      </c>
      <c r="F94" s="71">
        <v>15</v>
      </c>
      <c r="G94" s="71">
        <v>22</v>
      </c>
      <c r="H94" s="72" t="s">
        <v>4387</v>
      </c>
      <c r="I94" s="71" t="b">
        <v>0</v>
      </c>
      <c r="J94" s="71">
        <v>82</v>
      </c>
      <c r="K94" s="71">
        <v>80</v>
      </c>
      <c r="L94" s="71">
        <v>75</v>
      </c>
      <c r="M94" s="71">
        <v>10</v>
      </c>
      <c r="N94" s="71">
        <v>11</v>
      </c>
      <c r="O94" s="71">
        <v>0</v>
      </c>
      <c r="P94" s="71">
        <v>18</v>
      </c>
      <c r="Q94" s="71">
        <v>76</v>
      </c>
      <c r="R94" s="71">
        <v>128</v>
      </c>
      <c r="S94" s="71" t="s">
        <v>115</v>
      </c>
      <c r="T94" s="73" t="s">
        <v>4386</v>
      </c>
      <c r="U94" s="71" t="s">
        <v>3394</v>
      </c>
      <c r="V94" s="71" t="b">
        <v>0</v>
      </c>
    </row>
    <row r="95" spans="1:22" ht="17.25">
      <c r="A95" s="70">
        <v>57</v>
      </c>
      <c r="B95" s="70" t="s">
        <v>3236</v>
      </c>
      <c r="C95" s="70" t="s">
        <v>4561</v>
      </c>
      <c r="D95" s="70" t="s">
        <v>3235</v>
      </c>
      <c r="E95" s="70" t="s">
        <v>924</v>
      </c>
      <c r="F95" s="71">
        <v>15</v>
      </c>
      <c r="G95" s="71">
        <v>22</v>
      </c>
      <c r="H95" s="72" t="s">
        <v>4387</v>
      </c>
      <c r="I95" s="71" t="b">
        <v>0</v>
      </c>
      <c r="J95" s="71">
        <v>82</v>
      </c>
      <c r="K95" s="71">
        <v>80</v>
      </c>
      <c r="L95" s="71">
        <v>75</v>
      </c>
      <c r="M95" s="71">
        <v>10</v>
      </c>
      <c r="N95" s="71">
        <v>11</v>
      </c>
      <c r="O95" s="71">
        <v>0</v>
      </c>
      <c r="P95" s="71">
        <v>18</v>
      </c>
      <c r="Q95" s="71">
        <v>76</v>
      </c>
      <c r="R95" s="71">
        <v>128</v>
      </c>
      <c r="S95" s="71" t="s">
        <v>115</v>
      </c>
      <c r="T95" s="73" t="s">
        <v>4386</v>
      </c>
      <c r="U95" s="71" t="s">
        <v>3394</v>
      </c>
      <c r="V95" s="71" t="b">
        <v>0</v>
      </c>
    </row>
    <row r="96" spans="1:22" ht="17.25">
      <c r="A96" s="70">
        <v>57</v>
      </c>
      <c r="B96" s="70" t="s">
        <v>3236</v>
      </c>
      <c r="C96" s="70" t="s">
        <v>4580</v>
      </c>
      <c r="D96" s="70" t="s">
        <v>3235</v>
      </c>
      <c r="E96" s="70" t="s">
        <v>924</v>
      </c>
      <c r="F96" s="71">
        <v>15</v>
      </c>
      <c r="G96" s="71">
        <v>22</v>
      </c>
      <c r="H96" s="72" t="s">
        <v>4387</v>
      </c>
      <c r="I96" s="71" t="b">
        <v>0</v>
      </c>
      <c r="J96" s="71">
        <v>82</v>
      </c>
      <c r="K96" s="71">
        <v>80</v>
      </c>
      <c r="L96" s="71">
        <v>75</v>
      </c>
      <c r="M96" s="71">
        <v>10</v>
      </c>
      <c r="N96" s="71">
        <v>11</v>
      </c>
      <c r="O96" s="71">
        <v>0</v>
      </c>
      <c r="P96" s="71">
        <v>18</v>
      </c>
      <c r="Q96" s="71">
        <v>76</v>
      </c>
      <c r="R96" s="71">
        <v>128</v>
      </c>
      <c r="S96" s="71" t="s">
        <v>115</v>
      </c>
      <c r="T96" s="73" t="s">
        <v>4386</v>
      </c>
      <c r="U96" s="71" t="s">
        <v>3394</v>
      </c>
      <c r="V96" s="71" t="b">
        <v>0</v>
      </c>
    </row>
    <row r="97" spans="1:22" ht="17.25">
      <c r="A97" s="70">
        <v>58</v>
      </c>
      <c r="B97" s="70" t="s">
        <v>3234</v>
      </c>
      <c r="C97" s="70" t="s">
        <v>229</v>
      </c>
      <c r="D97" s="70" t="s">
        <v>3233</v>
      </c>
      <c r="E97" s="70" t="s">
        <v>778</v>
      </c>
      <c r="F97" s="71">
        <v>56</v>
      </c>
      <c r="G97" s="71">
        <v>31</v>
      </c>
      <c r="H97" s="72">
        <v>0.15416666666666667</v>
      </c>
      <c r="I97" s="71" t="b">
        <v>0</v>
      </c>
      <c r="J97" s="71">
        <v>58</v>
      </c>
      <c r="K97" s="71">
        <v>62</v>
      </c>
      <c r="L97" s="71">
        <v>76</v>
      </c>
      <c r="M97" s="71">
        <v>5</v>
      </c>
      <c r="N97" s="71">
        <v>35</v>
      </c>
      <c r="O97" s="71">
        <v>0</v>
      </c>
      <c r="P97" s="71">
        <v>10</v>
      </c>
      <c r="Q97" s="71">
        <v>50</v>
      </c>
      <c r="R97" s="71">
        <v>95</v>
      </c>
      <c r="S97" s="71" t="s">
        <v>1028</v>
      </c>
      <c r="T97" s="73">
        <v>45555</v>
      </c>
      <c r="U97" s="71" t="s">
        <v>3439</v>
      </c>
      <c r="V97" s="71" t="b">
        <v>0</v>
      </c>
    </row>
    <row r="98" spans="1:22" ht="17.25">
      <c r="A98" s="70">
        <v>58</v>
      </c>
      <c r="B98" s="70" t="s">
        <v>3234</v>
      </c>
      <c r="C98" s="70" t="s">
        <v>4412</v>
      </c>
      <c r="D98" s="70" t="s">
        <v>3233</v>
      </c>
      <c r="E98" s="70" t="s">
        <v>778</v>
      </c>
      <c r="F98" s="71">
        <v>56</v>
      </c>
      <c r="G98" s="71">
        <v>31</v>
      </c>
      <c r="H98" s="72">
        <v>0.15416666666666667</v>
      </c>
      <c r="I98" s="71" t="b">
        <v>0</v>
      </c>
      <c r="J98" s="71">
        <v>58</v>
      </c>
      <c r="K98" s="71">
        <v>62</v>
      </c>
      <c r="L98" s="71">
        <v>76</v>
      </c>
      <c r="M98" s="71">
        <v>5</v>
      </c>
      <c r="N98" s="71">
        <v>35</v>
      </c>
      <c r="O98" s="71">
        <v>0</v>
      </c>
      <c r="P98" s="71">
        <v>10</v>
      </c>
      <c r="Q98" s="71">
        <v>50</v>
      </c>
      <c r="R98" s="71">
        <v>95</v>
      </c>
      <c r="S98" s="71" t="s">
        <v>1028</v>
      </c>
      <c r="T98" s="73">
        <v>45555</v>
      </c>
      <c r="U98" s="71" t="s">
        <v>3439</v>
      </c>
      <c r="V98" s="71" t="b">
        <v>0</v>
      </c>
    </row>
    <row r="99" spans="1:22" ht="17.25">
      <c r="A99" s="70">
        <v>59</v>
      </c>
      <c r="B99" s="70" t="s">
        <v>3232</v>
      </c>
      <c r="C99" s="70" t="s">
        <v>4505</v>
      </c>
      <c r="D99" s="70" t="s">
        <v>3231</v>
      </c>
      <c r="E99" s="70" t="s">
        <v>188</v>
      </c>
      <c r="F99" s="71">
        <v>30</v>
      </c>
      <c r="G99" s="71">
        <v>17</v>
      </c>
      <c r="H99" s="72">
        <v>0.13055555555555556</v>
      </c>
      <c r="I99" s="71" t="b">
        <v>1</v>
      </c>
      <c r="J99" s="71">
        <v>78</v>
      </c>
      <c r="K99" s="71">
        <v>74</v>
      </c>
      <c r="L99" s="71">
        <v>80</v>
      </c>
      <c r="M99" s="71">
        <v>10</v>
      </c>
      <c r="N99" s="71">
        <v>15</v>
      </c>
      <c r="O99" s="71">
        <v>0</v>
      </c>
      <c r="P99" s="71">
        <v>12</v>
      </c>
      <c r="Q99" s="71">
        <v>60</v>
      </c>
      <c r="R99" s="71">
        <v>108</v>
      </c>
      <c r="S99" s="71" t="s">
        <v>61</v>
      </c>
      <c r="T99" s="73">
        <v>45716</v>
      </c>
      <c r="U99" s="71" t="s">
        <v>3440</v>
      </c>
      <c r="V99" s="71" t="b">
        <v>0</v>
      </c>
    </row>
    <row r="100" spans="1:22" ht="17.25">
      <c r="A100" s="70">
        <v>59</v>
      </c>
      <c r="B100" s="70" t="s">
        <v>3232</v>
      </c>
      <c r="C100" s="70" t="s">
        <v>2055</v>
      </c>
      <c r="D100" s="70" t="s">
        <v>3231</v>
      </c>
      <c r="E100" s="70" t="s">
        <v>188</v>
      </c>
      <c r="F100" s="71">
        <v>30</v>
      </c>
      <c r="G100" s="71">
        <v>17</v>
      </c>
      <c r="H100" s="72">
        <v>0.13055555555555556</v>
      </c>
      <c r="I100" s="71" t="b">
        <v>1</v>
      </c>
      <c r="J100" s="71">
        <v>78</v>
      </c>
      <c r="K100" s="71">
        <v>74</v>
      </c>
      <c r="L100" s="71">
        <v>80</v>
      </c>
      <c r="M100" s="71">
        <v>10</v>
      </c>
      <c r="N100" s="71">
        <v>15</v>
      </c>
      <c r="O100" s="71">
        <v>0</v>
      </c>
      <c r="P100" s="71">
        <v>12</v>
      </c>
      <c r="Q100" s="71">
        <v>60</v>
      </c>
      <c r="R100" s="71">
        <v>108</v>
      </c>
      <c r="S100" s="71" t="s">
        <v>61</v>
      </c>
      <c r="T100" s="73">
        <v>45716</v>
      </c>
      <c r="U100" s="71" t="s">
        <v>3440</v>
      </c>
      <c r="V100" s="71" t="b">
        <v>0</v>
      </c>
    </row>
    <row r="101" spans="1:22" ht="17.25">
      <c r="A101" s="70">
        <v>60</v>
      </c>
      <c r="B101" s="70" t="s">
        <v>3230</v>
      </c>
      <c r="C101" s="70" t="s">
        <v>4581</v>
      </c>
      <c r="D101" s="70" t="s">
        <v>3229</v>
      </c>
      <c r="E101" s="70" t="s">
        <v>3228</v>
      </c>
      <c r="F101" s="71">
        <v>145</v>
      </c>
      <c r="G101" s="71">
        <v>4</v>
      </c>
      <c r="H101" s="72">
        <v>0.12152777777777778</v>
      </c>
      <c r="I101" s="71" t="b">
        <v>1</v>
      </c>
      <c r="J101" s="71">
        <v>81</v>
      </c>
      <c r="K101" s="71">
        <v>73</v>
      </c>
      <c r="L101" s="71">
        <v>95</v>
      </c>
      <c r="M101" s="71">
        <v>4</v>
      </c>
      <c r="N101" s="71">
        <v>68</v>
      </c>
      <c r="O101" s="71">
        <v>0</v>
      </c>
      <c r="P101" s="71">
        <v>13</v>
      </c>
      <c r="Q101" s="71">
        <v>83</v>
      </c>
      <c r="R101" s="71">
        <v>140</v>
      </c>
      <c r="S101" s="71" t="s">
        <v>534</v>
      </c>
      <c r="T101" s="73">
        <v>45779</v>
      </c>
      <c r="U101" s="71" t="s">
        <v>3441</v>
      </c>
      <c r="V101" s="71" t="b">
        <v>0</v>
      </c>
    </row>
    <row r="102" spans="1:22" ht="17.25">
      <c r="A102" s="70">
        <v>60</v>
      </c>
      <c r="B102" s="70" t="s">
        <v>3230</v>
      </c>
      <c r="C102" s="70" t="s">
        <v>4413</v>
      </c>
      <c r="D102" s="70" t="s">
        <v>3229</v>
      </c>
      <c r="E102" s="70" t="s">
        <v>3228</v>
      </c>
      <c r="F102" s="71">
        <v>145</v>
      </c>
      <c r="G102" s="71">
        <v>4</v>
      </c>
      <c r="H102" s="72">
        <v>0.12152777777777778</v>
      </c>
      <c r="I102" s="71" t="b">
        <v>1</v>
      </c>
      <c r="J102" s="71">
        <v>81</v>
      </c>
      <c r="K102" s="71">
        <v>73</v>
      </c>
      <c r="L102" s="71">
        <v>95</v>
      </c>
      <c r="M102" s="71">
        <v>4</v>
      </c>
      <c r="N102" s="71">
        <v>68</v>
      </c>
      <c r="O102" s="71">
        <v>0</v>
      </c>
      <c r="P102" s="71">
        <v>13</v>
      </c>
      <c r="Q102" s="71">
        <v>83</v>
      </c>
      <c r="R102" s="71">
        <v>140</v>
      </c>
      <c r="S102" s="71" t="s">
        <v>534</v>
      </c>
      <c r="T102" s="73">
        <v>45779</v>
      </c>
      <c r="U102" s="71" t="s">
        <v>3441</v>
      </c>
      <c r="V102" s="71" t="b">
        <v>0</v>
      </c>
    </row>
    <row r="103" spans="1:22" ht="17.25">
      <c r="A103" s="70">
        <v>61</v>
      </c>
      <c r="B103" s="70" t="s">
        <v>3227</v>
      </c>
      <c r="C103" s="70" t="s">
        <v>182</v>
      </c>
      <c r="D103" s="70" t="s">
        <v>3226</v>
      </c>
      <c r="E103" s="70" t="s">
        <v>349</v>
      </c>
      <c r="F103" s="71">
        <v>66</v>
      </c>
      <c r="G103" s="71">
        <v>7</v>
      </c>
      <c r="H103" s="72" t="s">
        <v>4334</v>
      </c>
      <c r="I103" s="71" t="b">
        <v>1</v>
      </c>
      <c r="J103" s="71">
        <v>68</v>
      </c>
      <c r="K103" s="71">
        <v>50</v>
      </c>
      <c r="L103" s="71">
        <v>71</v>
      </c>
      <c r="M103" s="71">
        <v>14</v>
      </c>
      <c r="N103" s="71">
        <v>47</v>
      </c>
      <c r="O103" s="71">
        <v>0</v>
      </c>
      <c r="P103" s="71">
        <v>11</v>
      </c>
      <c r="Q103" s="71">
        <v>35</v>
      </c>
      <c r="R103" s="71">
        <v>88</v>
      </c>
      <c r="S103" s="71" t="s">
        <v>26</v>
      </c>
      <c r="T103" s="73" t="s">
        <v>4385</v>
      </c>
      <c r="U103" s="71" t="s">
        <v>3442</v>
      </c>
      <c r="V103" s="71" t="b">
        <v>0</v>
      </c>
    </row>
    <row r="104" spans="1:22" ht="17.25">
      <c r="A104" s="70">
        <v>61</v>
      </c>
      <c r="B104" s="70" t="s">
        <v>3227</v>
      </c>
      <c r="C104" s="70" t="s">
        <v>1260</v>
      </c>
      <c r="D104" s="70" t="s">
        <v>3226</v>
      </c>
      <c r="E104" s="70" t="s">
        <v>349</v>
      </c>
      <c r="F104" s="71">
        <v>66</v>
      </c>
      <c r="G104" s="71">
        <v>7</v>
      </c>
      <c r="H104" s="72" t="s">
        <v>4334</v>
      </c>
      <c r="I104" s="71" t="b">
        <v>1</v>
      </c>
      <c r="J104" s="71">
        <v>68</v>
      </c>
      <c r="K104" s="71">
        <v>50</v>
      </c>
      <c r="L104" s="71">
        <v>71</v>
      </c>
      <c r="M104" s="71">
        <v>14</v>
      </c>
      <c r="N104" s="71">
        <v>47</v>
      </c>
      <c r="O104" s="71">
        <v>0</v>
      </c>
      <c r="P104" s="71">
        <v>11</v>
      </c>
      <c r="Q104" s="71">
        <v>35</v>
      </c>
      <c r="R104" s="71">
        <v>88</v>
      </c>
      <c r="S104" s="71" t="s">
        <v>26</v>
      </c>
      <c r="T104" s="73" t="s">
        <v>4385</v>
      </c>
      <c r="U104" s="71" t="s">
        <v>3442</v>
      </c>
      <c r="V104" s="71" t="b">
        <v>0</v>
      </c>
    </row>
    <row r="105" spans="1:22" ht="17.25">
      <c r="A105" s="70">
        <v>61</v>
      </c>
      <c r="B105" s="70" t="s">
        <v>3227</v>
      </c>
      <c r="C105" s="70" t="s">
        <v>4582</v>
      </c>
      <c r="D105" s="70" t="s">
        <v>3226</v>
      </c>
      <c r="E105" s="70" t="s">
        <v>349</v>
      </c>
      <c r="F105" s="71">
        <v>66</v>
      </c>
      <c r="G105" s="71">
        <v>7</v>
      </c>
      <c r="H105" s="72" t="s">
        <v>4334</v>
      </c>
      <c r="I105" s="71" t="b">
        <v>1</v>
      </c>
      <c r="J105" s="71">
        <v>68</v>
      </c>
      <c r="K105" s="71">
        <v>50</v>
      </c>
      <c r="L105" s="71">
        <v>71</v>
      </c>
      <c r="M105" s="71">
        <v>14</v>
      </c>
      <c r="N105" s="71">
        <v>47</v>
      </c>
      <c r="O105" s="71">
        <v>0</v>
      </c>
      <c r="P105" s="71">
        <v>11</v>
      </c>
      <c r="Q105" s="71">
        <v>35</v>
      </c>
      <c r="R105" s="71">
        <v>88</v>
      </c>
      <c r="S105" s="71" t="s">
        <v>26</v>
      </c>
      <c r="T105" s="73" t="s">
        <v>4385</v>
      </c>
      <c r="U105" s="71" t="s">
        <v>3442</v>
      </c>
      <c r="V105" s="71" t="b">
        <v>0</v>
      </c>
    </row>
    <row r="106" spans="1:22" ht="17.25">
      <c r="A106" s="70">
        <v>62</v>
      </c>
      <c r="B106" s="70" t="s">
        <v>3225</v>
      </c>
      <c r="C106" s="70" t="s">
        <v>2826</v>
      </c>
      <c r="D106" s="70" t="s">
        <v>3224</v>
      </c>
      <c r="E106" s="70" t="s">
        <v>3223</v>
      </c>
      <c r="F106" s="71">
        <v>135</v>
      </c>
      <c r="G106" s="71">
        <v>8</v>
      </c>
      <c r="H106" s="72">
        <v>0.125</v>
      </c>
      <c r="I106" s="71" t="b">
        <v>1</v>
      </c>
      <c r="J106" s="71">
        <v>66</v>
      </c>
      <c r="K106" s="71">
        <v>61</v>
      </c>
      <c r="L106" s="71">
        <v>88</v>
      </c>
      <c r="M106" s="71">
        <v>3</v>
      </c>
      <c r="N106" s="71">
        <v>10</v>
      </c>
      <c r="O106" s="71">
        <v>0</v>
      </c>
      <c r="P106" s="71">
        <v>9</v>
      </c>
      <c r="Q106" s="71">
        <v>46</v>
      </c>
      <c r="R106" s="71">
        <v>120</v>
      </c>
      <c r="S106" s="71" t="s">
        <v>61</v>
      </c>
      <c r="T106" s="73">
        <v>45730</v>
      </c>
      <c r="U106" s="71" t="s">
        <v>3443</v>
      </c>
      <c r="V106" s="71" t="b">
        <v>0</v>
      </c>
    </row>
    <row r="107" spans="1:22" ht="17.25">
      <c r="A107" s="70">
        <v>63</v>
      </c>
      <c r="B107" s="70" t="s">
        <v>3222</v>
      </c>
      <c r="C107" s="70" t="s">
        <v>4583</v>
      </c>
      <c r="D107" s="70" t="s">
        <v>3221</v>
      </c>
      <c r="E107" s="70" t="s">
        <v>3220</v>
      </c>
      <c r="F107" s="71">
        <v>47</v>
      </c>
      <c r="G107" s="71">
        <v>36</v>
      </c>
      <c r="H107" s="72">
        <v>0.13333333333333333</v>
      </c>
      <c r="I107" s="71" t="b">
        <v>0</v>
      </c>
      <c r="J107" s="71">
        <v>62</v>
      </c>
      <c r="K107" s="71">
        <v>83</v>
      </c>
      <c r="L107" s="71">
        <v>95</v>
      </c>
      <c r="M107" s="71">
        <v>7</v>
      </c>
      <c r="N107" s="71">
        <v>6</v>
      </c>
      <c r="O107" s="71">
        <v>0</v>
      </c>
      <c r="P107" s="71">
        <v>34</v>
      </c>
      <c r="Q107" s="71">
        <v>75</v>
      </c>
      <c r="R107" s="71">
        <v>152</v>
      </c>
      <c r="S107" s="71" t="s">
        <v>61</v>
      </c>
      <c r="T107" s="73">
        <v>45597</v>
      </c>
      <c r="U107" s="71" t="s">
        <v>3444</v>
      </c>
      <c r="V107" s="71" t="b">
        <v>0</v>
      </c>
    </row>
    <row r="108" spans="1:22" ht="17.25">
      <c r="A108" s="70">
        <v>63</v>
      </c>
      <c r="B108" s="70" t="s">
        <v>3222</v>
      </c>
      <c r="C108" s="70" t="s">
        <v>4414</v>
      </c>
      <c r="D108" s="70" t="s">
        <v>3221</v>
      </c>
      <c r="E108" s="70" t="s">
        <v>3220</v>
      </c>
      <c r="F108" s="71">
        <v>47</v>
      </c>
      <c r="G108" s="71">
        <v>36</v>
      </c>
      <c r="H108" s="72">
        <v>0.13333333333333333</v>
      </c>
      <c r="I108" s="71" t="b">
        <v>0</v>
      </c>
      <c r="J108" s="71">
        <v>62</v>
      </c>
      <c r="K108" s="71">
        <v>83</v>
      </c>
      <c r="L108" s="71">
        <v>95</v>
      </c>
      <c r="M108" s="71">
        <v>7</v>
      </c>
      <c r="N108" s="71">
        <v>6</v>
      </c>
      <c r="O108" s="71">
        <v>0</v>
      </c>
      <c r="P108" s="71">
        <v>34</v>
      </c>
      <c r="Q108" s="71">
        <v>75</v>
      </c>
      <c r="R108" s="71">
        <v>152</v>
      </c>
      <c r="S108" s="71" t="s">
        <v>61</v>
      </c>
      <c r="T108" s="73">
        <v>45597</v>
      </c>
      <c r="U108" s="71" t="s">
        <v>3444</v>
      </c>
      <c r="V108" s="71" t="b">
        <v>0</v>
      </c>
    </row>
    <row r="109" spans="1:22" ht="17.25">
      <c r="A109" s="70">
        <v>64</v>
      </c>
      <c r="B109" s="70" t="s">
        <v>3219</v>
      </c>
      <c r="C109" s="70" t="s">
        <v>4415</v>
      </c>
      <c r="D109" s="70" t="s">
        <v>3218</v>
      </c>
      <c r="E109" s="70" t="s">
        <v>735</v>
      </c>
      <c r="F109" s="71">
        <v>183</v>
      </c>
      <c r="G109" s="71">
        <v>3</v>
      </c>
      <c r="H109" s="72">
        <v>0.16805555555555557</v>
      </c>
      <c r="I109" s="71" t="b">
        <v>1</v>
      </c>
      <c r="J109" s="71">
        <v>97</v>
      </c>
      <c r="K109" s="71">
        <v>58</v>
      </c>
      <c r="L109" s="71">
        <v>91</v>
      </c>
      <c r="M109" s="71">
        <v>8</v>
      </c>
      <c r="N109" s="71">
        <v>6</v>
      </c>
      <c r="O109" s="71">
        <v>0</v>
      </c>
      <c r="P109" s="71">
        <v>5</v>
      </c>
      <c r="Q109" s="71">
        <v>96</v>
      </c>
      <c r="R109" s="71">
        <v>117</v>
      </c>
      <c r="S109" s="71" t="s">
        <v>96</v>
      </c>
      <c r="T109" s="73">
        <v>38905</v>
      </c>
      <c r="U109" s="71" t="s">
        <v>3445</v>
      </c>
      <c r="V109" s="71" t="b">
        <v>0</v>
      </c>
    </row>
    <row r="110" spans="1:22" ht="17.25">
      <c r="A110" s="70">
        <v>64</v>
      </c>
      <c r="B110" s="70" t="s">
        <v>3219</v>
      </c>
      <c r="C110" s="70" t="s">
        <v>4584</v>
      </c>
      <c r="D110" s="70" t="s">
        <v>3218</v>
      </c>
      <c r="E110" s="70" t="s">
        <v>735</v>
      </c>
      <c r="F110" s="71">
        <v>183</v>
      </c>
      <c r="G110" s="71">
        <v>3</v>
      </c>
      <c r="H110" s="72">
        <v>0.16805555555555557</v>
      </c>
      <c r="I110" s="71" t="b">
        <v>1</v>
      </c>
      <c r="J110" s="71">
        <v>97</v>
      </c>
      <c r="K110" s="71">
        <v>58</v>
      </c>
      <c r="L110" s="71">
        <v>91</v>
      </c>
      <c r="M110" s="71">
        <v>8</v>
      </c>
      <c r="N110" s="71">
        <v>6</v>
      </c>
      <c r="O110" s="71">
        <v>0</v>
      </c>
      <c r="P110" s="71">
        <v>5</v>
      </c>
      <c r="Q110" s="71">
        <v>96</v>
      </c>
      <c r="R110" s="71">
        <v>117</v>
      </c>
      <c r="S110" s="71" t="s">
        <v>96</v>
      </c>
      <c r="T110" s="73">
        <v>38905</v>
      </c>
      <c r="U110" s="71" t="s">
        <v>3445</v>
      </c>
      <c r="V110" s="71" t="b">
        <v>0</v>
      </c>
    </row>
    <row r="111" spans="1:22" ht="17.25">
      <c r="A111" s="70">
        <v>65</v>
      </c>
      <c r="B111" s="70" t="s">
        <v>3217</v>
      </c>
      <c r="C111" s="70" t="s">
        <v>182</v>
      </c>
      <c r="D111" s="70" t="s">
        <v>3216</v>
      </c>
      <c r="E111" s="70" t="s">
        <v>180</v>
      </c>
      <c r="F111" s="71">
        <v>87</v>
      </c>
      <c r="G111" s="71">
        <v>1</v>
      </c>
      <c r="H111" s="72" t="s">
        <v>4343</v>
      </c>
      <c r="I111" s="71" t="b">
        <v>1</v>
      </c>
      <c r="J111" s="71">
        <v>76</v>
      </c>
      <c r="K111" s="71">
        <v>58</v>
      </c>
      <c r="L111" s="71">
        <v>72</v>
      </c>
      <c r="M111" s="71">
        <v>24</v>
      </c>
      <c r="N111" s="71">
        <v>22</v>
      </c>
      <c r="O111" s="71">
        <v>0</v>
      </c>
      <c r="P111" s="71">
        <v>13</v>
      </c>
      <c r="Q111" s="71">
        <v>48</v>
      </c>
      <c r="R111" s="71">
        <v>116</v>
      </c>
      <c r="S111" s="71" t="s">
        <v>48</v>
      </c>
      <c r="T111" s="73" t="s">
        <v>4386</v>
      </c>
      <c r="U111" s="71" t="s">
        <v>3446</v>
      </c>
      <c r="V111" s="71" t="b">
        <v>0</v>
      </c>
    </row>
    <row r="112" spans="1:22" ht="17.25">
      <c r="A112" s="70">
        <v>66</v>
      </c>
      <c r="B112" s="70" t="s">
        <v>3215</v>
      </c>
      <c r="C112" s="70" t="s">
        <v>4587</v>
      </c>
      <c r="D112" s="70" t="s">
        <v>3214</v>
      </c>
      <c r="E112" s="70" t="s">
        <v>360</v>
      </c>
      <c r="F112" s="71">
        <v>161</v>
      </c>
      <c r="G112" s="71">
        <v>1</v>
      </c>
      <c r="H112" s="72" t="s">
        <v>4380</v>
      </c>
      <c r="I112" s="71" t="b">
        <v>0</v>
      </c>
      <c r="J112" s="71">
        <v>58</v>
      </c>
      <c r="K112" s="71">
        <v>52</v>
      </c>
      <c r="L112" s="71">
        <v>71</v>
      </c>
      <c r="M112" s="71">
        <v>4</v>
      </c>
      <c r="N112" s="71">
        <v>55</v>
      </c>
      <c r="O112" s="71">
        <v>0</v>
      </c>
      <c r="P112" s="71">
        <v>15</v>
      </c>
      <c r="Q112" s="71">
        <v>44</v>
      </c>
      <c r="R112" s="71">
        <v>90</v>
      </c>
      <c r="S112" s="71" t="s">
        <v>359</v>
      </c>
      <c r="T112" s="73" t="s">
        <v>4381</v>
      </c>
      <c r="U112" s="71" t="s">
        <v>3447</v>
      </c>
      <c r="V112" s="71" t="b">
        <v>0</v>
      </c>
    </row>
    <row r="113" spans="1:22" ht="17.25">
      <c r="A113" s="70">
        <v>66</v>
      </c>
      <c r="B113" s="70" t="s">
        <v>3215</v>
      </c>
      <c r="C113" s="70" t="s">
        <v>4586</v>
      </c>
      <c r="D113" s="70" t="s">
        <v>3214</v>
      </c>
      <c r="E113" s="70" t="s">
        <v>360</v>
      </c>
      <c r="F113" s="71">
        <v>161</v>
      </c>
      <c r="G113" s="71">
        <v>1</v>
      </c>
      <c r="H113" s="72" t="s">
        <v>4380</v>
      </c>
      <c r="I113" s="71" t="b">
        <v>0</v>
      </c>
      <c r="J113" s="71">
        <v>58</v>
      </c>
      <c r="K113" s="71">
        <v>52</v>
      </c>
      <c r="L113" s="71">
        <v>71</v>
      </c>
      <c r="M113" s="71">
        <v>4</v>
      </c>
      <c r="N113" s="71">
        <v>55</v>
      </c>
      <c r="O113" s="71">
        <v>0</v>
      </c>
      <c r="P113" s="71">
        <v>15</v>
      </c>
      <c r="Q113" s="71">
        <v>44</v>
      </c>
      <c r="R113" s="71">
        <v>90</v>
      </c>
      <c r="S113" s="71" t="s">
        <v>359</v>
      </c>
      <c r="T113" s="73" t="s">
        <v>4381</v>
      </c>
      <c r="U113" s="71" t="s">
        <v>3447</v>
      </c>
      <c r="V113" s="71" t="b">
        <v>0</v>
      </c>
    </row>
    <row r="114" spans="1:22" ht="17.25">
      <c r="A114" s="70">
        <v>66</v>
      </c>
      <c r="B114" s="70" t="s">
        <v>3215</v>
      </c>
      <c r="C114" s="70" t="s">
        <v>4588</v>
      </c>
      <c r="D114" s="70" t="s">
        <v>3214</v>
      </c>
      <c r="E114" s="70" t="s">
        <v>360</v>
      </c>
      <c r="F114" s="71">
        <v>161</v>
      </c>
      <c r="G114" s="71">
        <v>1</v>
      </c>
      <c r="H114" s="72" t="s">
        <v>4380</v>
      </c>
      <c r="I114" s="71" t="b">
        <v>0</v>
      </c>
      <c r="J114" s="71">
        <v>58</v>
      </c>
      <c r="K114" s="71">
        <v>52</v>
      </c>
      <c r="L114" s="71">
        <v>71</v>
      </c>
      <c r="M114" s="71">
        <v>4</v>
      </c>
      <c r="N114" s="71">
        <v>55</v>
      </c>
      <c r="O114" s="71">
        <v>0</v>
      </c>
      <c r="P114" s="71">
        <v>15</v>
      </c>
      <c r="Q114" s="71">
        <v>44</v>
      </c>
      <c r="R114" s="71">
        <v>90</v>
      </c>
      <c r="S114" s="71" t="s">
        <v>359</v>
      </c>
      <c r="T114" s="73" t="s">
        <v>4381</v>
      </c>
      <c r="U114" s="71" t="s">
        <v>3447</v>
      </c>
      <c r="V114" s="71" t="b">
        <v>0</v>
      </c>
    </row>
    <row r="115" spans="1:22" ht="17.25">
      <c r="A115" s="70">
        <v>66</v>
      </c>
      <c r="B115" s="70" t="s">
        <v>3215</v>
      </c>
      <c r="C115" s="70" t="s">
        <v>4585</v>
      </c>
      <c r="D115" s="70" t="s">
        <v>3214</v>
      </c>
      <c r="E115" s="70" t="s">
        <v>360</v>
      </c>
      <c r="F115" s="71">
        <v>161</v>
      </c>
      <c r="G115" s="71">
        <v>1</v>
      </c>
      <c r="H115" s="72" t="s">
        <v>4380</v>
      </c>
      <c r="I115" s="71" t="b">
        <v>0</v>
      </c>
      <c r="J115" s="71">
        <v>58</v>
      </c>
      <c r="K115" s="71">
        <v>52</v>
      </c>
      <c r="L115" s="71">
        <v>71</v>
      </c>
      <c r="M115" s="71">
        <v>4</v>
      </c>
      <c r="N115" s="71">
        <v>55</v>
      </c>
      <c r="O115" s="71">
        <v>0</v>
      </c>
      <c r="P115" s="71">
        <v>15</v>
      </c>
      <c r="Q115" s="71">
        <v>44</v>
      </c>
      <c r="R115" s="71">
        <v>90</v>
      </c>
      <c r="S115" s="71" t="s">
        <v>359</v>
      </c>
      <c r="T115" s="73" t="s">
        <v>4381</v>
      </c>
      <c r="U115" s="71" t="s">
        <v>3447</v>
      </c>
      <c r="V115" s="71" t="b">
        <v>0</v>
      </c>
    </row>
    <row r="116" spans="1:22" ht="17.25">
      <c r="A116" s="70">
        <v>66</v>
      </c>
      <c r="B116" s="70" t="s">
        <v>3215</v>
      </c>
      <c r="C116" s="70" t="s">
        <v>4416</v>
      </c>
      <c r="D116" s="70" t="s">
        <v>3214</v>
      </c>
      <c r="E116" s="70" t="s">
        <v>360</v>
      </c>
      <c r="F116" s="71">
        <v>161</v>
      </c>
      <c r="G116" s="71">
        <v>1</v>
      </c>
      <c r="H116" s="72" t="s">
        <v>4380</v>
      </c>
      <c r="I116" s="71" t="b">
        <v>0</v>
      </c>
      <c r="J116" s="71">
        <v>58</v>
      </c>
      <c r="K116" s="71">
        <v>52</v>
      </c>
      <c r="L116" s="71">
        <v>71</v>
      </c>
      <c r="M116" s="71">
        <v>4</v>
      </c>
      <c r="N116" s="71">
        <v>55</v>
      </c>
      <c r="O116" s="71">
        <v>0</v>
      </c>
      <c r="P116" s="71">
        <v>15</v>
      </c>
      <c r="Q116" s="71">
        <v>44</v>
      </c>
      <c r="R116" s="71">
        <v>90</v>
      </c>
      <c r="S116" s="71" t="s">
        <v>359</v>
      </c>
      <c r="T116" s="73" t="s">
        <v>4381</v>
      </c>
      <c r="U116" s="71" t="s">
        <v>3447</v>
      </c>
      <c r="V116" s="71" t="b">
        <v>0</v>
      </c>
    </row>
    <row r="117" spans="1:22" ht="17.25">
      <c r="A117" s="70">
        <v>67</v>
      </c>
      <c r="B117" s="70" t="s">
        <v>3213</v>
      </c>
      <c r="C117" s="70" t="s">
        <v>366</v>
      </c>
      <c r="D117" s="70" t="s">
        <v>3212</v>
      </c>
      <c r="E117" s="70" t="s">
        <v>171</v>
      </c>
      <c r="F117" s="71">
        <v>174</v>
      </c>
      <c r="G117" s="71">
        <v>1</v>
      </c>
      <c r="H117" s="72" t="s">
        <v>4369</v>
      </c>
      <c r="I117" s="71" t="b">
        <v>0</v>
      </c>
      <c r="J117" s="71">
        <v>74</v>
      </c>
      <c r="K117" s="71">
        <v>70</v>
      </c>
      <c r="L117" s="71">
        <v>74</v>
      </c>
      <c r="M117" s="71">
        <v>6</v>
      </c>
      <c r="N117" s="71">
        <v>16</v>
      </c>
      <c r="O117" s="71">
        <v>0</v>
      </c>
      <c r="P117" s="71">
        <v>12</v>
      </c>
      <c r="Q117" s="71">
        <v>73</v>
      </c>
      <c r="R117" s="71">
        <v>118</v>
      </c>
      <c r="S117" s="71" t="s">
        <v>96</v>
      </c>
      <c r="T117" s="73" t="s">
        <v>4368</v>
      </c>
      <c r="U117" s="71" t="s">
        <v>3448</v>
      </c>
      <c r="V117" s="71" t="b">
        <v>0</v>
      </c>
    </row>
    <row r="118" spans="1:22" ht="17.25">
      <c r="A118" s="70">
        <v>68</v>
      </c>
      <c r="B118" s="70" t="s">
        <v>3211</v>
      </c>
      <c r="C118" s="70" t="s">
        <v>4417</v>
      </c>
      <c r="D118" s="70" t="s">
        <v>3210</v>
      </c>
      <c r="E118" s="70" t="s">
        <v>3209</v>
      </c>
      <c r="F118" s="71">
        <v>15</v>
      </c>
      <c r="G118" s="71">
        <v>19</v>
      </c>
      <c r="H118" s="72">
        <v>0.11666666666666667</v>
      </c>
      <c r="I118" s="71" t="b">
        <v>1</v>
      </c>
      <c r="J118" s="71">
        <v>88</v>
      </c>
      <c r="K118" s="71">
        <v>82</v>
      </c>
      <c r="L118" s="71">
        <v>83</v>
      </c>
      <c r="M118" s="71">
        <v>14</v>
      </c>
      <c r="N118" s="71">
        <v>5</v>
      </c>
      <c r="O118" s="71">
        <v>0</v>
      </c>
      <c r="P118" s="71">
        <v>15</v>
      </c>
      <c r="Q118" s="71">
        <v>75</v>
      </c>
      <c r="R118" s="71">
        <v>128</v>
      </c>
      <c r="S118" s="71" t="s">
        <v>948</v>
      </c>
      <c r="T118" s="73">
        <v>45751</v>
      </c>
      <c r="U118" s="71" t="s">
        <v>3449</v>
      </c>
      <c r="V118" s="71" t="b">
        <v>0</v>
      </c>
    </row>
    <row r="119" spans="1:22" ht="17.25">
      <c r="A119" s="70">
        <v>68</v>
      </c>
      <c r="B119" s="70" t="s">
        <v>3211</v>
      </c>
      <c r="C119" s="70" t="s">
        <v>4589</v>
      </c>
      <c r="D119" s="70" t="s">
        <v>3210</v>
      </c>
      <c r="E119" s="70" t="s">
        <v>3209</v>
      </c>
      <c r="F119" s="71">
        <v>15</v>
      </c>
      <c r="G119" s="71">
        <v>19</v>
      </c>
      <c r="H119" s="72">
        <v>0.11666666666666667</v>
      </c>
      <c r="I119" s="71" t="b">
        <v>1</v>
      </c>
      <c r="J119" s="71">
        <v>88</v>
      </c>
      <c r="K119" s="71">
        <v>82</v>
      </c>
      <c r="L119" s="71">
        <v>83</v>
      </c>
      <c r="M119" s="71">
        <v>14</v>
      </c>
      <c r="N119" s="71">
        <v>5</v>
      </c>
      <c r="O119" s="71">
        <v>0</v>
      </c>
      <c r="P119" s="71">
        <v>15</v>
      </c>
      <c r="Q119" s="71">
        <v>75</v>
      </c>
      <c r="R119" s="71">
        <v>128</v>
      </c>
      <c r="S119" s="71" t="s">
        <v>948</v>
      </c>
      <c r="T119" s="73">
        <v>45751</v>
      </c>
      <c r="U119" s="71" t="s">
        <v>3449</v>
      </c>
      <c r="V119" s="71" t="b">
        <v>0</v>
      </c>
    </row>
    <row r="120" spans="1:22" ht="17.25">
      <c r="A120" s="70">
        <v>68</v>
      </c>
      <c r="B120" s="70" t="s">
        <v>3211</v>
      </c>
      <c r="C120" s="70" t="s">
        <v>4591</v>
      </c>
      <c r="D120" s="70" t="s">
        <v>3210</v>
      </c>
      <c r="E120" s="70" t="s">
        <v>3209</v>
      </c>
      <c r="F120" s="71">
        <v>15</v>
      </c>
      <c r="G120" s="71">
        <v>19</v>
      </c>
      <c r="H120" s="72">
        <v>0.11666666666666667</v>
      </c>
      <c r="I120" s="71" t="b">
        <v>1</v>
      </c>
      <c r="J120" s="71">
        <v>88</v>
      </c>
      <c r="K120" s="71">
        <v>82</v>
      </c>
      <c r="L120" s="71">
        <v>83</v>
      </c>
      <c r="M120" s="71">
        <v>14</v>
      </c>
      <c r="N120" s="71">
        <v>5</v>
      </c>
      <c r="O120" s="71">
        <v>0</v>
      </c>
      <c r="P120" s="71">
        <v>15</v>
      </c>
      <c r="Q120" s="71">
        <v>75</v>
      </c>
      <c r="R120" s="71">
        <v>128</v>
      </c>
      <c r="S120" s="71" t="s">
        <v>948</v>
      </c>
      <c r="T120" s="73">
        <v>45751</v>
      </c>
      <c r="U120" s="71" t="s">
        <v>3449</v>
      </c>
      <c r="V120" s="71" t="b">
        <v>0</v>
      </c>
    </row>
    <row r="121" spans="1:22" ht="17.25">
      <c r="A121" s="70">
        <v>68</v>
      </c>
      <c r="B121" s="70" t="s">
        <v>3211</v>
      </c>
      <c r="C121" s="70" t="s">
        <v>4590</v>
      </c>
      <c r="D121" s="70" t="s">
        <v>3210</v>
      </c>
      <c r="E121" s="70" t="s">
        <v>3209</v>
      </c>
      <c r="F121" s="71">
        <v>15</v>
      </c>
      <c r="G121" s="71">
        <v>19</v>
      </c>
      <c r="H121" s="72">
        <v>0.11666666666666667</v>
      </c>
      <c r="I121" s="71" t="b">
        <v>1</v>
      </c>
      <c r="J121" s="71">
        <v>88</v>
      </c>
      <c r="K121" s="71">
        <v>82</v>
      </c>
      <c r="L121" s="71">
        <v>83</v>
      </c>
      <c r="M121" s="71">
        <v>14</v>
      </c>
      <c r="N121" s="71">
        <v>5</v>
      </c>
      <c r="O121" s="71">
        <v>0</v>
      </c>
      <c r="P121" s="71">
        <v>15</v>
      </c>
      <c r="Q121" s="71">
        <v>75</v>
      </c>
      <c r="R121" s="71">
        <v>128</v>
      </c>
      <c r="S121" s="71" t="s">
        <v>948</v>
      </c>
      <c r="T121" s="73">
        <v>45751</v>
      </c>
      <c r="U121" s="71" t="s">
        <v>3449</v>
      </c>
      <c r="V121" s="71" t="b">
        <v>0</v>
      </c>
    </row>
    <row r="122" spans="1:22" ht="17.25">
      <c r="A122" s="70">
        <v>69</v>
      </c>
      <c r="B122" s="70" t="s">
        <v>3208</v>
      </c>
      <c r="C122" s="70" t="s">
        <v>151</v>
      </c>
      <c r="D122" s="70" t="s">
        <v>3207</v>
      </c>
      <c r="E122" s="70" t="s">
        <v>44</v>
      </c>
      <c r="F122" s="71">
        <v>18</v>
      </c>
      <c r="G122" s="71">
        <v>3</v>
      </c>
      <c r="H122" s="72" t="s">
        <v>4326</v>
      </c>
      <c r="I122" s="71" t="b">
        <v>0</v>
      </c>
      <c r="J122" s="71">
        <v>62</v>
      </c>
      <c r="K122" s="71">
        <v>54</v>
      </c>
      <c r="L122" s="71">
        <v>72</v>
      </c>
      <c r="M122" s="71">
        <v>4</v>
      </c>
      <c r="N122" s="71">
        <v>44</v>
      </c>
      <c r="O122" s="71">
        <v>0</v>
      </c>
      <c r="P122" s="71">
        <v>11</v>
      </c>
      <c r="Q122" s="71">
        <v>45</v>
      </c>
      <c r="R122" s="71">
        <v>116</v>
      </c>
      <c r="S122" s="71" t="s">
        <v>96</v>
      </c>
      <c r="T122" s="73" t="s">
        <v>4345</v>
      </c>
      <c r="U122" s="71" t="s">
        <v>3389</v>
      </c>
      <c r="V122" s="71" t="b">
        <v>0</v>
      </c>
    </row>
    <row r="123" spans="1:22" ht="17.25">
      <c r="A123" s="70">
        <v>70</v>
      </c>
      <c r="B123" s="70" t="s">
        <v>3206</v>
      </c>
      <c r="C123" s="70" t="s">
        <v>705</v>
      </c>
      <c r="D123" s="70" t="s">
        <v>3205</v>
      </c>
      <c r="E123" s="70" t="s">
        <v>1412</v>
      </c>
      <c r="F123" s="71">
        <v>54</v>
      </c>
      <c r="G123" s="71">
        <v>7</v>
      </c>
      <c r="H123" s="72">
        <v>0.17291666666666666</v>
      </c>
      <c r="I123" s="71" t="b">
        <v>0</v>
      </c>
      <c r="J123" s="71">
        <v>66</v>
      </c>
      <c r="K123" s="71">
        <v>93</v>
      </c>
      <c r="L123" s="71">
        <v>94</v>
      </c>
      <c r="M123" s="71">
        <v>7</v>
      </c>
      <c r="N123" s="71">
        <v>0</v>
      </c>
      <c r="O123" s="71">
        <v>0</v>
      </c>
      <c r="P123" s="71">
        <v>27</v>
      </c>
      <c r="Q123" s="71">
        <v>53</v>
      </c>
      <c r="R123" s="71">
        <v>131</v>
      </c>
      <c r="S123" s="71" t="s">
        <v>96</v>
      </c>
      <c r="T123" s="73">
        <v>40648</v>
      </c>
      <c r="U123" s="71" t="s">
        <v>3450</v>
      </c>
      <c r="V123" s="71" t="b">
        <v>0</v>
      </c>
    </row>
    <row r="124" spans="1:22" ht="17.25">
      <c r="A124" s="70">
        <v>71</v>
      </c>
      <c r="B124" s="70" t="s">
        <v>3204</v>
      </c>
      <c r="C124" s="70" t="s">
        <v>430</v>
      </c>
      <c r="D124" s="70" t="s">
        <v>3203</v>
      </c>
      <c r="E124" s="70" t="s">
        <v>75</v>
      </c>
      <c r="F124" s="71">
        <v>17</v>
      </c>
      <c r="G124" s="71">
        <v>2</v>
      </c>
      <c r="H124" s="72" t="s">
        <v>4318</v>
      </c>
      <c r="I124" s="71" t="b">
        <v>0</v>
      </c>
      <c r="J124" s="71">
        <v>74</v>
      </c>
      <c r="K124" s="71">
        <v>54</v>
      </c>
      <c r="L124" s="71">
        <v>72</v>
      </c>
      <c r="M124" s="71">
        <v>6</v>
      </c>
      <c r="N124" s="71">
        <v>34</v>
      </c>
      <c r="O124" s="71">
        <v>0</v>
      </c>
      <c r="P124" s="71">
        <v>11</v>
      </c>
      <c r="Q124" s="71">
        <v>64</v>
      </c>
      <c r="R124" s="71">
        <v>160</v>
      </c>
      <c r="S124" s="71" t="s">
        <v>96</v>
      </c>
      <c r="T124" s="73" t="s">
        <v>4319</v>
      </c>
      <c r="U124" s="71" t="s">
        <v>3451</v>
      </c>
      <c r="V124" s="71" t="b">
        <v>0</v>
      </c>
    </row>
    <row r="125" spans="1:22" ht="17.25">
      <c r="A125" s="70">
        <v>72</v>
      </c>
      <c r="B125" s="70" t="s">
        <v>3202</v>
      </c>
      <c r="C125" s="70" t="s">
        <v>2556</v>
      </c>
      <c r="D125" s="70" t="s">
        <v>3201</v>
      </c>
      <c r="E125" s="70" t="s">
        <v>75</v>
      </c>
      <c r="F125" s="71">
        <v>1</v>
      </c>
      <c r="G125" s="71">
        <v>356</v>
      </c>
      <c r="H125" s="72">
        <v>0.10972222222222222</v>
      </c>
      <c r="I125" s="71" t="b">
        <v>0</v>
      </c>
      <c r="J125" s="71">
        <v>76</v>
      </c>
      <c r="K125" s="71">
        <v>48</v>
      </c>
      <c r="L125" s="71">
        <v>91</v>
      </c>
      <c r="M125" s="71">
        <v>5</v>
      </c>
      <c r="N125" s="71">
        <v>55</v>
      </c>
      <c r="O125" s="71">
        <v>0</v>
      </c>
      <c r="P125" s="71">
        <v>7</v>
      </c>
      <c r="Q125" s="71">
        <v>91</v>
      </c>
      <c r="R125" s="71">
        <v>90</v>
      </c>
      <c r="S125" s="71" t="s">
        <v>48</v>
      </c>
      <c r="T125" s="73">
        <v>43391</v>
      </c>
      <c r="U125" s="71" t="s">
        <v>3452</v>
      </c>
      <c r="V125" s="71" t="b">
        <v>0</v>
      </c>
    </row>
    <row r="126" spans="1:22" ht="17.25">
      <c r="A126" s="70">
        <v>72</v>
      </c>
      <c r="B126" s="70" t="s">
        <v>3202</v>
      </c>
      <c r="C126" s="70" t="s">
        <v>4592</v>
      </c>
      <c r="D126" s="70" t="s">
        <v>3201</v>
      </c>
      <c r="E126" s="70" t="s">
        <v>75</v>
      </c>
      <c r="F126" s="71">
        <v>1</v>
      </c>
      <c r="G126" s="71">
        <v>356</v>
      </c>
      <c r="H126" s="72">
        <v>0.10972222222222222</v>
      </c>
      <c r="I126" s="71" t="b">
        <v>0</v>
      </c>
      <c r="J126" s="71">
        <v>76</v>
      </c>
      <c r="K126" s="71">
        <v>48</v>
      </c>
      <c r="L126" s="71">
        <v>91</v>
      </c>
      <c r="M126" s="71">
        <v>5</v>
      </c>
      <c r="N126" s="71">
        <v>55</v>
      </c>
      <c r="O126" s="71">
        <v>0</v>
      </c>
      <c r="P126" s="71">
        <v>7</v>
      </c>
      <c r="Q126" s="71">
        <v>91</v>
      </c>
      <c r="R126" s="71">
        <v>90</v>
      </c>
      <c r="S126" s="71" t="s">
        <v>48</v>
      </c>
      <c r="T126" s="73">
        <v>43391</v>
      </c>
      <c r="U126" s="71" t="s">
        <v>3452</v>
      </c>
      <c r="V126" s="71" t="b">
        <v>0</v>
      </c>
    </row>
    <row r="127" spans="1:22" ht="17.25">
      <c r="A127" s="70">
        <v>73</v>
      </c>
      <c r="B127" s="70" t="s">
        <v>3200</v>
      </c>
      <c r="C127" s="70" t="s">
        <v>3199</v>
      </c>
      <c r="D127" s="70" t="s">
        <v>3198</v>
      </c>
      <c r="E127" s="70" t="s">
        <v>3197</v>
      </c>
      <c r="F127" s="71">
        <v>35</v>
      </c>
      <c r="G127" s="71">
        <v>16</v>
      </c>
      <c r="H127" s="72" t="s">
        <v>4338</v>
      </c>
      <c r="I127" s="71" t="b">
        <v>0</v>
      </c>
      <c r="J127" s="71">
        <v>74</v>
      </c>
      <c r="K127" s="71">
        <v>66</v>
      </c>
      <c r="L127" s="71">
        <v>73</v>
      </c>
      <c r="M127" s="71">
        <v>5</v>
      </c>
      <c r="N127" s="71">
        <v>33</v>
      </c>
      <c r="O127" s="71">
        <v>0</v>
      </c>
      <c r="P127" s="71">
        <v>14</v>
      </c>
      <c r="Q127" s="71">
        <v>76</v>
      </c>
      <c r="R127" s="71">
        <v>142</v>
      </c>
      <c r="S127" s="71" t="s">
        <v>1045</v>
      </c>
      <c r="T127" s="73" t="s">
        <v>4384</v>
      </c>
      <c r="U127" s="71" t="s">
        <v>3453</v>
      </c>
      <c r="V127" s="71" t="b">
        <v>0</v>
      </c>
    </row>
    <row r="128" spans="1:22" ht="17.25">
      <c r="A128" s="70">
        <v>74</v>
      </c>
      <c r="B128" s="70" t="s">
        <v>3196</v>
      </c>
      <c r="C128" s="70" t="s">
        <v>86</v>
      </c>
      <c r="D128" s="70" t="s">
        <v>3195</v>
      </c>
      <c r="E128" s="70" t="s">
        <v>84</v>
      </c>
      <c r="F128" s="71">
        <v>127</v>
      </c>
      <c r="G128" s="71">
        <v>1</v>
      </c>
      <c r="H128" s="72">
        <v>0.17499999999999999</v>
      </c>
      <c r="I128" s="71" t="b">
        <v>0</v>
      </c>
      <c r="J128" s="71">
        <v>52</v>
      </c>
      <c r="K128" s="71">
        <v>68</v>
      </c>
      <c r="L128" s="71">
        <v>78</v>
      </c>
      <c r="M128" s="71">
        <v>4</v>
      </c>
      <c r="N128" s="71">
        <v>25</v>
      </c>
      <c r="O128" s="71">
        <v>0</v>
      </c>
      <c r="P128" s="71">
        <v>12</v>
      </c>
      <c r="Q128" s="71">
        <v>40</v>
      </c>
      <c r="R128" s="71">
        <v>140</v>
      </c>
      <c r="S128" s="71" t="s">
        <v>69</v>
      </c>
      <c r="T128" s="73">
        <v>33547</v>
      </c>
      <c r="U128" s="71" t="s">
        <v>3454</v>
      </c>
      <c r="V128" s="71" t="b">
        <v>0</v>
      </c>
    </row>
    <row r="129" spans="1:22" ht="17.25">
      <c r="A129" s="70">
        <v>76</v>
      </c>
      <c r="B129" s="70" t="s">
        <v>3193</v>
      </c>
      <c r="C129" s="70" t="s">
        <v>1010</v>
      </c>
      <c r="D129" s="70" t="s">
        <v>3192</v>
      </c>
      <c r="E129" s="70" t="s">
        <v>1008</v>
      </c>
      <c r="F129" s="71">
        <v>85</v>
      </c>
      <c r="G129" s="71">
        <v>30</v>
      </c>
      <c r="H129" s="72">
        <v>0.12361111111111112</v>
      </c>
      <c r="I129" s="71" t="b">
        <v>1</v>
      </c>
      <c r="J129" s="71">
        <v>75</v>
      </c>
      <c r="K129" s="71">
        <v>72</v>
      </c>
      <c r="L129" s="71">
        <v>79</v>
      </c>
      <c r="M129" s="71">
        <v>9</v>
      </c>
      <c r="N129" s="71">
        <v>15</v>
      </c>
      <c r="O129" s="71">
        <v>0</v>
      </c>
      <c r="P129" s="71">
        <v>12</v>
      </c>
      <c r="Q129" s="71">
        <v>55</v>
      </c>
      <c r="R129" s="71">
        <v>108</v>
      </c>
      <c r="S129" s="71" t="s">
        <v>61</v>
      </c>
      <c r="T129" s="73">
        <v>45590</v>
      </c>
      <c r="U129" s="71" t="s">
        <v>3455</v>
      </c>
      <c r="V129" s="71" t="b">
        <v>0</v>
      </c>
    </row>
    <row r="130" spans="1:22" ht="17.25">
      <c r="A130" s="70">
        <v>77</v>
      </c>
      <c r="B130" s="70" t="s">
        <v>3191</v>
      </c>
      <c r="C130" s="70" t="s">
        <v>705</v>
      </c>
      <c r="D130" s="70" t="s">
        <v>3190</v>
      </c>
      <c r="E130" s="70" t="s">
        <v>1412</v>
      </c>
      <c r="F130" s="71">
        <v>67</v>
      </c>
      <c r="G130" s="71">
        <v>7</v>
      </c>
      <c r="H130" s="72">
        <v>0.20416666666666666</v>
      </c>
      <c r="I130" s="71" t="b">
        <v>1</v>
      </c>
      <c r="J130" s="71">
        <v>70</v>
      </c>
      <c r="K130" s="71">
        <v>92</v>
      </c>
      <c r="L130" s="71">
        <v>94</v>
      </c>
      <c r="M130" s="71">
        <v>4</v>
      </c>
      <c r="N130" s="71">
        <v>0</v>
      </c>
      <c r="O130" s="71">
        <v>0</v>
      </c>
      <c r="P130" s="71">
        <v>8</v>
      </c>
      <c r="Q130" s="71">
        <v>71</v>
      </c>
      <c r="R130" s="71">
        <v>119</v>
      </c>
      <c r="S130" s="71" t="s">
        <v>96</v>
      </c>
      <c r="T130" s="73">
        <v>40112</v>
      </c>
      <c r="U130" s="71" t="s">
        <v>3456</v>
      </c>
      <c r="V130" s="71" t="b">
        <v>0</v>
      </c>
    </row>
    <row r="131" spans="1:22" ht="17.25">
      <c r="A131" s="70">
        <v>78</v>
      </c>
      <c r="B131" s="70" t="s">
        <v>3189</v>
      </c>
      <c r="C131" s="70" t="s">
        <v>366</v>
      </c>
      <c r="D131" s="70" t="s">
        <v>3188</v>
      </c>
      <c r="E131" s="70" t="s">
        <v>171</v>
      </c>
      <c r="F131" s="71">
        <v>187</v>
      </c>
      <c r="G131" s="71">
        <v>1</v>
      </c>
      <c r="H131" s="72" t="s">
        <v>4322</v>
      </c>
      <c r="I131" s="71" t="b">
        <v>0</v>
      </c>
      <c r="J131" s="71">
        <v>58</v>
      </c>
      <c r="K131" s="71">
        <v>44</v>
      </c>
      <c r="L131" s="71">
        <v>69</v>
      </c>
      <c r="M131" s="71">
        <v>4</v>
      </c>
      <c r="N131" s="71">
        <v>64</v>
      </c>
      <c r="O131" s="71">
        <v>0</v>
      </c>
      <c r="P131" s="71">
        <v>10</v>
      </c>
      <c r="Q131" s="71">
        <v>36</v>
      </c>
      <c r="R131" s="71">
        <v>92</v>
      </c>
      <c r="S131" s="71" t="s">
        <v>96</v>
      </c>
      <c r="T131" s="73" t="s">
        <v>4368</v>
      </c>
      <c r="U131" s="71" t="s">
        <v>3448</v>
      </c>
      <c r="V131" s="71" t="b">
        <v>0</v>
      </c>
    </row>
    <row r="132" spans="1:22" ht="17.25">
      <c r="A132" s="70">
        <v>79</v>
      </c>
      <c r="B132" s="70" t="s">
        <v>3187</v>
      </c>
      <c r="C132" s="70" t="s">
        <v>131</v>
      </c>
      <c r="D132" s="70" t="s">
        <v>3186</v>
      </c>
      <c r="E132" s="70" t="s">
        <v>129</v>
      </c>
      <c r="F132" s="71">
        <v>18</v>
      </c>
      <c r="G132" s="71">
        <v>36</v>
      </c>
      <c r="H132" s="72">
        <v>0.11944444444444445</v>
      </c>
      <c r="I132" s="71" t="b">
        <v>1</v>
      </c>
      <c r="J132" s="71">
        <v>86</v>
      </c>
      <c r="K132" s="71">
        <v>76</v>
      </c>
      <c r="L132" s="71">
        <v>91</v>
      </c>
      <c r="M132" s="71">
        <v>7</v>
      </c>
      <c r="N132" s="71">
        <v>2</v>
      </c>
      <c r="O132" s="71">
        <v>0</v>
      </c>
      <c r="P132" s="71">
        <v>34</v>
      </c>
      <c r="Q132" s="71">
        <v>45</v>
      </c>
      <c r="R132" s="71">
        <v>97</v>
      </c>
      <c r="S132" s="71" t="s">
        <v>128</v>
      </c>
      <c r="T132" s="73">
        <v>43889</v>
      </c>
      <c r="U132" s="71" t="s">
        <v>3457</v>
      </c>
      <c r="V132" s="71" t="b">
        <v>0</v>
      </c>
    </row>
    <row r="133" spans="1:22" ht="17.25">
      <c r="A133" s="70">
        <v>80</v>
      </c>
      <c r="B133" s="70" t="s">
        <v>3185</v>
      </c>
      <c r="C133" s="70" t="s">
        <v>4481</v>
      </c>
      <c r="D133" s="70" t="s">
        <v>3184</v>
      </c>
      <c r="E133" s="70" t="s">
        <v>3183</v>
      </c>
      <c r="F133" s="71">
        <v>13</v>
      </c>
      <c r="G133" s="71">
        <v>18</v>
      </c>
      <c r="H133" s="72">
        <v>0.1388888888888889</v>
      </c>
      <c r="I133" s="71" t="b">
        <v>1</v>
      </c>
      <c r="J133" s="71">
        <v>56</v>
      </c>
      <c r="K133" s="71">
        <v>68</v>
      </c>
      <c r="L133" s="71">
        <v>89</v>
      </c>
      <c r="M133" s="71">
        <v>24</v>
      </c>
      <c r="N133" s="71">
        <v>10</v>
      </c>
      <c r="O133" s="71">
        <v>0</v>
      </c>
      <c r="P133" s="71">
        <v>11</v>
      </c>
      <c r="Q133" s="71">
        <v>39</v>
      </c>
      <c r="R133" s="71">
        <v>155</v>
      </c>
      <c r="S133" s="71" t="s">
        <v>128</v>
      </c>
      <c r="T133" s="73">
        <v>45611</v>
      </c>
      <c r="U133" s="71" t="s">
        <v>3458</v>
      </c>
      <c r="V133" s="71" t="b">
        <v>0</v>
      </c>
    </row>
    <row r="134" spans="1:22" ht="17.25">
      <c r="A134" s="70">
        <v>80</v>
      </c>
      <c r="B134" s="70" t="s">
        <v>3185</v>
      </c>
      <c r="C134" s="70" t="s">
        <v>2616</v>
      </c>
      <c r="D134" s="70" t="s">
        <v>3184</v>
      </c>
      <c r="E134" s="70" t="s">
        <v>3183</v>
      </c>
      <c r="F134" s="71">
        <v>13</v>
      </c>
      <c r="G134" s="71">
        <v>18</v>
      </c>
      <c r="H134" s="72">
        <v>0.1388888888888889</v>
      </c>
      <c r="I134" s="71" t="b">
        <v>1</v>
      </c>
      <c r="J134" s="71">
        <v>56</v>
      </c>
      <c r="K134" s="71">
        <v>68</v>
      </c>
      <c r="L134" s="71">
        <v>89</v>
      </c>
      <c r="M134" s="71">
        <v>24</v>
      </c>
      <c r="N134" s="71">
        <v>10</v>
      </c>
      <c r="O134" s="71">
        <v>0</v>
      </c>
      <c r="P134" s="71">
        <v>11</v>
      </c>
      <c r="Q134" s="71">
        <v>39</v>
      </c>
      <c r="R134" s="71">
        <v>155</v>
      </c>
      <c r="S134" s="71" t="s">
        <v>128</v>
      </c>
      <c r="T134" s="73">
        <v>45611</v>
      </c>
      <c r="U134" s="71" t="s">
        <v>3458</v>
      </c>
      <c r="V134" s="71" t="b">
        <v>0</v>
      </c>
    </row>
    <row r="135" spans="1:22" ht="17.25">
      <c r="A135" s="70">
        <v>81</v>
      </c>
      <c r="B135" s="70" t="s">
        <v>3182</v>
      </c>
      <c r="C135" s="70" t="s">
        <v>3181</v>
      </c>
      <c r="D135" s="70" t="s">
        <v>3180</v>
      </c>
      <c r="E135" s="70" t="s">
        <v>3179</v>
      </c>
      <c r="F135" s="71">
        <v>180</v>
      </c>
      <c r="G135" s="71">
        <v>1</v>
      </c>
      <c r="H135" s="72">
        <v>0.15833333333333333</v>
      </c>
      <c r="I135" s="71" t="b">
        <v>0</v>
      </c>
      <c r="J135" s="71">
        <v>50</v>
      </c>
      <c r="K135" s="71">
        <v>48</v>
      </c>
      <c r="L135" s="71">
        <v>72</v>
      </c>
      <c r="M135" s="71">
        <v>4</v>
      </c>
      <c r="N135" s="71">
        <v>55</v>
      </c>
      <c r="O135" s="71">
        <v>0</v>
      </c>
      <c r="P135" s="71">
        <v>15</v>
      </c>
      <c r="Q135" s="71">
        <v>70</v>
      </c>
      <c r="R135" s="71">
        <v>105</v>
      </c>
      <c r="S135" s="71" t="s">
        <v>29</v>
      </c>
      <c r="T135" s="73">
        <v>37207</v>
      </c>
      <c r="U135" s="71" t="s">
        <v>3459</v>
      </c>
      <c r="V135" s="71" t="b">
        <v>1</v>
      </c>
    </row>
    <row r="136" spans="1:22" ht="17.25">
      <c r="A136" s="70">
        <v>82</v>
      </c>
      <c r="B136" s="70" t="s">
        <v>3178</v>
      </c>
      <c r="C136" s="70" t="s">
        <v>705</v>
      </c>
      <c r="D136" s="70" t="s">
        <v>2924</v>
      </c>
      <c r="E136" s="70" t="s">
        <v>133</v>
      </c>
      <c r="F136" s="71">
        <v>31</v>
      </c>
      <c r="G136" s="71">
        <v>6</v>
      </c>
      <c r="H136" s="72">
        <v>0.15555555555555556</v>
      </c>
      <c r="I136" s="71" t="b">
        <v>0</v>
      </c>
      <c r="J136" s="71">
        <v>56</v>
      </c>
      <c r="K136" s="71">
        <v>92</v>
      </c>
      <c r="L136" s="71">
        <v>95</v>
      </c>
      <c r="M136" s="71">
        <v>12</v>
      </c>
      <c r="N136" s="71">
        <v>5</v>
      </c>
      <c r="O136" s="71">
        <v>0</v>
      </c>
      <c r="P136" s="71">
        <v>49</v>
      </c>
      <c r="Q136" s="71">
        <v>50</v>
      </c>
      <c r="R136" s="71">
        <v>101</v>
      </c>
      <c r="S136" s="71" t="s">
        <v>96</v>
      </c>
      <c r="T136" s="73">
        <v>45590</v>
      </c>
      <c r="U136" s="71" t="s">
        <v>3460</v>
      </c>
      <c r="V136" s="71" t="b">
        <v>0</v>
      </c>
    </row>
    <row r="137" spans="1:22" ht="17.25">
      <c r="A137" s="70">
        <v>83</v>
      </c>
      <c r="B137" s="70" t="s">
        <v>3177</v>
      </c>
      <c r="C137" s="70" t="s">
        <v>430</v>
      </c>
      <c r="D137" s="70" t="s">
        <v>3176</v>
      </c>
      <c r="E137" s="70" t="s">
        <v>75</v>
      </c>
      <c r="F137" s="71">
        <v>60</v>
      </c>
      <c r="G137" s="71">
        <v>2</v>
      </c>
      <c r="H137" s="72" t="s">
        <v>4320</v>
      </c>
      <c r="I137" s="71" t="b">
        <v>1</v>
      </c>
      <c r="J137" s="71">
        <v>61</v>
      </c>
      <c r="K137" s="71">
        <v>27</v>
      </c>
      <c r="L137" s="71">
        <v>73</v>
      </c>
      <c r="M137" s="71">
        <v>3</v>
      </c>
      <c r="N137" s="71">
        <v>89</v>
      </c>
      <c r="O137" s="71">
        <v>0</v>
      </c>
      <c r="P137" s="71">
        <v>16</v>
      </c>
      <c r="Q137" s="71">
        <v>14</v>
      </c>
      <c r="R137" s="71">
        <v>97</v>
      </c>
      <c r="S137" s="71" t="s">
        <v>96</v>
      </c>
      <c r="T137" s="73" t="s">
        <v>4319</v>
      </c>
      <c r="U137" s="71" t="s">
        <v>3461</v>
      </c>
      <c r="V137" s="71" t="b">
        <v>0</v>
      </c>
    </row>
    <row r="138" spans="1:22" ht="17.25">
      <c r="A138" s="70">
        <v>84</v>
      </c>
      <c r="B138" s="70" t="s">
        <v>3175</v>
      </c>
      <c r="C138" s="70" t="s">
        <v>122</v>
      </c>
      <c r="D138" s="70" t="s">
        <v>1633</v>
      </c>
      <c r="E138" s="70" t="s">
        <v>120</v>
      </c>
      <c r="F138" s="71">
        <v>6</v>
      </c>
      <c r="G138" s="71">
        <v>63</v>
      </c>
      <c r="H138" s="72">
        <v>0.13750000000000001</v>
      </c>
      <c r="I138" s="71" t="b">
        <v>0</v>
      </c>
      <c r="J138" s="71">
        <v>64</v>
      </c>
      <c r="K138" s="71">
        <v>89</v>
      </c>
      <c r="L138" s="71">
        <v>94</v>
      </c>
      <c r="M138" s="71">
        <v>4</v>
      </c>
      <c r="N138" s="71">
        <v>14</v>
      </c>
      <c r="O138" s="71">
        <v>0</v>
      </c>
      <c r="P138" s="71">
        <v>8</v>
      </c>
      <c r="Q138" s="71">
        <v>89</v>
      </c>
      <c r="R138" s="71">
        <v>116</v>
      </c>
      <c r="S138" s="71" t="s">
        <v>74</v>
      </c>
      <c r="T138" s="73">
        <v>45513</v>
      </c>
      <c r="U138" s="71" t="s">
        <v>3403</v>
      </c>
      <c r="V138" s="71" t="b">
        <v>0</v>
      </c>
    </row>
    <row r="139" spans="1:22" ht="17.25">
      <c r="A139" s="70">
        <v>85</v>
      </c>
      <c r="B139" s="70" t="s">
        <v>3174</v>
      </c>
      <c r="C139" s="70" t="s">
        <v>4593</v>
      </c>
      <c r="D139" s="70" t="s">
        <v>3173</v>
      </c>
      <c r="E139" s="70" t="s">
        <v>1886</v>
      </c>
      <c r="F139" s="71">
        <v>129</v>
      </c>
      <c r="G139" s="71">
        <v>7</v>
      </c>
      <c r="H139" s="72" t="s">
        <v>4315</v>
      </c>
      <c r="I139" s="71" t="b">
        <v>0</v>
      </c>
      <c r="J139" s="71">
        <v>80</v>
      </c>
      <c r="K139" s="71">
        <v>83</v>
      </c>
      <c r="L139" s="71">
        <v>75</v>
      </c>
      <c r="M139" s="71">
        <v>6</v>
      </c>
      <c r="N139" s="71">
        <v>11</v>
      </c>
      <c r="O139" s="71">
        <v>0</v>
      </c>
      <c r="P139" s="71">
        <v>18</v>
      </c>
      <c r="Q139" s="71">
        <v>84</v>
      </c>
      <c r="R139" s="71">
        <v>128</v>
      </c>
      <c r="S139" s="71" t="s">
        <v>128</v>
      </c>
      <c r="T139" s="73" t="s">
        <v>4388</v>
      </c>
      <c r="U139" s="71" t="s">
        <v>3462</v>
      </c>
      <c r="V139" s="71" t="b">
        <v>0</v>
      </c>
    </row>
    <row r="140" spans="1:22" ht="17.25">
      <c r="A140" s="70">
        <v>85</v>
      </c>
      <c r="B140" s="70" t="s">
        <v>3174</v>
      </c>
      <c r="C140" s="70" t="s">
        <v>1886</v>
      </c>
      <c r="D140" s="70" t="s">
        <v>3173</v>
      </c>
      <c r="E140" s="70" t="s">
        <v>1886</v>
      </c>
      <c r="F140" s="71">
        <v>129</v>
      </c>
      <c r="G140" s="71">
        <v>7</v>
      </c>
      <c r="H140" s="72" t="s">
        <v>4315</v>
      </c>
      <c r="I140" s="71" t="b">
        <v>0</v>
      </c>
      <c r="J140" s="71">
        <v>80</v>
      </c>
      <c r="K140" s="71">
        <v>83</v>
      </c>
      <c r="L140" s="71">
        <v>75</v>
      </c>
      <c r="M140" s="71">
        <v>6</v>
      </c>
      <c r="N140" s="71">
        <v>11</v>
      </c>
      <c r="O140" s="71">
        <v>0</v>
      </c>
      <c r="P140" s="71">
        <v>18</v>
      </c>
      <c r="Q140" s="71">
        <v>84</v>
      </c>
      <c r="R140" s="71">
        <v>128</v>
      </c>
      <c r="S140" s="71" t="s">
        <v>128</v>
      </c>
      <c r="T140" s="73" t="s">
        <v>4388</v>
      </c>
      <c r="U140" s="71" t="s">
        <v>3462</v>
      </c>
      <c r="V140" s="71" t="b">
        <v>0</v>
      </c>
    </row>
    <row r="141" spans="1:22" ht="17.25">
      <c r="A141" s="70">
        <v>86</v>
      </c>
      <c r="B141" s="70" t="s">
        <v>3172</v>
      </c>
      <c r="C141" s="70" t="s">
        <v>889</v>
      </c>
      <c r="D141" s="70" t="s">
        <v>3171</v>
      </c>
      <c r="E141" s="70" t="s">
        <v>607</v>
      </c>
      <c r="F141" s="71">
        <v>193</v>
      </c>
      <c r="G141" s="71">
        <v>1</v>
      </c>
      <c r="H141" s="72" t="s">
        <v>4318</v>
      </c>
      <c r="I141" s="71" t="b">
        <v>0</v>
      </c>
      <c r="J141" s="71">
        <v>76</v>
      </c>
      <c r="K141" s="71">
        <v>80</v>
      </c>
      <c r="L141" s="71">
        <v>75</v>
      </c>
      <c r="M141" s="71">
        <v>6</v>
      </c>
      <c r="N141" s="71">
        <v>12</v>
      </c>
      <c r="O141" s="71">
        <v>0</v>
      </c>
      <c r="P141" s="71">
        <v>16</v>
      </c>
      <c r="Q141" s="71">
        <v>68</v>
      </c>
      <c r="R141" s="71">
        <v>130</v>
      </c>
      <c r="S141" s="71" t="s">
        <v>115</v>
      </c>
      <c r="T141" s="73" t="s">
        <v>4394</v>
      </c>
      <c r="U141" s="71" t="s">
        <v>3463</v>
      </c>
      <c r="V141" s="71" t="b">
        <v>0</v>
      </c>
    </row>
    <row r="142" spans="1:22" ht="17.25">
      <c r="A142" s="70">
        <v>87</v>
      </c>
      <c r="B142" s="70" t="s">
        <v>3170</v>
      </c>
      <c r="C142" s="70" t="s">
        <v>766</v>
      </c>
      <c r="D142" s="70" t="s">
        <v>3169</v>
      </c>
      <c r="E142" s="70" t="s">
        <v>764</v>
      </c>
      <c r="F142" s="71">
        <v>57</v>
      </c>
      <c r="G142" s="71">
        <v>1</v>
      </c>
      <c r="H142" s="72" t="s">
        <v>4338</v>
      </c>
      <c r="I142" s="71" t="b">
        <v>0</v>
      </c>
      <c r="J142" s="71">
        <v>68</v>
      </c>
      <c r="K142" s="71">
        <v>65</v>
      </c>
      <c r="L142" s="71">
        <v>73</v>
      </c>
      <c r="M142" s="71">
        <v>6</v>
      </c>
      <c r="N142" s="71">
        <v>24</v>
      </c>
      <c r="O142" s="71">
        <v>0</v>
      </c>
      <c r="P142" s="71">
        <v>12</v>
      </c>
      <c r="Q142" s="71">
        <v>56</v>
      </c>
      <c r="R142" s="71">
        <v>125</v>
      </c>
      <c r="S142" s="71" t="s">
        <v>79</v>
      </c>
      <c r="T142" s="73" t="s">
        <v>4339</v>
      </c>
      <c r="U142" s="71" t="s">
        <v>3464</v>
      </c>
      <c r="V142" s="71" t="b">
        <v>0</v>
      </c>
    </row>
    <row r="143" spans="1:22" ht="17.25">
      <c r="A143" s="70">
        <v>88</v>
      </c>
      <c r="B143" s="70" t="s">
        <v>3168</v>
      </c>
      <c r="C143" s="70" t="s">
        <v>705</v>
      </c>
      <c r="D143" s="70" t="s">
        <v>3167</v>
      </c>
      <c r="E143" s="70" t="s">
        <v>133</v>
      </c>
      <c r="F143" s="71">
        <v>82</v>
      </c>
      <c r="G143" s="71">
        <v>1</v>
      </c>
      <c r="H143" s="72">
        <v>0.15138888888888888</v>
      </c>
      <c r="I143" s="71" t="b">
        <v>0</v>
      </c>
      <c r="J143" s="71">
        <v>62</v>
      </c>
      <c r="K143" s="71">
        <v>87</v>
      </c>
      <c r="L143" s="71">
        <v>93</v>
      </c>
      <c r="M143" s="71">
        <v>6</v>
      </c>
      <c r="N143" s="71">
        <v>0</v>
      </c>
      <c r="O143" s="71">
        <v>0</v>
      </c>
      <c r="P143" s="71">
        <v>8</v>
      </c>
      <c r="Q143" s="71">
        <v>37</v>
      </c>
      <c r="R143" s="71">
        <v>104</v>
      </c>
      <c r="S143" s="71" t="s">
        <v>96</v>
      </c>
      <c r="T143" s="73">
        <v>45723</v>
      </c>
      <c r="U143" s="71" t="s">
        <v>3418</v>
      </c>
      <c r="V143" s="71" t="b">
        <v>0</v>
      </c>
    </row>
    <row r="144" spans="1:22" ht="17.25">
      <c r="A144" s="70">
        <v>89</v>
      </c>
      <c r="B144" s="70" t="s">
        <v>3166</v>
      </c>
      <c r="C144" s="70" t="s">
        <v>37</v>
      </c>
      <c r="D144" s="70" t="s">
        <v>3165</v>
      </c>
      <c r="E144" s="70" t="s">
        <v>937</v>
      </c>
      <c r="F144" s="71">
        <v>100</v>
      </c>
      <c r="G144" s="71">
        <v>16</v>
      </c>
      <c r="H144" s="72">
        <v>0.17569444444444443</v>
      </c>
      <c r="I144" s="71" t="b">
        <v>1</v>
      </c>
      <c r="J144" s="71">
        <v>62</v>
      </c>
      <c r="K144" s="71">
        <v>81</v>
      </c>
      <c r="L144" s="71">
        <v>92</v>
      </c>
      <c r="M144" s="71">
        <v>5</v>
      </c>
      <c r="N144" s="71">
        <v>27</v>
      </c>
      <c r="O144" s="71">
        <v>0</v>
      </c>
      <c r="P144" s="71">
        <v>7</v>
      </c>
      <c r="Q144" s="71">
        <v>88</v>
      </c>
      <c r="R144" s="71">
        <v>95</v>
      </c>
      <c r="S144" s="71" t="s">
        <v>26</v>
      </c>
      <c r="T144" s="73">
        <v>42397</v>
      </c>
      <c r="U144" s="71" t="s">
        <v>3465</v>
      </c>
      <c r="V144" s="71" t="b">
        <v>0</v>
      </c>
    </row>
    <row r="145" spans="1:22" ht="17.25">
      <c r="A145" s="70">
        <v>90</v>
      </c>
      <c r="B145" s="70" t="s">
        <v>3164</v>
      </c>
      <c r="C145" s="70" t="s">
        <v>3163</v>
      </c>
      <c r="D145" s="70" t="s">
        <v>3162</v>
      </c>
      <c r="E145" s="70" t="s">
        <v>1823</v>
      </c>
      <c r="F145" s="71">
        <v>181</v>
      </c>
      <c r="G145" s="71">
        <v>1</v>
      </c>
      <c r="H145" s="72">
        <v>0.1423611111111111</v>
      </c>
      <c r="I145" s="71" t="b">
        <v>0</v>
      </c>
      <c r="J145" s="71">
        <v>55</v>
      </c>
      <c r="K145" s="71">
        <v>58</v>
      </c>
      <c r="L145" s="71">
        <v>74</v>
      </c>
      <c r="M145" s="71">
        <v>5</v>
      </c>
      <c r="N145" s="71">
        <v>35</v>
      </c>
      <c r="O145" s="71">
        <v>0</v>
      </c>
      <c r="P145" s="71">
        <v>12</v>
      </c>
      <c r="Q145" s="71">
        <v>50</v>
      </c>
      <c r="R145" s="71">
        <v>100</v>
      </c>
      <c r="S145" s="71" t="s">
        <v>74</v>
      </c>
      <c r="T145" s="73">
        <v>45611</v>
      </c>
      <c r="U145" s="71" t="s">
        <v>3466</v>
      </c>
      <c r="V145" s="71" t="b">
        <v>0</v>
      </c>
    </row>
    <row r="146" spans="1:22" ht="17.25">
      <c r="A146" s="70">
        <v>91</v>
      </c>
      <c r="B146" s="70" t="s">
        <v>3161</v>
      </c>
      <c r="C146" s="70" t="s">
        <v>151</v>
      </c>
      <c r="D146" s="70" t="s">
        <v>3160</v>
      </c>
      <c r="E146" s="70" t="s">
        <v>44</v>
      </c>
      <c r="F146" s="71">
        <v>33</v>
      </c>
      <c r="G146" s="71">
        <v>2</v>
      </c>
      <c r="H146" s="72" t="s">
        <v>4322</v>
      </c>
      <c r="I146" s="71" t="b">
        <v>0</v>
      </c>
      <c r="J146" s="71">
        <v>73</v>
      </c>
      <c r="K146" s="71">
        <v>68</v>
      </c>
      <c r="L146" s="71">
        <v>74</v>
      </c>
      <c r="M146" s="71">
        <v>5</v>
      </c>
      <c r="N146" s="71">
        <v>20</v>
      </c>
      <c r="O146" s="71">
        <v>0</v>
      </c>
      <c r="P146" s="71">
        <v>13</v>
      </c>
      <c r="Q146" s="71">
        <v>66</v>
      </c>
      <c r="R146" s="71">
        <v>120</v>
      </c>
      <c r="S146" s="71" t="s">
        <v>96</v>
      </c>
      <c r="T146" s="73" t="s">
        <v>4345</v>
      </c>
      <c r="U146" s="71" t="s">
        <v>3389</v>
      </c>
      <c r="V146" s="71" t="b">
        <v>0</v>
      </c>
    </row>
    <row r="147" spans="1:22" ht="17.25">
      <c r="A147" s="70">
        <v>92</v>
      </c>
      <c r="B147" s="70" t="s">
        <v>3159</v>
      </c>
      <c r="C147" s="70" t="s">
        <v>4418</v>
      </c>
      <c r="D147" s="70" t="s">
        <v>248</v>
      </c>
      <c r="E147" s="70" t="s">
        <v>1328</v>
      </c>
      <c r="F147" s="71">
        <v>27</v>
      </c>
      <c r="G147" s="71">
        <v>26</v>
      </c>
      <c r="H147" s="72">
        <v>0.12847222222222221</v>
      </c>
      <c r="I147" s="71" t="b">
        <v>0</v>
      </c>
      <c r="J147" s="71">
        <v>88</v>
      </c>
      <c r="K147" s="71">
        <v>85</v>
      </c>
      <c r="L147" s="71">
        <v>84</v>
      </c>
      <c r="M147" s="71">
        <v>8</v>
      </c>
      <c r="N147" s="71">
        <v>5</v>
      </c>
      <c r="O147" s="71">
        <v>0</v>
      </c>
      <c r="P147" s="71">
        <v>15</v>
      </c>
      <c r="Q147" s="71">
        <v>72</v>
      </c>
      <c r="R147" s="71">
        <v>128</v>
      </c>
      <c r="S147" s="71" t="s">
        <v>247</v>
      </c>
      <c r="T147" s="73">
        <v>45457</v>
      </c>
      <c r="U147" s="71" t="s">
        <v>3467</v>
      </c>
      <c r="V147" s="71" t="b">
        <v>0</v>
      </c>
    </row>
    <row r="148" spans="1:22" ht="17.25">
      <c r="A148" s="70">
        <v>92</v>
      </c>
      <c r="B148" s="70" t="s">
        <v>3159</v>
      </c>
      <c r="C148" s="70" t="s">
        <v>4594</v>
      </c>
      <c r="D148" s="70" t="s">
        <v>248</v>
      </c>
      <c r="E148" s="70" t="s">
        <v>1328</v>
      </c>
      <c r="F148" s="71">
        <v>27</v>
      </c>
      <c r="G148" s="71">
        <v>26</v>
      </c>
      <c r="H148" s="72">
        <v>0.12847222222222221</v>
      </c>
      <c r="I148" s="71" t="b">
        <v>0</v>
      </c>
      <c r="J148" s="71">
        <v>88</v>
      </c>
      <c r="K148" s="71">
        <v>85</v>
      </c>
      <c r="L148" s="71">
        <v>84</v>
      </c>
      <c r="M148" s="71">
        <v>8</v>
      </c>
      <c r="N148" s="71">
        <v>5</v>
      </c>
      <c r="O148" s="71">
        <v>0</v>
      </c>
      <c r="P148" s="71">
        <v>15</v>
      </c>
      <c r="Q148" s="71">
        <v>72</v>
      </c>
      <c r="R148" s="71">
        <v>128</v>
      </c>
      <c r="S148" s="71" t="s">
        <v>247</v>
      </c>
      <c r="T148" s="73">
        <v>45457</v>
      </c>
      <c r="U148" s="71" t="s">
        <v>3467</v>
      </c>
      <c r="V148" s="71" t="b">
        <v>0</v>
      </c>
    </row>
    <row r="149" spans="1:22" ht="17.25">
      <c r="A149" s="70">
        <v>93</v>
      </c>
      <c r="B149" s="70" t="s">
        <v>3158</v>
      </c>
      <c r="C149" s="70" t="s">
        <v>237</v>
      </c>
      <c r="D149" s="70" t="s">
        <v>3157</v>
      </c>
      <c r="E149" s="70" t="s">
        <v>75</v>
      </c>
      <c r="F149" s="71">
        <v>1</v>
      </c>
      <c r="G149" s="71">
        <v>357</v>
      </c>
      <c r="H149" s="72">
        <v>0.1388888888888889</v>
      </c>
      <c r="I149" s="71" t="b">
        <v>0</v>
      </c>
      <c r="J149" s="71">
        <v>51</v>
      </c>
      <c r="K149" s="71">
        <v>73</v>
      </c>
      <c r="L149" s="71">
        <v>90</v>
      </c>
      <c r="M149" s="71">
        <v>6</v>
      </c>
      <c r="N149" s="71">
        <v>0</v>
      </c>
      <c r="O149" s="71">
        <v>0</v>
      </c>
      <c r="P149" s="71">
        <v>9</v>
      </c>
      <c r="Q149" s="71">
        <v>33</v>
      </c>
      <c r="R149" s="71">
        <v>171</v>
      </c>
      <c r="S149" s="71" t="s">
        <v>2330</v>
      </c>
      <c r="T149" s="73">
        <v>43798</v>
      </c>
      <c r="U149" s="71" t="s">
        <v>3468</v>
      </c>
      <c r="V149" s="71" t="b">
        <v>0</v>
      </c>
    </row>
    <row r="150" spans="1:22" ht="17.25">
      <c r="A150" s="70">
        <v>94</v>
      </c>
      <c r="B150" s="70" t="s">
        <v>3156</v>
      </c>
      <c r="C150" s="70" t="s">
        <v>3155</v>
      </c>
      <c r="D150" s="70" t="s">
        <v>3154</v>
      </c>
      <c r="E150" s="70" t="s">
        <v>270</v>
      </c>
      <c r="F150" s="71">
        <v>181</v>
      </c>
      <c r="G150" s="71">
        <v>1</v>
      </c>
      <c r="H150" s="72">
        <v>0.11666666666666667</v>
      </c>
      <c r="I150" s="71" t="b">
        <v>0</v>
      </c>
      <c r="J150" s="71">
        <v>80</v>
      </c>
      <c r="K150" s="71">
        <v>82</v>
      </c>
      <c r="L150" s="71">
        <v>81</v>
      </c>
      <c r="M150" s="71">
        <v>12</v>
      </c>
      <c r="N150" s="71">
        <v>6</v>
      </c>
      <c r="O150" s="71">
        <v>0</v>
      </c>
      <c r="P150" s="71">
        <v>13</v>
      </c>
      <c r="Q150" s="71">
        <v>70</v>
      </c>
      <c r="R150" s="71">
        <v>122</v>
      </c>
      <c r="S150" s="71" t="s">
        <v>115</v>
      </c>
      <c r="T150" s="73">
        <v>45712</v>
      </c>
      <c r="U150" s="71" t="s">
        <v>3469</v>
      </c>
      <c r="V150" s="71" t="b">
        <v>0</v>
      </c>
    </row>
    <row r="151" spans="1:22" ht="17.25">
      <c r="A151" s="70">
        <v>95</v>
      </c>
      <c r="B151" s="70" t="s">
        <v>3153</v>
      </c>
      <c r="C151" s="70" t="s">
        <v>131</v>
      </c>
      <c r="D151" s="70" t="s">
        <v>3152</v>
      </c>
      <c r="E151" s="70" t="s">
        <v>129</v>
      </c>
      <c r="F151" s="71">
        <v>42</v>
      </c>
      <c r="G151" s="71">
        <v>2</v>
      </c>
      <c r="H151" s="72">
        <v>0.14444444444444443</v>
      </c>
      <c r="I151" s="71" t="b">
        <v>1</v>
      </c>
      <c r="J151" s="71">
        <v>80</v>
      </c>
      <c r="K151" s="71">
        <v>78</v>
      </c>
      <c r="L151" s="71">
        <v>81</v>
      </c>
      <c r="M151" s="71">
        <v>14</v>
      </c>
      <c r="N151" s="71">
        <v>8</v>
      </c>
      <c r="O151" s="71">
        <v>0</v>
      </c>
      <c r="P151" s="71">
        <v>12</v>
      </c>
      <c r="Q151" s="71">
        <v>55</v>
      </c>
      <c r="R151" s="71">
        <v>120</v>
      </c>
      <c r="S151" s="71" t="s">
        <v>128</v>
      </c>
      <c r="T151" s="73">
        <v>45662</v>
      </c>
      <c r="U151" s="71" t="s">
        <v>3470</v>
      </c>
      <c r="V151" s="71" t="b">
        <v>0</v>
      </c>
    </row>
    <row r="152" spans="1:22" ht="17.25">
      <c r="A152" s="70">
        <v>96</v>
      </c>
      <c r="B152" s="70" t="s">
        <v>3151</v>
      </c>
      <c r="C152" s="70" t="s">
        <v>336</v>
      </c>
      <c r="D152" s="70" t="s">
        <v>3150</v>
      </c>
      <c r="E152" s="70" t="s">
        <v>334</v>
      </c>
      <c r="F152" s="71">
        <v>6</v>
      </c>
      <c r="G152" s="71">
        <v>114</v>
      </c>
      <c r="H152" s="72">
        <v>0.15138888888888888</v>
      </c>
      <c r="I152" s="71" t="b">
        <v>0</v>
      </c>
      <c r="J152" s="71">
        <v>70</v>
      </c>
      <c r="K152" s="71">
        <v>58</v>
      </c>
      <c r="L152" s="71">
        <v>90</v>
      </c>
      <c r="M152" s="71">
        <v>4</v>
      </c>
      <c r="N152" s="71">
        <v>5</v>
      </c>
      <c r="O152" s="71">
        <v>0</v>
      </c>
      <c r="P152" s="71">
        <v>9</v>
      </c>
      <c r="Q152" s="71">
        <v>78</v>
      </c>
      <c r="R152" s="71">
        <v>117</v>
      </c>
      <c r="S152" s="71" t="s">
        <v>96</v>
      </c>
      <c r="T152" s="73">
        <v>45387</v>
      </c>
      <c r="U152" s="71" t="s">
        <v>3471</v>
      </c>
      <c r="V152" s="71" t="b">
        <v>0</v>
      </c>
    </row>
    <row r="153" spans="1:22" ht="17.25">
      <c r="A153" s="70">
        <v>97</v>
      </c>
      <c r="B153" s="70" t="s">
        <v>3149</v>
      </c>
      <c r="C153" s="70" t="s">
        <v>3148</v>
      </c>
      <c r="D153" s="70" t="s">
        <v>3147</v>
      </c>
      <c r="E153" s="70" t="s">
        <v>1077</v>
      </c>
      <c r="F153" s="71">
        <v>116</v>
      </c>
      <c r="G153" s="71">
        <v>36</v>
      </c>
      <c r="H153" s="72">
        <v>0.15347222222222223</v>
      </c>
      <c r="I153" s="71" t="b">
        <v>0</v>
      </c>
      <c r="J153" s="71">
        <v>58</v>
      </c>
      <c r="K153" s="71">
        <v>65</v>
      </c>
      <c r="L153" s="71">
        <v>79</v>
      </c>
      <c r="M153" s="71">
        <v>6</v>
      </c>
      <c r="N153" s="71">
        <v>12</v>
      </c>
      <c r="O153" s="71">
        <v>0</v>
      </c>
      <c r="P153" s="71">
        <v>7</v>
      </c>
      <c r="Q153" s="71">
        <v>62</v>
      </c>
      <c r="R153" s="71">
        <v>130</v>
      </c>
      <c r="S153" s="71" t="s">
        <v>1526</v>
      </c>
      <c r="T153" s="73">
        <v>31352</v>
      </c>
      <c r="U153" s="71" t="s">
        <v>3472</v>
      </c>
      <c r="V153" s="71" t="b">
        <v>0</v>
      </c>
    </row>
    <row r="154" spans="1:22" ht="17.25">
      <c r="A154" s="70">
        <v>98</v>
      </c>
      <c r="B154" s="70" t="s">
        <v>3146</v>
      </c>
      <c r="C154" s="70" t="s">
        <v>4595</v>
      </c>
      <c r="D154" s="70" t="s">
        <v>1088</v>
      </c>
      <c r="E154" s="70" t="s">
        <v>239</v>
      </c>
      <c r="F154" s="71">
        <v>84</v>
      </c>
      <c r="G154" s="71">
        <v>3</v>
      </c>
      <c r="H154" s="72" t="s">
        <v>4342</v>
      </c>
      <c r="I154" s="71" t="b">
        <v>0</v>
      </c>
      <c r="J154" s="71">
        <v>52</v>
      </c>
      <c r="K154" s="71">
        <v>58</v>
      </c>
      <c r="L154" s="71">
        <v>71</v>
      </c>
      <c r="M154" s="71">
        <v>9</v>
      </c>
      <c r="N154" s="71">
        <v>45</v>
      </c>
      <c r="O154" s="71">
        <v>5</v>
      </c>
      <c r="P154" s="71">
        <v>22</v>
      </c>
      <c r="Q154" s="71">
        <v>34</v>
      </c>
      <c r="R154" s="71">
        <v>142</v>
      </c>
      <c r="S154" s="71" t="s">
        <v>96</v>
      </c>
      <c r="T154" s="73" t="s">
        <v>4341</v>
      </c>
      <c r="U154" s="71" t="s">
        <v>3473</v>
      </c>
      <c r="V154" s="71" t="b">
        <v>0</v>
      </c>
    </row>
    <row r="155" spans="1:22" ht="17.25">
      <c r="A155" s="70">
        <v>98</v>
      </c>
      <c r="B155" s="70" t="s">
        <v>3146</v>
      </c>
      <c r="C155" s="70" t="s">
        <v>241</v>
      </c>
      <c r="D155" s="70" t="s">
        <v>1088</v>
      </c>
      <c r="E155" s="70" t="s">
        <v>239</v>
      </c>
      <c r="F155" s="71">
        <v>84</v>
      </c>
      <c r="G155" s="71">
        <v>3</v>
      </c>
      <c r="H155" s="72" t="s">
        <v>4342</v>
      </c>
      <c r="I155" s="71" t="b">
        <v>0</v>
      </c>
      <c r="J155" s="71">
        <v>52</v>
      </c>
      <c r="K155" s="71">
        <v>58</v>
      </c>
      <c r="L155" s="71">
        <v>71</v>
      </c>
      <c r="M155" s="71">
        <v>9</v>
      </c>
      <c r="N155" s="71">
        <v>45</v>
      </c>
      <c r="O155" s="71">
        <v>5</v>
      </c>
      <c r="P155" s="71">
        <v>22</v>
      </c>
      <c r="Q155" s="71">
        <v>34</v>
      </c>
      <c r="R155" s="71">
        <v>142</v>
      </c>
      <c r="S155" s="71" t="s">
        <v>96</v>
      </c>
      <c r="T155" s="73" t="s">
        <v>4341</v>
      </c>
      <c r="U155" s="71" t="s">
        <v>3473</v>
      </c>
      <c r="V155" s="71" t="b">
        <v>0</v>
      </c>
    </row>
    <row r="156" spans="1:22" ht="17.25">
      <c r="A156" s="70">
        <v>99</v>
      </c>
      <c r="B156" s="70" t="s">
        <v>3145</v>
      </c>
      <c r="C156" s="70" t="s">
        <v>3143</v>
      </c>
      <c r="D156" s="70" t="s">
        <v>3144</v>
      </c>
      <c r="E156" s="70" t="s">
        <v>3143</v>
      </c>
      <c r="F156" s="71">
        <v>151</v>
      </c>
      <c r="G156" s="71">
        <v>6</v>
      </c>
      <c r="H156" s="72">
        <v>0.13541666666666666</v>
      </c>
      <c r="I156" s="71" t="b">
        <v>0</v>
      </c>
      <c r="J156" s="71">
        <v>38</v>
      </c>
      <c r="K156" s="71">
        <v>56</v>
      </c>
      <c r="L156" s="71">
        <v>88</v>
      </c>
      <c r="M156" s="71">
        <v>3</v>
      </c>
      <c r="N156" s="71">
        <v>13</v>
      </c>
      <c r="O156" s="71">
        <v>0</v>
      </c>
      <c r="P156" s="71">
        <v>16</v>
      </c>
      <c r="Q156" s="71">
        <v>25</v>
      </c>
      <c r="R156" s="71">
        <v>93</v>
      </c>
      <c r="S156" s="71" t="s">
        <v>79</v>
      </c>
      <c r="T156" s="73">
        <v>45429</v>
      </c>
      <c r="U156" s="71" t="s">
        <v>3474</v>
      </c>
      <c r="V156" s="71" t="b">
        <v>0</v>
      </c>
    </row>
    <row r="157" spans="1:22" ht="17.25">
      <c r="A157" s="70">
        <v>100</v>
      </c>
      <c r="B157" s="70" t="s">
        <v>3142</v>
      </c>
      <c r="C157" s="70" t="s">
        <v>737</v>
      </c>
      <c r="D157" s="70" t="s">
        <v>3141</v>
      </c>
      <c r="E157" s="70" t="s">
        <v>735</v>
      </c>
      <c r="F157" s="71">
        <v>47</v>
      </c>
      <c r="G157" s="71">
        <v>29</v>
      </c>
      <c r="H157" s="72">
        <v>0.17708333333333334</v>
      </c>
      <c r="I157" s="71" t="b">
        <v>0</v>
      </c>
      <c r="J157" s="71">
        <v>58</v>
      </c>
      <c r="K157" s="71">
        <v>55</v>
      </c>
      <c r="L157" s="71">
        <v>74</v>
      </c>
      <c r="M157" s="71">
        <v>4</v>
      </c>
      <c r="N157" s="71">
        <v>40</v>
      </c>
      <c r="O157" s="71">
        <v>0</v>
      </c>
      <c r="P157" s="71">
        <v>15</v>
      </c>
      <c r="Q157" s="71">
        <v>72</v>
      </c>
      <c r="R157" s="71">
        <v>108</v>
      </c>
      <c r="S157" s="71" t="s">
        <v>29</v>
      </c>
      <c r="T157" s="73">
        <v>36844</v>
      </c>
      <c r="U157" s="71" t="s">
        <v>3475</v>
      </c>
      <c r="V157" s="71" t="b">
        <v>1</v>
      </c>
    </row>
    <row r="158" spans="1:22" ht="17.25">
      <c r="A158" s="70">
        <v>101</v>
      </c>
      <c r="B158" s="70" t="s">
        <v>3140</v>
      </c>
      <c r="C158" s="70" t="s">
        <v>292</v>
      </c>
      <c r="D158" s="70" t="s">
        <v>3139</v>
      </c>
      <c r="E158" s="70" t="s">
        <v>2340</v>
      </c>
      <c r="F158" s="71">
        <v>7</v>
      </c>
      <c r="G158" s="71">
        <v>33</v>
      </c>
      <c r="H158" s="72">
        <v>0.14444444444444443</v>
      </c>
      <c r="I158" s="71" t="b">
        <v>1</v>
      </c>
      <c r="J158" s="71">
        <v>86</v>
      </c>
      <c r="K158" s="71">
        <v>53</v>
      </c>
      <c r="L158" s="71">
        <v>89</v>
      </c>
      <c r="M158" s="71">
        <v>26</v>
      </c>
      <c r="N158" s="71">
        <v>8</v>
      </c>
      <c r="O158" s="71">
        <v>0</v>
      </c>
      <c r="P158" s="71">
        <v>42</v>
      </c>
      <c r="Q158" s="71">
        <v>55</v>
      </c>
      <c r="R158" s="71">
        <v>100</v>
      </c>
      <c r="S158" s="71" t="s">
        <v>48</v>
      </c>
      <c r="T158" s="73">
        <v>45618</v>
      </c>
      <c r="U158" s="71" t="s">
        <v>3476</v>
      </c>
      <c r="V158" s="71" t="b">
        <v>0</v>
      </c>
    </row>
    <row r="159" spans="1:22" ht="17.25">
      <c r="A159" s="70">
        <v>101</v>
      </c>
      <c r="B159" s="70" t="s">
        <v>3140</v>
      </c>
      <c r="C159" s="70" t="s">
        <v>4596</v>
      </c>
      <c r="D159" s="70" t="s">
        <v>3139</v>
      </c>
      <c r="E159" s="70" t="s">
        <v>2340</v>
      </c>
      <c r="F159" s="71">
        <v>7</v>
      </c>
      <c r="G159" s="71">
        <v>33</v>
      </c>
      <c r="H159" s="72">
        <v>0.14444444444444443</v>
      </c>
      <c r="I159" s="71" t="b">
        <v>1</v>
      </c>
      <c r="J159" s="71">
        <v>86</v>
      </c>
      <c r="K159" s="71">
        <v>53</v>
      </c>
      <c r="L159" s="71">
        <v>89</v>
      </c>
      <c r="M159" s="71">
        <v>26</v>
      </c>
      <c r="N159" s="71">
        <v>8</v>
      </c>
      <c r="O159" s="71">
        <v>0</v>
      </c>
      <c r="P159" s="71">
        <v>42</v>
      </c>
      <c r="Q159" s="71">
        <v>55</v>
      </c>
      <c r="R159" s="71">
        <v>100</v>
      </c>
      <c r="S159" s="71" t="s">
        <v>48</v>
      </c>
      <c r="T159" s="73">
        <v>45618</v>
      </c>
      <c r="U159" s="71" t="s">
        <v>3476</v>
      </c>
      <c r="V159" s="71" t="b">
        <v>0</v>
      </c>
    </row>
    <row r="160" spans="1:22" ht="17.25">
      <c r="A160" s="70">
        <v>102</v>
      </c>
      <c r="B160" s="70" t="s">
        <v>3138</v>
      </c>
      <c r="C160" s="70" t="s">
        <v>54</v>
      </c>
      <c r="D160" s="70" t="s">
        <v>3137</v>
      </c>
      <c r="E160" s="70" t="s">
        <v>52</v>
      </c>
      <c r="F160" s="71">
        <v>46</v>
      </c>
      <c r="G160" s="71">
        <v>8</v>
      </c>
      <c r="H160" s="72">
        <v>0.17569444444444443</v>
      </c>
      <c r="I160" s="71" t="b">
        <v>0</v>
      </c>
      <c r="J160" s="71">
        <v>55</v>
      </c>
      <c r="K160" s="71">
        <v>60</v>
      </c>
      <c r="L160" s="71">
        <v>90</v>
      </c>
      <c r="M160" s="71">
        <v>3</v>
      </c>
      <c r="N160" s="71">
        <v>20</v>
      </c>
      <c r="O160" s="71">
        <v>0</v>
      </c>
      <c r="P160" s="71">
        <v>15</v>
      </c>
      <c r="Q160" s="71">
        <v>23</v>
      </c>
      <c r="R160" s="71">
        <v>140</v>
      </c>
      <c r="S160" s="71" t="s">
        <v>96</v>
      </c>
      <c r="T160" s="73">
        <v>40256</v>
      </c>
      <c r="U160" s="71" t="s">
        <v>3477</v>
      </c>
      <c r="V160" s="71" t="b">
        <v>0</v>
      </c>
    </row>
    <row r="161" spans="1:22" ht="17.25">
      <c r="A161" s="70">
        <v>103</v>
      </c>
      <c r="B161" s="70" t="s">
        <v>3136</v>
      </c>
      <c r="C161" s="70" t="s">
        <v>1282</v>
      </c>
      <c r="D161" s="70" t="s">
        <v>1281</v>
      </c>
      <c r="E161" s="70" t="s">
        <v>1280</v>
      </c>
      <c r="F161" s="71">
        <v>54</v>
      </c>
      <c r="G161" s="71">
        <v>20</v>
      </c>
      <c r="H161" s="72">
        <v>0.13750000000000001</v>
      </c>
      <c r="I161" s="71" t="b">
        <v>0</v>
      </c>
      <c r="J161" s="71">
        <v>56</v>
      </c>
      <c r="K161" s="71">
        <v>59</v>
      </c>
      <c r="L161" s="71">
        <v>90</v>
      </c>
      <c r="M161" s="71">
        <v>9</v>
      </c>
      <c r="N161" s="71">
        <v>3</v>
      </c>
      <c r="O161" s="71">
        <v>0</v>
      </c>
      <c r="P161" s="71">
        <v>22</v>
      </c>
      <c r="Q161" s="71">
        <v>43</v>
      </c>
      <c r="R161" s="71">
        <v>121</v>
      </c>
      <c r="S161" s="71" t="s">
        <v>74</v>
      </c>
      <c r="T161" s="73">
        <v>45674</v>
      </c>
      <c r="U161" s="71" t="s">
        <v>3478</v>
      </c>
      <c r="V161" s="71" t="b">
        <v>0</v>
      </c>
    </row>
    <row r="162" spans="1:22" ht="17.25">
      <c r="A162" s="70">
        <v>104</v>
      </c>
      <c r="B162" s="70" t="s">
        <v>3135</v>
      </c>
      <c r="C162" s="70" t="s">
        <v>32</v>
      </c>
      <c r="D162" s="70" t="s">
        <v>3134</v>
      </c>
      <c r="E162" s="70" t="s">
        <v>30</v>
      </c>
      <c r="F162" s="71">
        <v>25</v>
      </c>
      <c r="G162" s="71">
        <v>15</v>
      </c>
      <c r="H162" s="72" t="s">
        <v>4315</v>
      </c>
      <c r="I162" s="71" t="b">
        <v>1</v>
      </c>
      <c r="J162" s="71">
        <v>76</v>
      </c>
      <c r="K162" s="71">
        <v>68</v>
      </c>
      <c r="L162" s="71">
        <v>73</v>
      </c>
      <c r="M162" s="71">
        <v>6</v>
      </c>
      <c r="N162" s="71">
        <v>18</v>
      </c>
      <c r="O162" s="71">
        <v>0</v>
      </c>
      <c r="P162" s="71">
        <v>11</v>
      </c>
      <c r="Q162" s="71">
        <v>74</v>
      </c>
      <c r="R162" s="71">
        <v>117</v>
      </c>
      <c r="S162" s="71" t="s">
        <v>96</v>
      </c>
      <c r="T162" s="73" t="s">
        <v>4372</v>
      </c>
      <c r="U162" s="71" t="s">
        <v>3479</v>
      </c>
      <c r="V162" s="71" t="b">
        <v>0</v>
      </c>
    </row>
    <row r="163" spans="1:22" ht="17.25">
      <c r="A163" s="70">
        <v>105</v>
      </c>
      <c r="B163" s="70" t="s">
        <v>3133</v>
      </c>
      <c r="C163" s="70" t="s">
        <v>511</v>
      </c>
      <c r="D163" s="70" t="s">
        <v>3132</v>
      </c>
      <c r="E163" s="70" t="s">
        <v>124</v>
      </c>
      <c r="F163" s="71">
        <v>10</v>
      </c>
      <c r="G163" s="71">
        <v>15</v>
      </c>
      <c r="H163" s="72" t="s">
        <v>4343</v>
      </c>
      <c r="I163" s="71" t="b">
        <v>0</v>
      </c>
      <c r="J163" s="71">
        <v>70</v>
      </c>
      <c r="K163" s="71">
        <v>65</v>
      </c>
      <c r="L163" s="71">
        <v>73</v>
      </c>
      <c r="M163" s="71">
        <v>6</v>
      </c>
      <c r="N163" s="71">
        <v>28</v>
      </c>
      <c r="O163" s="71">
        <v>0</v>
      </c>
      <c r="P163" s="71">
        <v>13</v>
      </c>
      <c r="Q163" s="71">
        <v>59</v>
      </c>
      <c r="R163" s="71">
        <v>100</v>
      </c>
      <c r="S163" s="71" t="s">
        <v>115</v>
      </c>
      <c r="T163" s="73" t="s">
        <v>4341</v>
      </c>
      <c r="U163" s="71" t="s">
        <v>3435</v>
      </c>
      <c r="V163" s="71" t="b">
        <v>0</v>
      </c>
    </row>
    <row r="164" spans="1:22" ht="17.25">
      <c r="A164" s="70">
        <v>106</v>
      </c>
      <c r="B164" s="70" t="s">
        <v>3131</v>
      </c>
      <c r="C164" s="70" t="s">
        <v>1965</v>
      </c>
      <c r="D164" s="70" t="s">
        <v>3130</v>
      </c>
      <c r="E164" s="70" t="s">
        <v>44</v>
      </c>
      <c r="F164" s="71">
        <v>1</v>
      </c>
      <c r="G164" s="71">
        <v>75</v>
      </c>
      <c r="H164" s="72">
        <v>0.1673611111111111</v>
      </c>
      <c r="I164" s="71" t="b">
        <v>0</v>
      </c>
      <c r="J164" s="71">
        <v>34</v>
      </c>
      <c r="K164" s="71">
        <v>63</v>
      </c>
      <c r="L164" s="71">
        <v>88</v>
      </c>
      <c r="M164" s="71">
        <v>4</v>
      </c>
      <c r="N164" s="71">
        <v>16</v>
      </c>
      <c r="O164" s="71">
        <v>0</v>
      </c>
      <c r="P164" s="71">
        <v>7</v>
      </c>
      <c r="Q164" s="71">
        <v>35</v>
      </c>
      <c r="R164" s="71">
        <v>150</v>
      </c>
      <c r="S164" s="71" t="s">
        <v>29</v>
      </c>
      <c r="T164" s="73">
        <v>34636</v>
      </c>
      <c r="U164" s="71" t="s">
        <v>3480</v>
      </c>
      <c r="V164" s="71" t="b">
        <v>1</v>
      </c>
    </row>
    <row r="165" spans="1:22" ht="17.25">
      <c r="A165" s="70">
        <v>107</v>
      </c>
      <c r="B165" s="70" t="s">
        <v>3129</v>
      </c>
      <c r="C165" s="70" t="s">
        <v>237</v>
      </c>
      <c r="D165" s="70" t="s">
        <v>3128</v>
      </c>
      <c r="E165" s="70" t="s">
        <v>344</v>
      </c>
      <c r="F165" s="71">
        <v>149</v>
      </c>
      <c r="G165" s="71">
        <v>1</v>
      </c>
      <c r="H165" s="72">
        <v>0.13750000000000001</v>
      </c>
      <c r="I165" s="71" t="b">
        <v>1</v>
      </c>
      <c r="J165" s="71">
        <v>65</v>
      </c>
      <c r="K165" s="71">
        <v>44</v>
      </c>
      <c r="L165" s="71">
        <v>83</v>
      </c>
      <c r="M165" s="71">
        <v>5</v>
      </c>
      <c r="N165" s="71">
        <v>54</v>
      </c>
      <c r="O165" s="71">
        <v>0</v>
      </c>
      <c r="P165" s="71">
        <v>12</v>
      </c>
      <c r="Q165" s="71">
        <v>12</v>
      </c>
      <c r="R165" s="71">
        <v>146</v>
      </c>
      <c r="S165" s="71" t="s">
        <v>26</v>
      </c>
      <c r="T165" s="73">
        <v>45688</v>
      </c>
      <c r="U165" s="71" t="s">
        <v>3481</v>
      </c>
      <c r="V165" s="71" t="b">
        <v>0</v>
      </c>
    </row>
    <row r="166" spans="1:22" ht="17.25">
      <c r="A166" s="70">
        <v>108</v>
      </c>
      <c r="B166" s="70" t="s">
        <v>3127</v>
      </c>
      <c r="C166" s="70" t="s">
        <v>523</v>
      </c>
      <c r="D166" s="70" t="s">
        <v>522</v>
      </c>
      <c r="E166" s="70" t="s">
        <v>521</v>
      </c>
      <c r="F166" s="71">
        <v>62</v>
      </c>
      <c r="G166" s="71">
        <v>33</v>
      </c>
      <c r="H166" s="72">
        <v>0.12847222222222221</v>
      </c>
      <c r="I166" s="71" t="b">
        <v>0</v>
      </c>
      <c r="J166" s="71">
        <v>72</v>
      </c>
      <c r="K166" s="71">
        <v>68</v>
      </c>
      <c r="L166" s="71">
        <v>78</v>
      </c>
      <c r="M166" s="71">
        <v>8</v>
      </c>
      <c r="N166" s="71">
        <v>20</v>
      </c>
      <c r="O166" s="71">
        <v>0</v>
      </c>
      <c r="P166" s="71">
        <v>11</v>
      </c>
      <c r="Q166" s="71">
        <v>55</v>
      </c>
      <c r="R166" s="71">
        <v>100</v>
      </c>
      <c r="S166" s="71" t="s">
        <v>26</v>
      </c>
      <c r="T166" s="73">
        <v>45737</v>
      </c>
      <c r="U166" s="71" t="s">
        <v>3482</v>
      </c>
      <c r="V166" s="71" t="b">
        <v>0</v>
      </c>
    </row>
    <row r="167" spans="1:22" ht="17.25">
      <c r="A167" s="70">
        <v>109</v>
      </c>
      <c r="B167" s="70" t="s">
        <v>3126</v>
      </c>
      <c r="C167" s="70" t="s">
        <v>237</v>
      </c>
      <c r="D167" s="70" t="s">
        <v>3125</v>
      </c>
      <c r="E167" s="70" t="s">
        <v>344</v>
      </c>
      <c r="F167" s="71">
        <v>39</v>
      </c>
      <c r="G167" s="71">
        <v>2</v>
      </c>
      <c r="H167" s="72">
        <v>0.15833333333333333</v>
      </c>
      <c r="I167" s="71" t="b">
        <v>0</v>
      </c>
      <c r="J167" s="71">
        <v>57</v>
      </c>
      <c r="K167" s="71">
        <v>52</v>
      </c>
      <c r="L167" s="71">
        <v>87</v>
      </c>
      <c r="M167" s="71">
        <v>3</v>
      </c>
      <c r="N167" s="71">
        <v>14</v>
      </c>
      <c r="O167" s="71">
        <v>0</v>
      </c>
      <c r="P167" s="71">
        <v>44</v>
      </c>
      <c r="Q167" s="71">
        <v>46</v>
      </c>
      <c r="R167" s="71">
        <v>124</v>
      </c>
      <c r="S167" s="71" t="s">
        <v>26</v>
      </c>
      <c r="T167" s="73">
        <v>45688</v>
      </c>
      <c r="U167" s="71" t="s">
        <v>3483</v>
      </c>
      <c r="V167" s="71" t="b">
        <v>0</v>
      </c>
    </row>
    <row r="168" spans="1:22" ht="17.25">
      <c r="A168" s="70">
        <v>110</v>
      </c>
      <c r="B168" s="70" t="s">
        <v>3124</v>
      </c>
      <c r="C168" s="70" t="s">
        <v>430</v>
      </c>
      <c r="D168" s="70" t="s">
        <v>3123</v>
      </c>
      <c r="E168" s="70" t="s">
        <v>75</v>
      </c>
      <c r="F168" s="71">
        <v>59</v>
      </c>
      <c r="G168" s="71">
        <v>1</v>
      </c>
      <c r="H168" s="72" t="s">
        <v>4321</v>
      </c>
      <c r="I168" s="71" t="b">
        <v>0</v>
      </c>
      <c r="J168" s="71">
        <v>68</v>
      </c>
      <c r="K168" s="71">
        <v>42</v>
      </c>
      <c r="L168" s="71">
        <v>70</v>
      </c>
      <c r="M168" s="71">
        <v>9</v>
      </c>
      <c r="N168" s="71">
        <v>45</v>
      </c>
      <c r="O168" s="71">
        <v>0</v>
      </c>
      <c r="P168" s="71">
        <v>11</v>
      </c>
      <c r="Q168" s="71">
        <v>39</v>
      </c>
      <c r="R168" s="71">
        <v>118</v>
      </c>
      <c r="S168" s="71" t="s">
        <v>96</v>
      </c>
      <c r="T168" s="73" t="s">
        <v>4319</v>
      </c>
      <c r="U168" s="71" t="s">
        <v>3451</v>
      </c>
      <c r="V168" s="71" t="b">
        <v>0</v>
      </c>
    </row>
    <row r="169" spans="1:22" ht="17.25">
      <c r="A169" s="70">
        <v>111</v>
      </c>
      <c r="B169" s="70" t="s">
        <v>3122</v>
      </c>
      <c r="C169" s="70" t="s">
        <v>2171</v>
      </c>
      <c r="D169" s="70" t="s">
        <v>3121</v>
      </c>
      <c r="E169" s="70" t="s">
        <v>44</v>
      </c>
      <c r="F169" s="71">
        <v>16</v>
      </c>
      <c r="G169" s="71">
        <v>318</v>
      </c>
      <c r="H169" s="72">
        <v>0.16666666666666666</v>
      </c>
      <c r="I169" s="71" t="b">
        <v>0</v>
      </c>
      <c r="J169" s="71">
        <v>61</v>
      </c>
      <c r="K169" s="71">
        <v>81</v>
      </c>
      <c r="L169" s="71">
        <v>95</v>
      </c>
      <c r="M169" s="71">
        <v>3</v>
      </c>
      <c r="N169" s="71">
        <v>5</v>
      </c>
      <c r="O169" s="71">
        <v>2</v>
      </c>
      <c r="P169" s="71">
        <v>10</v>
      </c>
      <c r="Q169" s="71">
        <v>40</v>
      </c>
      <c r="R169" s="71">
        <v>124</v>
      </c>
      <c r="S169" s="71" t="s">
        <v>74</v>
      </c>
      <c r="T169" s="73">
        <v>40995</v>
      </c>
      <c r="U169" s="71" t="s">
        <v>3484</v>
      </c>
      <c r="V169" s="71" t="b">
        <v>0</v>
      </c>
    </row>
    <row r="170" spans="1:22" ht="17.25">
      <c r="A170" s="70">
        <v>112</v>
      </c>
      <c r="B170" s="70" t="s">
        <v>3120</v>
      </c>
      <c r="C170" s="70" t="s">
        <v>4597</v>
      </c>
      <c r="D170" s="70" t="s">
        <v>3119</v>
      </c>
      <c r="E170" s="70" t="s">
        <v>3118</v>
      </c>
      <c r="F170" s="71">
        <v>117</v>
      </c>
      <c r="G170" s="71">
        <v>8</v>
      </c>
      <c r="H170" s="72">
        <v>0.13333333333333333</v>
      </c>
      <c r="I170" s="71" t="b">
        <v>0</v>
      </c>
      <c r="J170" s="71">
        <v>65</v>
      </c>
      <c r="K170" s="71">
        <v>60</v>
      </c>
      <c r="L170" s="71">
        <v>75</v>
      </c>
      <c r="M170" s="71">
        <v>6</v>
      </c>
      <c r="N170" s="71">
        <v>40</v>
      </c>
      <c r="O170" s="71">
        <v>0</v>
      </c>
      <c r="P170" s="71">
        <v>11</v>
      </c>
      <c r="Q170" s="71">
        <v>45</v>
      </c>
      <c r="R170" s="71">
        <v>92</v>
      </c>
      <c r="S170" s="71" t="s">
        <v>1045</v>
      </c>
      <c r="T170" s="73">
        <v>45702</v>
      </c>
      <c r="U170" s="71" t="s">
        <v>3485</v>
      </c>
      <c r="V170" s="71" t="b">
        <v>0</v>
      </c>
    </row>
    <row r="171" spans="1:22" ht="17.25">
      <c r="A171" s="70">
        <v>112</v>
      </c>
      <c r="B171" s="70" t="s">
        <v>3120</v>
      </c>
      <c r="C171" s="70" t="s">
        <v>4419</v>
      </c>
      <c r="D171" s="70" t="s">
        <v>3119</v>
      </c>
      <c r="E171" s="70" t="s">
        <v>3118</v>
      </c>
      <c r="F171" s="71">
        <v>117</v>
      </c>
      <c r="G171" s="71">
        <v>8</v>
      </c>
      <c r="H171" s="72">
        <v>0.13333333333333333</v>
      </c>
      <c r="I171" s="71" t="b">
        <v>0</v>
      </c>
      <c r="J171" s="71">
        <v>65</v>
      </c>
      <c r="K171" s="71">
        <v>60</v>
      </c>
      <c r="L171" s="71">
        <v>75</v>
      </c>
      <c r="M171" s="71">
        <v>6</v>
      </c>
      <c r="N171" s="71">
        <v>40</v>
      </c>
      <c r="O171" s="71">
        <v>0</v>
      </c>
      <c r="P171" s="71">
        <v>11</v>
      </c>
      <c r="Q171" s="71">
        <v>45</v>
      </c>
      <c r="R171" s="71">
        <v>92</v>
      </c>
      <c r="S171" s="71" t="s">
        <v>1045</v>
      </c>
      <c r="T171" s="73">
        <v>45702</v>
      </c>
      <c r="U171" s="71" t="s">
        <v>3485</v>
      </c>
      <c r="V171" s="71" t="b">
        <v>0</v>
      </c>
    </row>
    <row r="172" spans="1:22" ht="17.25">
      <c r="A172" s="70">
        <v>113</v>
      </c>
      <c r="B172" s="70" t="s">
        <v>3117</v>
      </c>
      <c r="C172" s="70" t="s">
        <v>2067</v>
      </c>
      <c r="D172" s="70" t="s">
        <v>3116</v>
      </c>
      <c r="E172" s="70" t="s">
        <v>2065</v>
      </c>
      <c r="F172" s="71">
        <v>44</v>
      </c>
      <c r="G172" s="71">
        <v>71</v>
      </c>
      <c r="H172" s="72">
        <v>0.12222222222222222</v>
      </c>
      <c r="I172" s="71" t="b">
        <v>0</v>
      </c>
      <c r="J172" s="71">
        <v>53</v>
      </c>
      <c r="K172" s="71">
        <v>84</v>
      </c>
      <c r="L172" s="71">
        <v>91</v>
      </c>
      <c r="M172" s="71">
        <v>4</v>
      </c>
      <c r="N172" s="71">
        <v>2</v>
      </c>
      <c r="O172" s="71">
        <v>0</v>
      </c>
      <c r="P172" s="71">
        <v>25</v>
      </c>
      <c r="Q172" s="71">
        <v>65</v>
      </c>
      <c r="R172" s="71">
        <v>126</v>
      </c>
      <c r="S172" s="71" t="s">
        <v>274</v>
      </c>
      <c r="T172" s="73">
        <v>41974</v>
      </c>
      <c r="U172" s="71" t="s">
        <v>3486</v>
      </c>
      <c r="V172" s="71" t="b">
        <v>0</v>
      </c>
    </row>
    <row r="173" spans="1:22" ht="17.25">
      <c r="A173" s="70">
        <v>114</v>
      </c>
      <c r="B173" s="70" t="s">
        <v>3115</v>
      </c>
      <c r="C173" s="70" t="s">
        <v>4598</v>
      </c>
      <c r="D173" s="70" t="s">
        <v>3114</v>
      </c>
      <c r="E173" s="70" t="s">
        <v>200</v>
      </c>
      <c r="F173" s="71">
        <v>46</v>
      </c>
      <c r="G173" s="71">
        <v>93</v>
      </c>
      <c r="H173" s="72">
        <v>0.15347222222222223</v>
      </c>
      <c r="I173" s="71" t="b">
        <v>0</v>
      </c>
      <c r="J173" s="71">
        <v>82</v>
      </c>
      <c r="K173" s="71">
        <v>70</v>
      </c>
      <c r="L173" s="71">
        <v>89</v>
      </c>
      <c r="M173" s="71">
        <v>18</v>
      </c>
      <c r="N173" s="71">
        <v>1</v>
      </c>
      <c r="O173" s="71">
        <v>0</v>
      </c>
      <c r="P173" s="71">
        <v>61</v>
      </c>
      <c r="Q173" s="71">
        <v>77</v>
      </c>
      <c r="R173" s="71">
        <v>139</v>
      </c>
      <c r="S173" s="71" t="s">
        <v>79</v>
      </c>
      <c r="T173" s="73">
        <v>38453</v>
      </c>
      <c r="U173" s="71" t="s">
        <v>3487</v>
      </c>
      <c r="V173" s="71" t="b">
        <v>0</v>
      </c>
    </row>
    <row r="174" spans="1:22" ht="17.25">
      <c r="A174" s="70">
        <v>114</v>
      </c>
      <c r="B174" s="70" t="s">
        <v>3115</v>
      </c>
      <c r="C174" s="70" t="s">
        <v>4420</v>
      </c>
      <c r="D174" s="70" t="s">
        <v>3114</v>
      </c>
      <c r="E174" s="70" t="s">
        <v>200</v>
      </c>
      <c r="F174" s="71">
        <v>46</v>
      </c>
      <c r="G174" s="71">
        <v>93</v>
      </c>
      <c r="H174" s="72">
        <v>0.15347222222222223</v>
      </c>
      <c r="I174" s="71" t="b">
        <v>0</v>
      </c>
      <c r="J174" s="71">
        <v>82</v>
      </c>
      <c r="K174" s="71">
        <v>70</v>
      </c>
      <c r="L174" s="71">
        <v>89</v>
      </c>
      <c r="M174" s="71">
        <v>18</v>
      </c>
      <c r="N174" s="71">
        <v>1</v>
      </c>
      <c r="O174" s="71">
        <v>0</v>
      </c>
      <c r="P174" s="71">
        <v>61</v>
      </c>
      <c r="Q174" s="71">
        <v>77</v>
      </c>
      <c r="R174" s="71">
        <v>139</v>
      </c>
      <c r="S174" s="71" t="s">
        <v>79</v>
      </c>
      <c r="T174" s="73">
        <v>38453</v>
      </c>
      <c r="U174" s="71" t="s">
        <v>3487</v>
      </c>
      <c r="V174" s="71" t="b">
        <v>0</v>
      </c>
    </row>
    <row r="175" spans="1:22" ht="17.25">
      <c r="A175" s="70">
        <v>115</v>
      </c>
      <c r="B175" s="70" t="s">
        <v>3113</v>
      </c>
      <c r="C175" s="70" t="s">
        <v>1282</v>
      </c>
      <c r="D175" s="70" t="s">
        <v>3112</v>
      </c>
      <c r="E175" s="70" t="s">
        <v>1280</v>
      </c>
      <c r="F175" s="71">
        <v>14</v>
      </c>
      <c r="G175" s="71">
        <v>94</v>
      </c>
      <c r="H175" s="72">
        <v>0.15138888888888888</v>
      </c>
      <c r="I175" s="71" t="b">
        <v>0</v>
      </c>
      <c r="J175" s="71">
        <v>57</v>
      </c>
      <c r="K175" s="71">
        <v>45</v>
      </c>
      <c r="L175" s="71">
        <v>84</v>
      </c>
      <c r="M175" s="71">
        <v>3</v>
      </c>
      <c r="N175" s="71">
        <v>53</v>
      </c>
      <c r="O175" s="71">
        <v>0</v>
      </c>
      <c r="P175" s="71">
        <v>12</v>
      </c>
      <c r="Q175" s="71">
        <v>26</v>
      </c>
      <c r="R175" s="71">
        <v>132</v>
      </c>
      <c r="S175" s="71" t="s">
        <v>74</v>
      </c>
      <c r="T175" s="73">
        <v>45135</v>
      </c>
      <c r="U175" s="71" t="s">
        <v>3488</v>
      </c>
      <c r="V175" s="71" t="b">
        <v>0</v>
      </c>
    </row>
    <row r="176" spans="1:22" ht="17.25">
      <c r="A176" s="70">
        <v>116</v>
      </c>
      <c r="B176" s="70" t="s">
        <v>3111</v>
      </c>
      <c r="C176" s="70" t="s">
        <v>318</v>
      </c>
      <c r="D176" s="70" t="s">
        <v>3110</v>
      </c>
      <c r="E176" s="70" t="s">
        <v>316</v>
      </c>
      <c r="F176" s="71">
        <v>24</v>
      </c>
      <c r="G176" s="71">
        <v>3</v>
      </c>
      <c r="H176" s="72" t="s">
        <v>4326</v>
      </c>
      <c r="I176" s="71" t="b">
        <v>0</v>
      </c>
      <c r="J176" s="71">
        <v>52</v>
      </c>
      <c r="K176" s="71">
        <v>34</v>
      </c>
      <c r="L176" s="71">
        <v>66</v>
      </c>
      <c r="M176" s="71">
        <v>4</v>
      </c>
      <c r="N176" s="71">
        <v>82</v>
      </c>
      <c r="O176" s="71">
        <v>0</v>
      </c>
      <c r="P176" s="71">
        <v>11</v>
      </c>
      <c r="Q176" s="71">
        <v>24</v>
      </c>
      <c r="R176" s="71">
        <v>168</v>
      </c>
      <c r="S176" s="71" t="s">
        <v>74</v>
      </c>
      <c r="T176" s="73" t="s">
        <v>4327</v>
      </c>
      <c r="U176" s="71" t="s">
        <v>3489</v>
      </c>
      <c r="V176" s="71" t="b">
        <v>0</v>
      </c>
    </row>
    <row r="177" spans="1:22" ht="17.25">
      <c r="A177" s="70">
        <v>117</v>
      </c>
      <c r="B177" s="70" t="s">
        <v>3109</v>
      </c>
      <c r="C177" s="70" t="s">
        <v>2328</v>
      </c>
      <c r="D177" s="70" t="s">
        <v>3108</v>
      </c>
      <c r="E177" s="70" t="s">
        <v>44</v>
      </c>
      <c r="F177" s="71">
        <v>1</v>
      </c>
      <c r="G177" s="71">
        <v>27</v>
      </c>
      <c r="H177" s="72">
        <v>0.1388888888888889</v>
      </c>
      <c r="I177" s="71" t="b">
        <v>0</v>
      </c>
      <c r="J177" s="71">
        <v>72</v>
      </c>
      <c r="K177" s="71">
        <v>75</v>
      </c>
      <c r="L177" s="71">
        <v>80</v>
      </c>
      <c r="M177" s="71">
        <v>6</v>
      </c>
      <c r="N177" s="71">
        <v>12</v>
      </c>
      <c r="O177" s="71">
        <v>0</v>
      </c>
      <c r="P177" s="71">
        <v>12</v>
      </c>
      <c r="Q177" s="71">
        <v>65</v>
      </c>
      <c r="R177" s="71">
        <v>108</v>
      </c>
      <c r="S177" s="71" t="s">
        <v>96</v>
      </c>
      <c r="T177" s="73">
        <v>45723</v>
      </c>
      <c r="U177" s="71" t="s">
        <v>3490</v>
      </c>
      <c r="V177" s="71" t="b">
        <v>0</v>
      </c>
    </row>
    <row r="178" spans="1:22" ht="17.25">
      <c r="A178" s="70">
        <v>118</v>
      </c>
      <c r="B178" s="70" t="s">
        <v>3107</v>
      </c>
      <c r="C178" s="70" t="s">
        <v>3106</v>
      </c>
      <c r="D178" s="70" t="s">
        <v>1342</v>
      </c>
      <c r="E178" s="70" t="s">
        <v>480</v>
      </c>
      <c r="F178" s="71">
        <v>37</v>
      </c>
      <c r="G178" s="71">
        <v>30</v>
      </c>
      <c r="H178" s="72">
        <v>0.17499999999999999</v>
      </c>
      <c r="I178" s="71" t="b">
        <v>0</v>
      </c>
      <c r="J178" s="71">
        <v>52</v>
      </c>
      <c r="K178" s="71">
        <v>55</v>
      </c>
      <c r="L178" s="71">
        <v>73</v>
      </c>
      <c r="M178" s="71">
        <v>4</v>
      </c>
      <c r="N178" s="71">
        <v>50</v>
      </c>
      <c r="O178" s="71">
        <v>0</v>
      </c>
      <c r="P178" s="71">
        <v>10</v>
      </c>
      <c r="Q178" s="71">
        <v>50</v>
      </c>
      <c r="R178" s="71">
        <v>85</v>
      </c>
      <c r="S178" s="71" t="s">
        <v>359</v>
      </c>
      <c r="T178" s="73">
        <v>45548</v>
      </c>
      <c r="U178" s="71" t="s">
        <v>3491</v>
      </c>
      <c r="V178" s="71" t="b">
        <v>0</v>
      </c>
    </row>
    <row r="179" spans="1:22" ht="17.25">
      <c r="A179" s="70">
        <v>119</v>
      </c>
      <c r="B179" s="70" t="s">
        <v>3105</v>
      </c>
      <c r="C179" s="70" t="s">
        <v>4599</v>
      </c>
      <c r="D179" s="70" t="s">
        <v>865</v>
      </c>
      <c r="E179" s="70" t="s">
        <v>864</v>
      </c>
      <c r="F179" s="71">
        <v>66</v>
      </c>
      <c r="G179" s="71">
        <v>16</v>
      </c>
      <c r="H179" s="72">
        <v>0.13750000000000001</v>
      </c>
      <c r="I179" s="71" t="b">
        <v>0</v>
      </c>
      <c r="J179" s="71">
        <v>82</v>
      </c>
      <c r="K179" s="71">
        <v>80</v>
      </c>
      <c r="L179" s="71">
        <v>82</v>
      </c>
      <c r="M179" s="71">
        <v>8</v>
      </c>
      <c r="N179" s="71">
        <v>8</v>
      </c>
      <c r="O179" s="71">
        <v>0</v>
      </c>
      <c r="P179" s="71">
        <v>14</v>
      </c>
      <c r="Q179" s="71">
        <v>65</v>
      </c>
      <c r="R179" s="71">
        <v>128</v>
      </c>
      <c r="S179" s="71" t="s">
        <v>247</v>
      </c>
      <c r="T179" s="73">
        <v>45786</v>
      </c>
      <c r="U179" s="71" t="s">
        <v>3492</v>
      </c>
      <c r="V179" s="71" t="b">
        <v>0</v>
      </c>
    </row>
    <row r="180" spans="1:22" ht="17.25">
      <c r="A180" s="70">
        <v>119</v>
      </c>
      <c r="B180" s="70" t="s">
        <v>3105</v>
      </c>
      <c r="C180" s="70" t="s">
        <v>4421</v>
      </c>
      <c r="D180" s="70" t="s">
        <v>865</v>
      </c>
      <c r="E180" s="70" t="s">
        <v>864</v>
      </c>
      <c r="F180" s="71">
        <v>66</v>
      </c>
      <c r="G180" s="71">
        <v>16</v>
      </c>
      <c r="H180" s="72">
        <v>0.13750000000000001</v>
      </c>
      <c r="I180" s="71" t="b">
        <v>0</v>
      </c>
      <c r="J180" s="71">
        <v>82</v>
      </c>
      <c r="K180" s="71">
        <v>80</v>
      </c>
      <c r="L180" s="71">
        <v>82</v>
      </c>
      <c r="M180" s="71">
        <v>8</v>
      </c>
      <c r="N180" s="71">
        <v>8</v>
      </c>
      <c r="O180" s="71">
        <v>0</v>
      </c>
      <c r="P180" s="71">
        <v>14</v>
      </c>
      <c r="Q180" s="71">
        <v>65</v>
      </c>
      <c r="R180" s="71">
        <v>128</v>
      </c>
      <c r="S180" s="71" t="s">
        <v>247</v>
      </c>
      <c r="T180" s="73">
        <v>45786</v>
      </c>
      <c r="U180" s="71" t="s">
        <v>3492</v>
      </c>
      <c r="V180" s="71" t="b">
        <v>0</v>
      </c>
    </row>
    <row r="181" spans="1:22" ht="17.25">
      <c r="A181" s="70">
        <v>120</v>
      </c>
      <c r="B181" s="70" t="s">
        <v>3104</v>
      </c>
      <c r="C181" s="70" t="s">
        <v>2061</v>
      </c>
      <c r="D181" s="70" t="s">
        <v>3103</v>
      </c>
      <c r="E181" s="70" t="s">
        <v>2821</v>
      </c>
      <c r="F181" s="71">
        <v>72</v>
      </c>
      <c r="G181" s="71">
        <v>71</v>
      </c>
      <c r="H181" s="72">
        <v>0.125</v>
      </c>
      <c r="I181" s="71" t="b">
        <v>1</v>
      </c>
      <c r="J181" s="71">
        <v>33</v>
      </c>
      <c r="K181" s="71">
        <v>63</v>
      </c>
      <c r="L181" s="71">
        <v>91</v>
      </c>
      <c r="M181" s="71">
        <v>5</v>
      </c>
      <c r="N181" s="71">
        <v>7</v>
      </c>
      <c r="O181" s="71">
        <v>0</v>
      </c>
      <c r="P181" s="71">
        <v>57</v>
      </c>
      <c r="Q181" s="71">
        <v>38</v>
      </c>
      <c r="R181" s="71">
        <v>85</v>
      </c>
      <c r="S181" s="71" t="s">
        <v>48</v>
      </c>
      <c r="T181" s="73">
        <v>45457</v>
      </c>
      <c r="U181" s="71" t="s">
        <v>3493</v>
      </c>
      <c r="V181" s="71" t="b">
        <v>0</v>
      </c>
    </row>
    <row r="182" spans="1:22" ht="17.25">
      <c r="A182" s="70">
        <v>121</v>
      </c>
      <c r="B182" s="70" t="s">
        <v>3102</v>
      </c>
      <c r="C182" s="70" t="s">
        <v>3101</v>
      </c>
      <c r="D182" s="70" t="s">
        <v>3100</v>
      </c>
      <c r="E182" s="70" t="s">
        <v>3099</v>
      </c>
      <c r="F182" s="71">
        <v>180</v>
      </c>
      <c r="G182" s="71">
        <v>3</v>
      </c>
      <c r="H182" s="72">
        <v>0.17291666666666666</v>
      </c>
      <c r="I182" s="71" t="b">
        <v>0</v>
      </c>
      <c r="J182" s="71">
        <v>53</v>
      </c>
      <c r="K182" s="71">
        <v>89</v>
      </c>
      <c r="L182" s="71">
        <v>94</v>
      </c>
      <c r="M182" s="71">
        <v>3</v>
      </c>
      <c r="N182" s="71">
        <v>8</v>
      </c>
      <c r="O182" s="71">
        <v>0</v>
      </c>
      <c r="P182" s="71">
        <v>29</v>
      </c>
      <c r="Q182" s="71">
        <v>79</v>
      </c>
      <c r="R182" s="71">
        <v>123</v>
      </c>
      <c r="S182" s="71" t="s">
        <v>69</v>
      </c>
      <c r="T182" s="73">
        <v>31716</v>
      </c>
      <c r="U182" s="71" t="s">
        <v>3494</v>
      </c>
      <c r="V182" s="71" t="b">
        <v>0</v>
      </c>
    </row>
    <row r="183" spans="1:22" ht="17.25">
      <c r="A183" s="70">
        <v>122</v>
      </c>
      <c r="B183" s="70" t="s">
        <v>3098</v>
      </c>
      <c r="C183" s="70" t="s">
        <v>3097</v>
      </c>
      <c r="D183" s="70" t="s">
        <v>3096</v>
      </c>
      <c r="E183" s="70" t="s">
        <v>3095</v>
      </c>
      <c r="F183" s="71">
        <v>132</v>
      </c>
      <c r="G183" s="71">
        <v>2</v>
      </c>
      <c r="H183" s="72">
        <v>0.12847222222222221</v>
      </c>
      <c r="I183" s="71" t="b">
        <v>1</v>
      </c>
      <c r="J183" s="71">
        <v>78</v>
      </c>
      <c r="K183" s="71">
        <v>72</v>
      </c>
      <c r="L183" s="71">
        <v>80</v>
      </c>
      <c r="M183" s="71">
        <v>10</v>
      </c>
      <c r="N183" s="71">
        <v>12</v>
      </c>
      <c r="O183" s="71">
        <v>0</v>
      </c>
      <c r="P183" s="71">
        <v>12</v>
      </c>
      <c r="Q183" s="71">
        <v>58</v>
      </c>
      <c r="R183" s="71">
        <v>110</v>
      </c>
      <c r="S183" s="71" t="s">
        <v>61</v>
      </c>
      <c r="T183" s="73">
        <v>45758</v>
      </c>
      <c r="U183" s="71" t="s">
        <v>3495</v>
      </c>
      <c r="V183" s="71" t="b">
        <v>0</v>
      </c>
    </row>
    <row r="184" spans="1:22" ht="17.25">
      <c r="A184" s="70">
        <v>123</v>
      </c>
      <c r="B184" s="70" t="s">
        <v>3094</v>
      </c>
      <c r="C184" s="70" t="s">
        <v>3093</v>
      </c>
      <c r="D184" s="70" t="s">
        <v>1162</v>
      </c>
      <c r="E184" s="70" t="s">
        <v>171</v>
      </c>
      <c r="F184" s="71">
        <v>15</v>
      </c>
      <c r="G184" s="71">
        <v>31</v>
      </c>
      <c r="H184" s="72">
        <v>0.11180555555555556</v>
      </c>
      <c r="I184" s="71" t="b">
        <v>0</v>
      </c>
      <c r="J184" s="71">
        <v>70</v>
      </c>
      <c r="K184" s="71">
        <v>49</v>
      </c>
      <c r="L184" s="71">
        <v>91</v>
      </c>
      <c r="M184" s="71">
        <v>8</v>
      </c>
      <c r="N184" s="71">
        <v>19</v>
      </c>
      <c r="O184" s="71">
        <v>0</v>
      </c>
      <c r="P184" s="71">
        <v>12</v>
      </c>
      <c r="Q184" s="71">
        <v>57</v>
      </c>
      <c r="R184" s="71">
        <v>80</v>
      </c>
      <c r="S184" s="71" t="s">
        <v>79</v>
      </c>
      <c r="T184" s="73">
        <v>44330</v>
      </c>
      <c r="U184" s="71" t="s">
        <v>3496</v>
      </c>
      <c r="V184" s="71" t="b">
        <v>0</v>
      </c>
    </row>
    <row r="185" spans="1:22" ht="17.25">
      <c r="A185" s="70">
        <v>124</v>
      </c>
      <c r="B185" s="70" t="s">
        <v>3092</v>
      </c>
      <c r="C185" s="70" t="s">
        <v>678</v>
      </c>
      <c r="D185" s="70" t="s">
        <v>3091</v>
      </c>
      <c r="E185" s="70" t="s">
        <v>386</v>
      </c>
      <c r="F185" s="71">
        <v>6</v>
      </c>
      <c r="G185" s="71">
        <v>55</v>
      </c>
      <c r="H185" s="72">
        <v>0.11666666666666667</v>
      </c>
      <c r="I185" s="71" t="b">
        <v>1</v>
      </c>
      <c r="J185" s="71">
        <v>81</v>
      </c>
      <c r="K185" s="71">
        <v>74</v>
      </c>
      <c r="L185" s="71">
        <v>91</v>
      </c>
      <c r="M185" s="71">
        <v>6</v>
      </c>
      <c r="N185" s="71">
        <v>28</v>
      </c>
      <c r="O185" s="71">
        <v>1</v>
      </c>
      <c r="P185" s="71">
        <v>9</v>
      </c>
      <c r="Q185" s="71">
        <v>82</v>
      </c>
      <c r="R185" s="71">
        <v>130</v>
      </c>
      <c r="S185" s="71" t="s">
        <v>115</v>
      </c>
      <c r="T185" s="73">
        <v>45723</v>
      </c>
      <c r="U185" s="71" t="s">
        <v>3497</v>
      </c>
      <c r="V185" s="71" t="b">
        <v>0</v>
      </c>
    </row>
    <row r="186" spans="1:22" ht="17.25">
      <c r="A186" s="70">
        <v>125</v>
      </c>
      <c r="B186" s="70" t="s">
        <v>3090</v>
      </c>
      <c r="C186" s="70" t="s">
        <v>1333</v>
      </c>
      <c r="D186" s="70" t="s">
        <v>3089</v>
      </c>
      <c r="E186" s="70" t="s">
        <v>188</v>
      </c>
      <c r="F186" s="71">
        <v>102</v>
      </c>
      <c r="G186" s="71">
        <v>6</v>
      </c>
      <c r="H186" s="72" t="s">
        <v>4326</v>
      </c>
      <c r="I186" s="71" t="b">
        <v>1</v>
      </c>
      <c r="J186" s="71">
        <v>83</v>
      </c>
      <c r="K186" s="71">
        <v>75</v>
      </c>
      <c r="L186" s="71">
        <v>74</v>
      </c>
      <c r="M186" s="71">
        <v>9</v>
      </c>
      <c r="N186" s="71">
        <v>16</v>
      </c>
      <c r="O186" s="71">
        <v>0</v>
      </c>
      <c r="P186" s="71">
        <v>11</v>
      </c>
      <c r="Q186" s="71">
        <v>82</v>
      </c>
      <c r="R186" s="71">
        <v>128</v>
      </c>
      <c r="S186" s="71" t="s">
        <v>128</v>
      </c>
      <c r="T186" s="73" t="s">
        <v>4376</v>
      </c>
      <c r="U186" s="71" t="s">
        <v>3498</v>
      </c>
      <c r="V186" s="71" t="b">
        <v>0</v>
      </c>
    </row>
    <row r="187" spans="1:22" ht="17.25">
      <c r="A187" s="70">
        <v>125</v>
      </c>
      <c r="B187" s="70" t="s">
        <v>3090</v>
      </c>
      <c r="C187" s="70" t="s">
        <v>4422</v>
      </c>
      <c r="D187" s="70" t="s">
        <v>3089</v>
      </c>
      <c r="E187" s="70" t="s">
        <v>188</v>
      </c>
      <c r="F187" s="71">
        <v>102</v>
      </c>
      <c r="G187" s="71">
        <v>6</v>
      </c>
      <c r="H187" s="72" t="s">
        <v>4326</v>
      </c>
      <c r="I187" s="71" t="b">
        <v>1</v>
      </c>
      <c r="J187" s="71">
        <v>83</v>
      </c>
      <c r="K187" s="71">
        <v>75</v>
      </c>
      <c r="L187" s="71">
        <v>74</v>
      </c>
      <c r="M187" s="71">
        <v>9</v>
      </c>
      <c r="N187" s="71">
        <v>16</v>
      </c>
      <c r="O187" s="71">
        <v>0</v>
      </c>
      <c r="P187" s="71">
        <v>11</v>
      </c>
      <c r="Q187" s="71">
        <v>82</v>
      </c>
      <c r="R187" s="71">
        <v>128</v>
      </c>
      <c r="S187" s="71" t="s">
        <v>128</v>
      </c>
      <c r="T187" s="73" t="s">
        <v>4376</v>
      </c>
      <c r="U187" s="71" t="s">
        <v>3498</v>
      </c>
      <c r="V187" s="71" t="b">
        <v>0</v>
      </c>
    </row>
    <row r="188" spans="1:22" ht="17.25">
      <c r="A188" s="70">
        <v>125</v>
      </c>
      <c r="B188" s="70" t="s">
        <v>3090</v>
      </c>
      <c r="C188" s="70" t="s">
        <v>4552</v>
      </c>
      <c r="D188" s="70" t="s">
        <v>3089</v>
      </c>
      <c r="E188" s="70" t="s">
        <v>188</v>
      </c>
      <c r="F188" s="71">
        <v>102</v>
      </c>
      <c r="G188" s="71">
        <v>6</v>
      </c>
      <c r="H188" s="72" t="s">
        <v>4326</v>
      </c>
      <c r="I188" s="71" t="b">
        <v>1</v>
      </c>
      <c r="J188" s="71">
        <v>83</v>
      </c>
      <c r="K188" s="71">
        <v>75</v>
      </c>
      <c r="L188" s="71">
        <v>74</v>
      </c>
      <c r="M188" s="71">
        <v>9</v>
      </c>
      <c r="N188" s="71">
        <v>16</v>
      </c>
      <c r="O188" s="71">
        <v>0</v>
      </c>
      <c r="P188" s="71">
        <v>11</v>
      </c>
      <c r="Q188" s="71">
        <v>82</v>
      </c>
      <c r="R188" s="71">
        <v>128</v>
      </c>
      <c r="S188" s="71" t="s">
        <v>128</v>
      </c>
      <c r="T188" s="73" t="s">
        <v>4376</v>
      </c>
      <c r="U188" s="71" t="s">
        <v>3498</v>
      </c>
      <c r="V188" s="71" t="b">
        <v>0</v>
      </c>
    </row>
    <row r="189" spans="1:22" ht="17.25">
      <c r="A189" s="70">
        <v>126</v>
      </c>
      <c r="B189" s="70" t="s">
        <v>3088</v>
      </c>
      <c r="C189" s="70" t="s">
        <v>131</v>
      </c>
      <c r="D189" s="70" t="s">
        <v>3087</v>
      </c>
      <c r="E189" s="70" t="s">
        <v>3086</v>
      </c>
      <c r="F189" s="71">
        <v>11</v>
      </c>
      <c r="G189" s="71">
        <v>155</v>
      </c>
      <c r="H189" s="72">
        <v>0.16805555555555557</v>
      </c>
      <c r="I189" s="71" t="b">
        <v>0</v>
      </c>
      <c r="J189" s="71">
        <v>76</v>
      </c>
      <c r="K189" s="71">
        <v>65</v>
      </c>
      <c r="L189" s="71">
        <v>90</v>
      </c>
      <c r="M189" s="71">
        <v>32</v>
      </c>
      <c r="N189" s="71">
        <v>15</v>
      </c>
      <c r="O189" s="71">
        <v>0</v>
      </c>
      <c r="P189" s="71">
        <v>11</v>
      </c>
      <c r="Q189" s="71">
        <v>43</v>
      </c>
      <c r="R189" s="71">
        <v>176</v>
      </c>
      <c r="S189" s="71" t="s">
        <v>128</v>
      </c>
      <c r="T189" s="73">
        <v>43644</v>
      </c>
      <c r="U189" s="71" t="s">
        <v>3499</v>
      </c>
      <c r="V189" s="71" t="b">
        <v>0</v>
      </c>
    </row>
    <row r="190" spans="1:22" ht="17.25">
      <c r="A190" s="70">
        <v>126</v>
      </c>
      <c r="B190" s="70" t="s">
        <v>3088</v>
      </c>
      <c r="C190" s="70" t="s">
        <v>4423</v>
      </c>
      <c r="D190" s="70" t="s">
        <v>3087</v>
      </c>
      <c r="E190" s="70" t="s">
        <v>3086</v>
      </c>
      <c r="F190" s="71">
        <v>11</v>
      </c>
      <c r="G190" s="71">
        <v>155</v>
      </c>
      <c r="H190" s="72">
        <v>0.16805555555555557</v>
      </c>
      <c r="I190" s="71" t="b">
        <v>0</v>
      </c>
      <c r="J190" s="71">
        <v>76</v>
      </c>
      <c r="K190" s="71">
        <v>65</v>
      </c>
      <c r="L190" s="71">
        <v>90</v>
      </c>
      <c r="M190" s="71">
        <v>32</v>
      </c>
      <c r="N190" s="71">
        <v>15</v>
      </c>
      <c r="O190" s="71">
        <v>0</v>
      </c>
      <c r="P190" s="71">
        <v>11</v>
      </c>
      <c r="Q190" s="71">
        <v>43</v>
      </c>
      <c r="R190" s="71">
        <v>176</v>
      </c>
      <c r="S190" s="71" t="s">
        <v>128</v>
      </c>
      <c r="T190" s="73">
        <v>43644</v>
      </c>
      <c r="U190" s="71" t="s">
        <v>3499</v>
      </c>
      <c r="V190" s="71" t="b">
        <v>0</v>
      </c>
    </row>
    <row r="191" spans="1:22" ht="17.25">
      <c r="A191" s="70">
        <v>127</v>
      </c>
      <c r="B191" s="70" t="s">
        <v>3085</v>
      </c>
      <c r="C191" s="70" t="s">
        <v>1197</v>
      </c>
      <c r="D191" s="70" t="s">
        <v>3084</v>
      </c>
      <c r="E191" s="70" t="s">
        <v>92</v>
      </c>
      <c r="F191" s="71">
        <v>73</v>
      </c>
      <c r="G191" s="71">
        <v>176</v>
      </c>
      <c r="H191" s="72">
        <v>0.20902777777777778</v>
      </c>
      <c r="I191" s="71" t="b">
        <v>0</v>
      </c>
      <c r="J191" s="71">
        <v>50</v>
      </c>
      <c r="K191" s="71">
        <v>91</v>
      </c>
      <c r="L191" s="71">
        <v>92</v>
      </c>
      <c r="M191" s="71">
        <v>6</v>
      </c>
      <c r="N191" s="71">
        <v>0</v>
      </c>
      <c r="O191" s="71">
        <v>0</v>
      </c>
      <c r="P191" s="71">
        <v>11</v>
      </c>
      <c r="Q191" s="71">
        <v>72</v>
      </c>
      <c r="R191" s="71">
        <v>117</v>
      </c>
      <c r="S191" s="71" t="s">
        <v>1195</v>
      </c>
      <c r="T191" s="73">
        <v>33491</v>
      </c>
      <c r="U191" s="71" t="s">
        <v>3500</v>
      </c>
      <c r="V191" s="71" t="b">
        <v>0</v>
      </c>
    </row>
    <row r="192" spans="1:22" ht="17.25">
      <c r="A192" s="70">
        <v>128</v>
      </c>
      <c r="B192" s="70" t="s">
        <v>3083</v>
      </c>
      <c r="C192" s="70" t="s">
        <v>301</v>
      </c>
      <c r="D192" s="70" t="s">
        <v>3082</v>
      </c>
      <c r="E192" s="70" t="s">
        <v>44</v>
      </c>
      <c r="F192" s="71">
        <v>98</v>
      </c>
      <c r="G192" s="71">
        <v>1</v>
      </c>
      <c r="H192" s="72" t="s">
        <v>4320</v>
      </c>
      <c r="I192" s="71" t="b">
        <v>0</v>
      </c>
      <c r="J192" s="71">
        <v>61</v>
      </c>
      <c r="K192" s="71">
        <v>54</v>
      </c>
      <c r="L192" s="71">
        <v>72</v>
      </c>
      <c r="M192" s="71">
        <v>8</v>
      </c>
      <c r="N192" s="71">
        <v>46</v>
      </c>
      <c r="O192" s="71">
        <v>1</v>
      </c>
      <c r="P192" s="71">
        <v>12</v>
      </c>
      <c r="Q192" s="71">
        <v>38</v>
      </c>
      <c r="R192" s="71">
        <v>100</v>
      </c>
      <c r="S192" s="71" t="s">
        <v>183</v>
      </c>
      <c r="T192" s="73" t="s">
        <v>4359</v>
      </c>
      <c r="U192" s="71" t="s">
        <v>3501</v>
      </c>
      <c r="V192" s="71" t="b">
        <v>0</v>
      </c>
    </row>
    <row r="193" spans="1:22" ht="17.25">
      <c r="A193" s="70">
        <v>129</v>
      </c>
      <c r="B193" s="70" t="s">
        <v>3081</v>
      </c>
      <c r="C193" s="70" t="s">
        <v>1987</v>
      </c>
      <c r="D193" s="70" t="s">
        <v>3080</v>
      </c>
      <c r="E193" s="70" t="s">
        <v>62</v>
      </c>
      <c r="F193" s="71">
        <v>75</v>
      </c>
      <c r="G193" s="71">
        <v>8</v>
      </c>
      <c r="H193" s="72" t="s">
        <v>4318</v>
      </c>
      <c r="I193" s="71" t="b">
        <v>1</v>
      </c>
      <c r="J193" s="71">
        <v>75</v>
      </c>
      <c r="K193" s="71">
        <v>68</v>
      </c>
      <c r="L193" s="71">
        <v>73</v>
      </c>
      <c r="M193" s="71">
        <v>6</v>
      </c>
      <c r="N193" s="71">
        <v>24</v>
      </c>
      <c r="O193" s="71">
        <v>0</v>
      </c>
      <c r="P193" s="71">
        <v>14</v>
      </c>
      <c r="Q193" s="71">
        <v>82</v>
      </c>
      <c r="R193" s="71">
        <v>140</v>
      </c>
      <c r="S193" s="71" t="s">
        <v>61</v>
      </c>
      <c r="T193" s="73" t="s">
        <v>4386</v>
      </c>
      <c r="U193" s="71" t="s">
        <v>3502</v>
      </c>
      <c r="V193" s="71" t="b">
        <v>0</v>
      </c>
    </row>
    <row r="194" spans="1:22" ht="17.25">
      <c r="A194" s="70">
        <v>130</v>
      </c>
      <c r="B194" s="70" t="s">
        <v>3079</v>
      </c>
      <c r="C194" s="70" t="s">
        <v>4600</v>
      </c>
      <c r="D194" s="70" t="s">
        <v>3078</v>
      </c>
      <c r="E194" s="70" t="s">
        <v>3077</v>
      </c>
      <c r="F194" s="71">
        <v>74</v>
      </c>
      <c r="G194" s="71">
        <v>21</v>
      </c>
      <c r="H194" s="72">
        <v>0.11666666666666667</v>
      </c>
      <c r="I194" s="71" t="b">
        <v>0</v>
      </c>
      <c r="J194" s="71">
        <v>70</v>
      </c>
      <c r="K194" s="71">
        <v>60</v>
      </c>
      <c r="L194" s="71">
        <v>83</v>
      </c>
      <c r="M194" s="71">
        <v>4</v>
      </c>
      <c r="N194" s="71">
        <v>10</v>
      </c>
      <c r="O194" s="71">
        <v>1</v>
      </c>
      <c r="P194" s="71">
        <v>26</v>
      </c>
      <c r="Q194" s="71">
        <v>98</v>
      </c>
      <c r="R194" s="71">
        <v>120</v>
      </c>
      <c r="S194" s="71" t="s">
        <v>768</v>
      </c>
      <c r="T194" s="73">
        <v>45590</v>
      </c>
      <c r="U194" s="71" t="s">
        <v>3503</v>
      </c>
      <c r="V194" s="71" t="b">
        <v>0</v>
      </c>
    </row>
    <row r="195" spans="1:22" ht="17.25">
      <c r="A195" s="70">
        <v>130</v>
      </c>
      <c r="B195" s="70" t="s">
        <v>3079</v>
      </c>
      <c r="C195" s="70" t="s">
        <v>4424</v>
      </c>
      <c r="D195" s="70" t="s">
        <v>3078</v>
      </c>
      <c r="E195" s="70" t="s">
        <v>3077</v>
      </c>
      <c r="F195" s="71">
        <v>74</v>
      </c>
      <c r="G195" s="71">
        <v>21</v>
      </c>
      <c r="H195" s="72">
        <v>0.11666666666666667</v>
      </c>
      <c r="I195" s="71" t="b">
        <v>0</v>
      </c>
      <c r="J195" s="71">
        <v>70</v>
      </c>
      <c r="K195" s="71">
        <v>60</v>
      </c>
      <c r="L195" s="71">
        <v>83</v>
      </c>
      <c r="M195" s="71">
        <v>4</v>
      </c>
      <c r="N195" s="71">
        <v>10</v>
      </c>
      <c r="O195" s="71">
        <v>1</v>
      </c>
      <c r="P195" s="71">
        <v>26</v>
      </c>
      <c r="Q195" s="71">
        <v>98</v>
      </c>
      <c r="R195" s="71">
        <v>120</v>
      </c>
      <c r="S195" s="71" t="s">
        <v>768</v>
      </c>
      <c r="T195" s="73">
        <v>45590</v>
      </c>
      <c r="U195" s="71" t="s">
        <v>3503</v>
      </c>
      <c r="V195" s="71" t="b">
        <v>0</v>
      </c>
    </row>
    <row r="196" spans="1:22" ht="17.25">
      <c r="A196" s="70">
        <v>131</v>
      </c>
      <c r="B196" s="70" t="s">
        <v>3076</v>
      </c>
      <c r="C196" s="70" t="s">
        <v>159</v>
      </c>
      <c r="D196" s="70" t="s">
        <v>3075</v>
      </c>
      <c r="E196" s="70" t="s">
        <v>157</v>
      </c>
      <c r="F196" s="71">
        <v>23</v>
      </c>
      <c r="G196" s="71">
        <v>20</v>
      </c>
      <c r="H196" s="72">
        <v>0.14722222222222223</v>
      </c>
      <c r="I196" s="71" t="b">
        <v>0</v>
      </c>
      <c r="J196" s="71">
        <v>62</v>
      </c>
      <c r="K196" s="71">
        <v>60</v>
      </c>
      <c r="L196" s="71">
        <v>76</v>
      </c>
      <c r="M196" s="71">
        <v>5</v>
      </c>
      <c r="N196" s="71">
        <v>35</v>
      </c>
      <c r="O196" s="71">
        <v>0</v>
      </c>
      <c r="P196" s="71">
        <v>13</v>
      </c>
      <c r="Q196" s="71">
        <v>78</v>
      </c>
      <c r="R196" s="71">
        <v>108</v>
      </c>
      <c r="S196" s="71" t="s">
        <v>29</v>
      </c>
      <c r="T196" s="73">
        <v>44533</v>
      </c>
      <c r="U196" s="71" t="s">
        <v>3504</v>
      </c>
      <c r="V196" s="71" t="b">
        <v>1</v>
      </c>
    </row>
    <row r="197" spans="1:22" ht="17.25">
      <c r="A197" s="70">
        <v>131</v>
      </c>
      <c r="B197" s="70" t="s">
        <v>3076</v>
      </c>
      <c r="C197" s="70" t="s">
        <v>2968</v>
      </c>
      <c r="D197" s="70" t="s">
        <v>3075</v>
      </c>
      <c r="E197" s="70" t="s">
        <v>157</v>
      </c>
      <c r="F197" s="71">
        <v>23</v>
      </c>
      <c r="G197" s="71">
        <v>20</v>
      </c>
      <c r="H197" s="72">
        <v>0.14722222222222223</v>
      </c>
      <c r="I197" s="71" t="b">
        <v>0</v>
      </c>
      <c r="J197" s="71">
        <v>62</v>
      </c>
      <c r="K197" s="71">
        <v>60</v>
      </c>
      <c r="L197" s="71">
        <v>76</v>
      </c>
      <c r="M197" s="71">
        <v>5</v>
      </c>
      <c r="N197" s="71">
        <v>35</v>
      </c>
      <c r="O197" s="71">
        <v>0</v>
      </c>
      <c r="P197" s="71">
        <v>13</v>
      </c>
      <c r="Q197" s="71">
        <v>78</v>
      </c>
      <c r="R197" s="71">
        <v>108</v>
      </c>
      <c r="S197" s="71" t="s">
        <v>29</v>
      </c>
      <c r="T197" s="73">
        <v>44533</v>
      </c>
      <c r="U197" s="71" t="s">
        <v>3504</v>
      </c>
      <c r="V197" s="71" t="b">
        <v>1</v>
      </c>
    </row>
    <row r="198" spans="1:22" ht="17.25">
      <c r="A198" s="70">
        <v>132</v>
      </c>
      <c r="B198" s="70" t="s">
        <v>3074</v>
      </c>
      <c r="C198" s="70" t="s">
        <v>151</v>
      </c>
      <c r="D198" s="70" t="s">
        <v>3073</v>
      </c>
      <c r="E198" s="70" t="s">
        <v>44</v>
      </c>
      <c r="F198" s="71">
        <v>14</v>
      </c>
      <c r="G198" s="71">
        <v>3</v>
      </c>
      <c r="H198" s="72" t="s">
        <v>4315</v>
      </c>
      <c r="I198" s="71" t="b">
        <v>0</v>
      </c>
      <c r="J198" s="71">
        <v>68</v>
      </c>
      <c r="K198" s="71">
        <v>72</v>
      </c>
      <c r="L198" s="71">
        <v>75</v>
      </c>
      <c r="M198" s="71">
        <v>4</v>
      </c>
      <c r="N198" s="71">
        <v>16</v>
      </c>
      <c r="O198" s="71">
        <v>0</v>
      </c>
      <c r="P198" s="71">
        <v>15</v>
      </c>
      <c r="Q198" s="71">
        <v>58</v>
      </c>
      <c r="R198" s="71">
        <v>135</v>
      </c>
      <c r="S198" s="71" t="s">
        <v>96</v>
      </c>
      <c r="T198" s="73" t="s">
        <v>4345</v>
      </c>
      <c r="U198" s="71" t="s">
        <v>3389</v>
      </c>
      <c r="V198" s="71" t="b">
        <v>0</v>
      </c>
    </row>
    <row r="199" spans="1:22" ht="17.25">
      <c r="A199" s="70">
        <v>133</v>
      </c>
      <c r="B199" s="70" t="s">
        <v>3072</v>
      </c>
      <c r="C199" s="70" t="s">
        <v>131</v>
      </c>
      <c r="D199" s="70" t="s">
        <v>1696</v>
      </c>
      <c r="E199" s="70" t="s">
        <v>129</v>
      </c>
      <c r="F199" s="71">
        <v>16</v>
      </c>
      <c r="G199" s="71">
        <v>12</v>
      </c>
      <c r="H199" s="72">
        <v>0.13333333333333333</v>
      </c>
      <c r="I199" s="71" t="b">
        <v>1</v>
      </c>
      <c r="J199" s="71">
        <v>52</v>
      </c>
      <c r="K199" s="71">
        <v>61</v>
      </c>
      <c r="L199" s="71">
        <v>91</v>
      </c>
      <c r="M199" s="71">
        <v>6</v>
      </c>
      <c r="N199" s="71">
        <v>46</v>
      </c>
      <c r="O199" s="71">
        <v>0</v>
      </c>
      <c r="P199" s="71">
        <v>11</v>
      </c>
      <c r="Q199" s="71">
        <v>26</v>
      </c>
      <c r="R199" s="71">
        <v>111</v>
      </c>
      <c r="S199" s="71" t="s">
        <v>128</v>
      </c>
      <c r="T199" s="73">
        <v>45662</v>
      </c>
      <c r="U199" s="71" t="s">
        <v>3505</v>
      </c>
      <c r="V199" s="71" t="b">
        <v>0</v>
      </c>
    </row>
    <row r="200" spans="1:22" ht="17.25">
      <c r="A200" s="70">
        <v>134</v>
      </c>
      <c r="B200" s="70" t="s">
        <v>3071</v>
      </c>
      <c r="C200" s="70" t="s">
        <v>3070</v>
      </c>
      <c r="D200" s="70" t="s">
        <v>3069</v>
      </c>
      <c r="E200" s="70" t="s">
        <v>1412</v>
      </c>
      <c r="F200" s="71">
        <v>182</v>
      </c>
      <c r="G200" s="71">
        <v>1</v>
      </c>
      <c r="H200" s="72">
        <v>0.2048611111111111</v>
      </c>
      <c r="I200" s="71" t="b">
        <v>0</v>
      </c>
      <c r="J200" s="71">
        <v>56</v>
      </c>
      <c r="K200" s="71">
        <v>56</v>
      </c>
      <c r="L200" s="71">
        <v>83</v>
      </c>
      <c r="M200" s="71">
        <v>3</v>
      </c>
      <c r="N200" s="71">
        <v>16</v>
      </c>
      <c r="O200" s="71">
        <v>0</v>
      </c>
      <c r="P200" s="71">
        <v>11</v>
      </c>
      <c r="Q200" s="71">
        <v>45</v>
      </c>
      <c r="R200" s="71">
        <v>134</v>
      </c>
      <c r="S200" s="71" t="s">
        <v>79</v>
      </c>
      <c r="T200" s="73">
        <v>33890</v>
      </c>
      <c r="U200" s="71" t="s">
        <v>3506</v>
      </c>
      <c r="V200" s="71" t="b">
        <v>0</v>
      </c>
    </row>
    <row r="201" spans="1:22" ht="17.25">
      <c r="A201" s="70">
        <v>135</v>
      </c>
      <c r="B201" s="70" t="s">
        <v>3068</v>
      </c>
      <c r="C201" s="70" t="s">
        <v>32</v>
      </c>
      <c r="D201" s="70" t="s">
        <v>3067</v>
      </c>
      <c r="E201" s="70" t="s">
        <v>30</v>
      </c>
      <c r="F201" s="71">
        <v>12</v>
      </c>
      <c r="G201" s="71">
        <v>17</v>
      </c>
      <c r="H201" s="72" t="s">
        <v>4318</v>
      </c>
      <c r="I201" s="71" t="b">
        <v>0</v>
      </c>
      <c r="J201" s="71">
        <v>79</v>
      </c>
      <c r="K201" s="71">
        <v>71</v>
      </c>
      <c r="L201" s="71">
        <v>74</v>
      </c>
      <c r="M201" s="71">
        <v>7</v>
      </c>
      <c r="N201" s="71">
        <v>14</v>
      </c>
      <c r="O201" s="71">
        <v>0</v>
      </c>
      <c r="P201" s="71">
        <v>13</v>
      </c>
      <c r="Q201" s="71">
        <v>79</v>
      </c>
      <c r="R201" s="71">
        <v>116</v>
      </c>
      <c r="S201" s="71" t="s">
        <v>96</v>
      </c>
      <c r="T201" s="73" t="s">
        <v>4372</v>
      </c>
      <c r="U201" s="71" t="s">
        <v>3507</v>
      </c>
      <c r="V201" s="71" t="b">
        <v>0</v>
      </c>
    </row>
    <row r="202" spans="1:22" ht="17.25">
      <c r="A202" s="70">
        <v>137</v>
      </c>
      <c r="B202" s="70" t="s">
        <v>3066</v>
      </c>
      <c r="C202" s="70" t="s">
        <v>4601</v>
      </c>
      <c r="D202" s="70" t="s">
        <v>3065</v>
      </c>
      <c r="E202" s="70" t="s">
        <v>1068</v>
      </c>
      <c r="F202" s="71">
        <v>1</v>
      </c>
      <c r="G202" s="71">
        <v>19</v>
      </c>
      <c r="H202" s="72" t="s">
        <v>4315</v>
      </c>
      <c r="I202" s="71" t="b">
        <v>0</v>
      </c>
      <c r="J202" s="71">
        <v>80</v>
      </c>
      <c r="K202" s="71">
        <v>75</v>
      </c>
      <c r="L202" s="71">
        <v>74</v>
      </c>
      <c r="M202" s="71">
        <v>8</v>
      </c>
      <c r="N202" s="71">
        <v>16</v>
      </c>
      <c r="O202" s="71">
        <v>0</v>
      </c>
      <c r="P202" s="71">
        <v>11</v>
      </c>
      <c r="Q202" s="71">
        <v>82</v>
      </c>
      <c r="R202" s="71">
        <v>104</v>
      </c>
      <c r="S202" s="71" t="s">
        <v>1012</v>
      </c>
      <c r="T202" s="73" t="s">
        <v>4367</v>
      </c>
      <c r="U202" s="71" t="s">
        <v>3508</v>
      </c>
      <c r="V202" s="71" t="b">
        <v>0</v>
      </c>
    </row>
    <row r="203" spans="1:22" ht="17.25">
      <c r="A203" s="70">
        <v>137</v>
      </c>
      <c r="B203" s="70" t="s">
        <v>3066</v>
      </c>
      <c r="C203" s="70" t="s">
        <v>4425</v>
      </c>
      <c r="D203" s="70" t="s">
        <v>3065</v>
      </c>
      <c r="E203" s="70" t="s">
        <v>1068</v>
      </c>
      <c r="F203" s="71">
        <v>1</v>
      </c>
      <c r="G203" s="71">
        <v>19</v>
      </c>
      <c r="H203" s="72" t="s">
        <v>4315</v>
      </c>
      <c r="I203" s="71" t="b">
        <v>0</v>
      </c>
      <c r="J203" s="71">
        <v>80</v>
      </c>
      <c r="K203" s="71">
        <v>75</v>
      </c>
      <c r="L203" s="71">
        <v>74</v>
      </c>
      <c r="M203" s="71">
        <v>8</v>
      </c>
      <c r="N203" s="71">
        <v>16</v>
      </c>
      <c r="O203" s="71">
        <v>0</v>
      </c>
      <c r="P203" s="71">
        <v>11</v>
      </c>
      <c r="Q203" s="71">
        <v>82</v>
      </c>
      <c r="R203" s="71">
        <v>104</v>
      </c>
      <c r="S203" s="71" t="s">
        <v>1012</v>
      </c>
      <c r="T203" s="73" t="s">
        <v>4367</v>
      </c>
      <c r="U203" s="71" t="s">
        <v>3508</v>
      </c>
      <c r="V203" s="71" t="b">
        <v>0</v>
      </c>
    </row>
    <row r="204" spans="1:22" ht="17.25">
      <c r="A204" s="70">
        <v>138</v>
      </c>
      <c r="B204" s="70" t="s">
        <v>3064</v>
      </c>
      <c r="C204" s="70" t="s">
        <v>131</v>
      </c>
      <c r="D204" s="70" t="s">
        <v>3063</v>
      </c>
      <c r="E204" s="70" t="s">
        <v>2738</v>
      </c>
      <c r="F204" s="71">
        <v>17</v>
      </c>
      <c r="G204" s="71">
        <v>67</v>
      </c>
      <c r="H204" s="72">
        <v>0.15833333333333333</v>
      </c>
      <c r="I204" s="71" t="b">
        <v>1</v>
      </c>
      <c r="J204" s="71">
        <v>83</v>
      </c>
      <c r="K204" s="71">
        <v>56</v>
      </c>
      <c r="L204" s="71">
        <v>91</v>
      </c>
      <c r="M204" s="71">
        <v>20</v>
      </c>
      <c r="N204" s="71">
        <v>53</v>
      </c>
      <c r="O204" s="71">
        <v>0</v>
      </c>
      <c r="P204" s="71">
        <v>14</v>
      </c>
      <c r="Q204" s="71">
        <v>34</v>
      </c>
      <c r="R204" s="71">
        <v>105</v>
      </c>
      <c r="S204" s="71" t="s">
        <v>128</v>
      </c>
      <c r="T204" s="73">
        <v>45611</v>
      </c>
      <c r="U204" s="71" t="s">
        <v>3509</v>
      </c>
      <c r="V204" s="71" t="b">
        <v>0</v>
      </c>
    </row>
    <row r="205" spans="1:22" ht="17.25">
      <c r="A205" s="70">
        <v>138</v>
      </c>
      <c r="B205" s="70" t="s">
        <v>3064</v>
      </c>
      <c r="C205" s="70" t="s">
        <v>4426</v>
      </c>
      <c r="D205" s="70" t="s">
        <v>3063</v>
      </c>
      <c r="E205" s="70" t="s">
        <v>2738</v>
      </c>
      <c r="F205" s="71">
        <v>17</v>
      </c>
      <c r="G205" s="71">
        <v>67</v>
      </c>
      <c r="H205" s="72">
        <v>0.15833333333333333</v>
      </c>
      <c r="I205" s="71" t="b">
        <v>1</v>
      </c>
      <c r="J205" s="71">
        <v>83</v>
      </c>
      <c r="K205" s="71">
        <v>56</v>
      </c>
      <c r="L205" s="71">
        <v>91</v>
      </c>
      <c r="M205" s="71">
        <v>20</v>
      </c>
      <c r="N205" s="71">
        <v>53</v>
      </c>
      <c r="O205" s="71">
        <v>0</v>
      </c>
      <c r="P205" s="71">
        <v>14</v>
      </c>
      <c r="Q205" s="71">
        <v>34</v>
      </c>
      <c r="R205" s="71">
        <v>105</v>
      </c>
      <c r="S205" s="71" t="s">
        <v>128</v>
      </c>
      <c r="T205" s="73">
        <v>45611</v>
      </c>
      <c r="U205" s="71" t="s">
        <v>3509</v>
      </c>
      <c r="V205" s="71" t="b">
        <v>0</v>
      </c>
    </row>
    <row r="206" spans="1:22" ht="17.25">
      <c r="A206" s="70">
        <v>139</v>
      </c>
      <c r="B206" s="70" t="s">
        <v>3062</v>
      </c>
      <c r="C206" s="70" t="s">
        <v>4427</v>
      </c>
      <c r="D206" s="70" t="s">
        <v>3061</v>
      </c>
      <c r="E206" s="70" t="s">
        <v>3060</v>
      </c>
      <c r="F206" s="71">
        <v>159</v>
      </c>
      <c r="G206" s="71">
        <v>6</v>
      </c>
      <c r="H206" s="72">
        <v>0.1701388888888889</v>
      </c>
      <c r="I206" s="71" t="b">
        <v>0</v>
      </c>
      <c r="J206" s="71">
        <v>60</v>
      </c>
      <c r="K206" s="71">
        <v>79</v>
      </c>
      <c r="L206" s="71">
        <v>94</v>
      </c>
      <c r="M206" s="71">
        <v>10</v>
      </c>
      <c r="N206" s="71">
        <v>7</v>
      </c>
      <c r="O206" s="71">
        <v>15</v>
      </c>
      <c r="P206" s="71">
        <v>13</v>
      </c>
      <c r="Q206" s="71">
        <v>30</v>
      </c>
      <c r="R206" s="71">
        <v>126</v>
      </c>
      <c r="S206" s="71" t="s">
        <v>274</v>
      </c>
      <c r="T206" s="73">
        <v>40760</v>
      </c>
      <c r="U206" s="71" t="s">
        <v>3510</v>
      </c>
      <c r="V206" s="71" t="b">
        <v>0</v>
      </c>
    </row>
    <row r="207" spans="1:22" ht="17.25">
      <c r="A207" s="70">
        <v>139</v>
      </c>
      <c r="B207" s="70" t="s">
        <v>3062</v>
      </c>
      <c r="C207" s="70" t="s">
        <v>102</v>
      </c>
      <c r="D207" s="70" t="s">
        <v>3061</v>
      </c>
      <c r="E207" s="70" t="s">
        <v>3060</v>
      </c>
      <c r="F207" s="71">
        <v>159</v>
      </c>
      <c r="G207" s="71">
        <v>6</v>
      </c>
      <c r="H207" s="72">
        <v>0.1701388888888889</v>
      </c>
      <c r="I207" s="71" t="b">
        <v>0</v>
      </c>
      <c r="J207" s="71">
        <v>60</v>
      </c>
      <c r="K207" s="71">
        <v>79</v>
      </c>
      <c r="L207" s="71">
        <v>94</v>
      </c>
      <c r="M207" s="71">
        <v>10</v>
      </c>
      <c r="N207" s="71">
        <v>7</v>
      </c>
      <c r="O207" s="71">
        <v>15</v>
      </c>
      <c r="P207" s="71">
        <v>13</v>
      </c>
      <c r="Q207" s="71">
        <v>30</v>
      </c>
      <c r="R207" s="71">
        <v>126</v>
      </c>
      <c r="S207" s="71" t="s">
        <v>274</v>
      </c>
      <c r="T207" s="73">
        <v>40760</v>
      </c>
      <c r="U207" s="71" t="s">
        <v>3510</v>
      </c>
      <c r="V207" s="71" t="b">
        <v>0</v>
      </c>
    </row>
    <row r="208" spans="1:22" ht="17.25">
      <c r="A208" s="70">
        <v>140</v>
      </c>
      <c r="B208" s="70" t="s">
        <v>3059</v>
      </c>
      <c r="C208" s="70" t="s">
        <v>3058</v>
      </c>
      <c r="D208" s="70" t="s">
        <v>3057</v>
      </c>
      <c r="E208" s="70" t="s">
        <v>84</v>
      </c>
      <c r="F208" s="71">
        <v>94</v>
      </c>
      <c r="G208" s="71">
        <v>8</v>
      </c>
      <c r="H208" s="72">
        <v>0.1423611111111111</v>
      </c>
      <c r="I208" s="71" t="b">
        <v>0</v>
      </c>
      <c r="J208" s="71">
        <v>55</v>
      </c>
      <c r="K208" s="71">
        <v>52</v>
      </c>
      <c r="L208" s="71">
        <v>74</v>
      </c>
      <c r="M208" s="71">
        <v>4</v>
      </c>
      <c r="N208" s="71">
        <v>45</v>
      </c>
      <c r="O208" s="71">
        <v>0</v>
      </c>
      <c r="P208" s="71">
        <v>15</v>
      </c>
      <c r="Q208" s="71">
        <v>72</v>
      </c>
      <c r="R208" s="71">
        <v>100</v>
      </c>
      <c r="S208" s="71" t="s">
        <v>29</v>
      </c>
      <c r="T208" s="73">
        <v>41932</v>
      </c>
      <c r="U208" s="71" t="s">
        <v>3511</v>
      </c>
      <c r="V208" s="71" t="b">
        <v>1</v>
      </c>
    </row>
    <row r="209" spans="1:22" ht="17.25">
      <c r="A209" s="70">
        <v>141</v>
      </c>
      <c r="B209" s="70" t="s">
        <v>3056</v>
      </c>
      <c r="C209" s="70" t="s">
        <v>4428</v>
      </c>
      <c r="D209" s="70" t="s">
        <v>3055</v>
      </c>
      <c r="E209" s="70" t="s">
        <v>3054</v>
      </c>
      <c r="F209" s="71">
        <v>4</v>
      </c>
      <c r="G209" s="71">
        <v>125</v>
      </c>
      <c r="H209" s="72">
        <v>0.1423611111111111</v>
      </c>
      <c r="I209" s="71" t="b">
        <v>0</v>
      </c>
      <c r="J209" s="71">
        <v>48</v>
      </c>
      <c r="K209" s="71">
        <v>72</v>
      </c>
      <c r="L209" s="71">
        <v>91</v>
      </c>
      <c r="M209" s="71">
        <v>6</v>
      </c>
      <c r="N209" s="71">
        <v>9</v>
      </c>
      <c r="O209" s="71">
        <v>0</v>
      </c>
      <c r="P209" s="71">
        <v>14</v>
      </c>
      <c r="Q209" s="71">
        <v>16</v>
      </c>
      <c r="R209" s="71">
        <v>200</v>
      </c>
      <c r="S209" s="71" t="s">
        <v>274</v>
      </c>
      <c r="T209" s="73">
        <v>42587</v>
      </c>
      <c r="U209" s="71" t="s">
        <v>3512</v>
      </c>
      <c r="V209" s="71" t="b">
        <v>0</v>
      </c>
    </row>
    <row r="210" spans="1:22" ht="17.25">
      <c r="A210" s="70">
        <v>141</v>
      </c>
      <c r="B210" s="70" t="s">
        <v>3056</v>
      </c>
      <c r="C210" s="70" t="s">
        <v>54</v>
      </c>
      <c r="D210" s="70" t="s">
        <v>3055</v>
      </c>
      <c r="E210" s="70" t="s">
        <v>3054</v>
      </c>
      <c r="F210" s="71">
        <v>4</v>
      </c>
      <c r="G210" s="71">
        <v>125</v>
      </c>
      <c r="H210" s="72">
        <v>0.1423611111111111</v>
      </c>
      <c r="I210" s="71" t="b">
        <v>0</v>
      </c>
      <c r="J210" s="71">
        <v>48</v>
      </c>
      <c r="K210" s="71">
        <v>72</v>
      </c>
      <c r="L210" s="71">
        <v>91</v>
      </c>
      <c r="M210" s="71">
        <v>6</v>
      </c>
      <c r="N210" s="71">
        <v>9</v>
      </c>
      <c r="O210" s="71">
        <v>0</v>
      </c>
      <c r="P210" s="71">
        <v>14</v>
      </c>
      <c r="Q210" s="71">
        <v>16</v>
      </c>
      <c r="R210" s="71">
        <v>200</v>
      </c>
      <c r="S210" s="71" t="s">
        <v>274</v>
      </c>
      <c r="T210" s="73">
        <v>42587</v>
      </c>
      <c r="U210" s="71" t="s">
        <v>3512</v>
      </c>
      <c r="V210" s="71" t="b">
        <v>0</v>
      </c>
    </row>
    <row r="211" spans="1:22" ht="17.25">
      <c r="A211" s="70">
        <v>142</v>
      </c>
      <c r="B211" s="70" t="s">
        <v>3053</v>
      </c>
      <c r="C211" s="70" t="s">
        <v>430</v>
      </c>
      <c r="D211" s="70" t="s">
        <v>3052</v>
      </c>
      <c r="E211" s="70" t="s">
        <v>428</v>
      </c>
      <c r="F211" s="71">
        <v>3</v>
      </c>
      <c r="G211" s="71">
        <v>59</v>
      </c>
      <c r="H211" s="72">
        <v>0.14166666666666666</v>
      </c>
      <c r="I211" s="71" t="b">
        <v>0</v>
      </c>
      <c r="J211" s="71">
        <v>52</v>
      </c>
      <c r="K211" s="71">
        <v>62</v>
      </c>
      <c r="L211" s="71">
        <v>88</v>
      </c>
      <c r="M211" s="71">
        <v>12</v>
      </c>
      <c r="N211" s="71">
        <v>5</v>
      </c>
      <c r="O211" s="71">
        <v>0</v>
      </c>
      <c r="P211" s="71">
        <v>29</v>
      </c>
      <c r="Q211" s="71">
        <v>59</v>
      </c>
      <c r="R211" s="71">
        <v>192</v>
      </c>
      <c r="S211" s="71" t="s">
        <v>29</v>
      </c>
      <c r="T211" s="73">
        <v>41967</v>
      </c>
      <c r="U211" s="71" t="s">
        <v>3513</v>
      </c>
      <c r="V211" s="71" t="b">
        <v>1</v>
      </c>
    </row>
    <row r="212" spans="1:22" ht="17.25">
      <c r="A212" s="70">
        <v>143</v>
      </c>
      <c r="B212" s="70" t="s">
        <v>3051</v>
      </c>
      <c r="C212" s="70" t="s">
        <v>3050</v>
      </c>
      <c r="D212" s="70" t="s">
        <v>3049</v>
      </c>
      <c r="E212" s="70" t="s">
        <v>718</v>
      </c>
      <c r="F212" s="71">
        <v>71</v>
      </c>
      <c r="G212" s="71">
        <v>201</v>
      </c>
      <c r="H212" s="72">
        <v>0.16458333333333333</v>
      </c>
      <c r="I212" s="71" t="b">
        <v>0</v>
      </c>
      <c r="J212" s="71">
        <v>45</v>
      </c>
      <c r="K212" s="71">
        <v>66</v>
      </c>
      <c r="L212" s="71">
        <v>93</v>
      </c>
      <c r="M212" s="71">
        <v>3</v>
      </c>
      <c r="N212" s="71">
        <v>6</v>
      </c>
      <c r="O212" s="71">
        <v>0</v>
      </c>
      <c r="P212" s="71">
        <v>8</v>
      </c>
      <c r="Q212" s="71">
        <v>30</v>
      </c>
      <c r="R212" s="71">
        <v>172</v>
      </c>
      <c r="S212" s="71" t="s">
        <v>79</v>
      </c>
      <c r="T212" s="73">
        <v>38033</v>
      </c>
      <c r="U212" s="71" t="s">
        <v>3514</v>
      </c>
      <c r="V212" s="71" t="b">
        <v>0</v>
      </c>
    </row>
    <row r="213" spans="1:22" ht="17.25">
      <c r="A213" s="70">
        <v>144</v>
      </c>
      <c r="B213" s="70" t="s">
        <v>3048</v>
      </c>
      <c r="C213" s="70" t="s">
        <v>430</v>
      </c>
      <c r="D213" s="70" t="s">
        <v>3047</v>
      </c>
      <c r="E213" s="70" t="s">
        <v>75</v>
      </c>
      <c r="F213" s="71">
        <v>13</v>
      </c>
      <c r="G213" s="71">
        <v>2</v>
      </c>
      <c r="H213" s="72" t="s">
        <v>4315</v>
      </c>
      <c r="I213" s="71" t="b">
        <v>0</v>
      </c>
      <c r="J213" s="71">
        <v>72</v>
      </c>
      <c r="K213" s="71">
        <v>51</v>
      </c>
      <c r="L213" s="71">
        <v>74</v>
      </c>
      <c r="M213" s="71">
        <v>5</v>
      </c>
      <c r="N213" s="71">
        <v>38</v>
      </c>
      <c r="O213" s="71">
        <v>0</v>
      </c>
      <c r="P213" s="71">
        <v>13</v>
      </c>
      <c r="Q213" s="71">
        <v>58</v>
      </c>
      <c r="R213" s="71">
        <v>124</v>
      </c>
      <c r="S213" s="71" t="s">
        <v>96</v>
      </c>
      <c r="T213" s="73" t="s">
        <v>4319</v>
      </c>
      <c r="U213" s="71" t="s">
        <v>3515</v>
      </c>
      <c r="V213" s="71" t="b">
        <v>0</v>
      </c>
    </row>
    <row r="214" spans="1:22" ht="17.25">
      <c r="A214" s="70">
        <v>145</v>
      </c>
      <c r="B214" s="70" t="s">
        <v>3046</v>
      </c>
      <c r="C214" s="70" t="s">
        <v>141</v>
      </c>
      <c r="D214" s="70" t="s">
        <v>3045</v>
      </c>
      <c r="E214" s="70" t="s">
        <v>62</v>
      </c>
      <c r="F214" s="71">
        <v>66</v>
      </c>
      <c r="G214" s="71">
        <v>3</v>
      </c>
      <c r="H214" s="72" t="s">
        <v>4317</v>
      </c>
      <c r="I214" s="71" t="b">
        <v>1</v>
      </c>
      <c r="J214" s="71">
        <v>76</v>
      </c>
      <c r="K214" s="71">
        <v>72</v>
      </c>
      <c r="L214" s="71">
        <v>74</v>
      </c>
      <c r="M214" s="71">
        <v>6</v>
      </c>
      <c r="N214" s="71">
        <v>19</v>
      </c>
      <c r="O214" s="71">
        <v>0</v>
      </c>
      <c r="P214" s="71">
        <v>14</v>
      </c>
      <c r="Q214" s="71">
        <v>88</v>
      </c>
      <c r="R214" s="71">
        <v>145</v>
      </c>
      <c r="S214" s="71" t="s">
        <v>61</v>
      </c>
      <c r="T214" s="73" t="s">
        <v>4368</v>
      </c>
      <c r="U214" s="71" t="s">
        <v>3516</v>
      </c>
      <c r="V214" s="71" t="b">
        <v>0</v>
      </c>
    </row>
    <row r="215" spans="1:22" ht="17.25">
      <c r="A215" s="70">
        <v>146</v>
      </c>
      <c r="B215" s="70" t="s">
        <v>3044</v>
      </c>
      <c r="C215" s="70" t="s">
        <v>198</v>
      </c>
      <c r="D215" s="70" t="s">
        <v>3043</v>
      </c>
      <c r="E215" s="70" t="s">
        <v>3042</v>
      </c>
      <c r="F215" s="71">
        <v>6</v>
      </c>
      <c r="G215" s="71">
        <v>70</v>
      </c>
      <c r="H215" s="72">
        <v>0.12638888888888888</v>
      </c>
      <c r="I215" s="71" t="b">
        <v>0</v>
      </c>
      <c r="J215" s="71">
        <v>66</v>
      </c>
      <c r="K215" s="71">
        <v>50</v>
      </c>
      <c r="L215" s="71">
        <v>88</v>
      </c>
      <c r="M215" s="71">
        <v>7</v>
      </c>
      <c r="N215" s="71">
        <v>80</v>
      </c>
      <c r="O215" s="71">
        <v>0</v>
      </c>
      <c r="P215" s="71">
        <v>10</v>
      </c>
      <c r="Q215" s="71">
        <v>80</v>
      </c>
      <c r="R215" s="71">
        <v>118</v>
      </c>
      <c r="S215" s="71" t="s">
        <v>195</v>
      </c>
      <c r="T215" s="73">
        <v>44750</v>
      </c>
      <c r="U215" s="71" t="s">
        <v>3517</v>
      </c>
      <c r="V215" s="71" t="b">
        <v>0</v>
      </c>
    </row>
    <row r="216" spans="1:22" ht="17.25">
      <c r="A216" s="70">
        <v>147</v>
      </c>
      <c r="B216" s="70" t="s">
        <v>3041</v>
      </c>
      <c r="C216" s="70" t="s">
        <v>3040</v>
      </c>
      <c r="D216" s="70" t="s">
        <v>3039</v>
      </c>
      <c r="E216" s="70" t="s">
        <v>3038</v>
      </c>
      <c r="F216" s="71">
        <v>14</v>
      </c>
      <c r="G216" s="71">
        <v>39</v>
      </c>
      <c r="H216" s="72">
        <v>0.11666666666666667</v>
      </c>
      <c r="I216" s="71" t="b">
        <v>0</v>
      </c>
      <c r="J216" s="71">
        <v>58</v>
      </c>
      <c r="K216" s="71">
        <v>55</v>
      </c>
      <c r="L216" s="71">
        <v>73</v>
      </c>
      <c r="M216" s="71">
        <v>4</v>
      </c>
      <c r="N216" s="71">
        <v>50</v>
      </c>
      <c r="O216" s="71">
        <v>0</v>
      </c>
      <c r="P216" s="71">
        <v>12</v>
      </c>
      <c r="Q216" s="71">
        <v>58</v>
      </c>
      <c r="R216" s="71">
        <v>100</v>
      </c>
      <c r="S216" s="71" t="s">
        <v>74</v>
      </c>
      <c r="T216" s="73">
        <v>39525</v>
      </c>
      <c r="U216" s="71" t="s">
        <v>3518</v>
      </c>
      <c r="V216" s="71" t="b">
        <v>0</v>
      </c>
    </row>
    <row r="217" spans="1:22" ht="17.25">
      <c r="A217" s="70">
        <v>148</v>
      </c>
      <c r="B217" s="70" t="s">
        <v>3037</v>
      </c>
      <c r="C217" s="70" t="s">
        <v>4551</v>
      </c>
      <c r="D217" s="70" t="s">
        <v>3036</v>
      </c>
      <c r="E217" s="70" t="s">
        <v>444</v>
      </c>
      <c r="F217" s="71">
        <v>57</v>
      </c>
      <c r="G217" s="71">
        <v>12</v>
      </c>
      <c r="H217" s="72" t="s">
        <v>4326</v>
      </c>
      <c r="I217" s="71" t="b">
        <v>0</v>
      </c>
      <c r="J217" s="71">
        <v>78</v>
      </c>
      <c r="K217" s="71">
        <v>63</v>
      </c>
      <c r="L217" s="71">
        <v>72</v>
      </c>
      <c r="M217" s="71">
        <v>6</v>
      </c>
      <c r="N217" s="71">
        <v>28</v>
      </c>
      <c r="O217" s="71">
        <v>0</v>
      </c>
      <c r="P217" s="71">
        <v>13</v>
      </c>
      <c r="Q217" s="71">
        <v>67</v>
      </c>
      <c r="R217" s="71">
        <v>112</v>
      </c>
      <c r="S217" s="71" t="s">
        <v>128</v>
      </c>
      <c r="T217" s="73" t="s">
        <v>4385</v>
      </c>
      <c r="U217" s="71" t="s">
        <v>3519</v>
      </c>
      <c r="V217" s="71" t="b">
        <v>0</v>
      </c>
    </row>
    <row r="218" spans="1:22" ht="17.25">
      <c r="A218" s="70">
        <v>148</v>
      </c>
      <c r="B218" s="70" t="s">
        <v>3037</v>
      </c>
      <c r="C218" s="70" t="s">
        <v>446</v>
      </c>
      <c r="D218" s="70" t="s">
        <v>3036</v>
      </c>
      <c r="E218" s="70" t="s">
        <v>444</v>
      </c>
      <c r="F218" s="71">
        <v>57</v>
      </c>
      <c r="G218" s="71">
        <v>12</v>
      </c>
      <c r="H218" s="72" t="s">
        <v>4326</v>
      </c>
      <c r="I218" s="71" t="b">
        <v>0</v>
      </c>
      <c r="J218" s="71">
        <v>78</v>
      </c>
      <c r="K218" s="71">
        <v>63</v>
      </c>
      <c r="L218" s="71">
        <v>72</v>
      </c>
      <c r="M218" s="71">
        <v>6</v>
      </c>
      <c r="N218" s="71">
        <v>28</v>
      </c>
      <c r="O218" s="71">
        <v>0</v>
      </c>
      <c r="P218" s="71">
        <v>13</v>
      </c>
      <c r="Q218" s="71">
        <v>67</v>
      </c>
      <c r="R218" s="71">
        <v>112</v>
      </c>
      <c r="S218" s="71" t="s">
        <v>128</v>
      </c>
      <c r="T218" s="73" t="s">
        <v>4385</v>
      </c>
      <c r="U218" s="71" t="s">
        <v>3519</v>
      </c>
      <c r="V218" s="71" t="b">
        <v>0</v>
      </c>
    </row>
    <row r="219" spans="1:22" ht="17.25">
      <c r="A219" s="70">
        <v>149</v>
      </c>
      <c r="B219" s="70" t="s">
        <v>3035</v>
      </c>
      <c r="C219" s="70" t="s">
        <v>292</v>
      </c>
      <c r="D219" s="70" t="s">
        <v>3034</v>
      </c>
      <c r="E219" s="70" t="s">
        <v>2340</v>
      </c>
      <c r="F219" s="71">
        <v>5</v>
      </c>
      <c r="G219" s="71">
        <v>20</v>
      </c>
      <c r="H219" s="72">
        <v>0.11666666666666667</v>
      </c>
      <c r="I219" s="71" t="b">
        <v>1</v>
      </c>
      <c r="J219" s="71">
        <v>87</v>
      </c>
      <c r="K219" s="71">
        <v>67</v>
      </c>
      <c r="L219" s="71">
        <v>91</v>
      </c>
      <c r="M219" s="71">
        <v>20</v>
      </c>
      <c r="N219" s="71">
        <v>2</v>
      </c>
      <c r="O219" s="71">
        <v>0</v>
      </c>
      <c r="P219" s="71">
        <v>8</v>
      </c>
      <c r="Q219" s="71">
        <v>71</v>
      </c>
      <c r="R219" s="71">
        <v>104</v>
      </c>
      <c r="S219" s="71" t="s">
        <v>48</v>
      </c>
      <c r="T219" s="73">
        <v>45618</v>
      </c>
      <c r="U219" s="71" t="s">
        <v>3476</v>
      </c>
      <c r="V219" s="71" t="b">
        <v>0</v>
      </c>
    </row>
    <row r="220" spans="1:22" ht="17.25">
      <c r="A220" s="70">
        <v>150</v>
      </c>
      <c r="B220" s="70" t="s">
        <v>3033</v>
      </c>
      <c r="C220" s="70" t="s">
        <v>2067</v>
      </c>
      <c r="D220" s="70" t="s">
        <v>2066</v>
      </c>
      <c r="E220" s="70" t="s">
        <v>2065</v>
      </c>
      <c r="F220" s="71">
        <v>13</v>
      </c>
      <c r="G220" s="71">
        <v>115</v>
      </c>
      <c r="H220" s="72">
        <v>0.17291666666666666</v>
      </c>
      <c r="I220" s="71" t="b">
        <v>0</v>
      </c>
      <c r="J220" s="71">
        <v>53</v>
      </c>
      <c r="K220" s="71">
        <v>78</v>
      </c>
      <c r="L220" s="71">
        <v>91</v>
      </c>
      <c r="M220" s="71">
        <v>5</v>
      </c>
      <c r="N220" s="71">
        <v>0</v>
      </c>
      <c r="O220" s="71">
        <v>0</v>
      </c>
      <c r="P220" s="71">
        <v>16</v>
      </c>
      <c r="Q220" s="71">
        <v>64</v>
      </c>
      <c r="R220" s="71">
        <v>124</v>
      </c>
      <c r="S220" s="71" t="s">
        <v>274</v>
      </c>
      <c r="T220" s="73">
        <v>41442</v>
      </c>
      <c r="U220" s="71" t="s">
        <v>3520</v>
      </c>
      <c r="V220" s="71" t="b">
        <v>0</v>
      </c>
    </row>
    <row r="221" spans="1:22" ht="17.25">
      <c r="A221" s="70">
        <v>151</v>
      </c>
      <c r="B221" s="70" t="s">
        <v>3032</v>
      </c>
      <c r="C221" s="70" t="s">
        <v>3031</v>
      </c>
      <c r="D221" s="70" t="s">
        <v>3030</v>
      </c>
      <c r="E221" s="70" t="s">
        <v>3029</v>
      </c>
      <c r="F221" s="71">
        <v>173</v>
      </c>
      <c r="G221" s="71">
        <v>18</v>
      </c>
      <c r="H221" s="72">
        <v>0.14097222222222222</v>
      </c>
      <c r="I221" s="71" t="b">
        <v>0</v>
      </c>
      <c r="J221" s="71">
        <v>54</v>
      </c>
      <c r="K221" s="71">
        <v>90</v>
      </c>
      <c r="L221" s="71">
        <v>91</v>
      </c>
      <c r="M221" s="71">
        <v>5</v>
      </c>
      <c r="N221" s="71">
        <v>0</v>
      </c>
      <c r="O221" s="71">
        <v>1</v>
      </c>
      <c r="P221" s="71">
        <v>14</v>
      </c>
      <c r="Q221" s="71">
        <v>37</v>
      </c>
      <c r="R221" s="71">
        <v>153</v>
      </c>
      <c r="S221" s="71" t="s">
        <v>69</v>
      </c>
      <c r="T221" s="73">
        <v>39686</v>
      </c>
      <c r="U221" s="71" t="s">
        <v>3521</v>
      </c>
      <c r="V221" s="71" t="b">
        <v>0</v>
      </c>
    </row>
    <row r="222" spans="1:22" ht="17.25">
      <c r="A222" s="70">
        <v>152</v>
      </c>
      <c r="B222" s="70" t="s">
        <v>3028</v>
      </c>
      <c r="C222" s="70" t="s">
        <v>968</v>
      </c>
      <c r="D222" s="70" t="s">
        <v>1269</v>
      </c>
      <c r="E222" s="70" t="s">
        <v>988</v>
      </c>
      <c r="F222" s="71">
        <v>20</v>
      </c>
      <c r="G222" s="71">
        <v>149</v>
      </c>
      <c r="H222" s="72">
        <v>0.17847222222222223</v>
      </c>
      <c r="I222" s="71" t="b">
        <v>0</v>
      </c>
      <c r="J222" s="71">
        <v>83</v>
      </c>
      <c r="K222" s="71">
        <v>49</v>
      </c>
      <c r="L222" s="71">
        <v>84</v>
      </c>
      <c r="M222" s="71">
        <v>3</v>
      </c>
      <c r="N222" s="71">
        <v>6</v>
      </c>
      <c r="O222" s="71">
        <v>0</v>
      </c>
      <c r="P222" s="71">
        <v>13</v>
      </c>
      <c r="Q222" s="71">
        <v>79</v>
      </c>
      <c r="R222" s="71">
        <v>120</v>
      </c>
      <c r="S222" s="71" t="s">
        <v>966</v>
      </c>
      <c r="T222" s="73">
        <v>28160</v>
      </c>
      <c r="U222" s="71" t="s">
        <v>3522</v>
      </c>
      <c r="V222" s="71" t="b">
        <v>0</v>
      </c>
    </row>
    <row r="223" spans="1:22" ht="17.25">
      <c r="A223" s="70">
        <v>153</v>
      </c>
      <c r="B223" s="70" t="s">
        <v>3027</v>
      </c>
      <c r="C223" s="70" t="s">
        <v>598</v>
      </c>
      <c r="D223" s="70" t="s">
        <v>3026</v>
      </c>
      <c r="E223" s="70" t="s">
        <v>3025</v>
      </c>
      <c r="F223" s="71">
        <v>158</v>
      </c>
      <c r="G223" s="71">
        <v>4</v>
      </c>
      <c r="H223" s="72">
        <v>0.15555555555555556</v>
      </c>
      <c r="I223" s="71" t="b">
        <v>0</v>
      </c>
      <c r="J223" s="71">
        <v>68</v>
      </c>
      <c r="K223" s="71">
        <v>78</v>
      </c>
      <c r="L223" s="71">
        <v>81</v>
      </c>
      <c r="M223" s="71">
        <v>6</v>
      </c>
      <c r="N223" s="71">
        <v>10</v>
      </c>
      <c r="O223" s="71">
        <v>0</v>
      </c>
      <c r="P223" s="71">
        <v>12</v>
      </c>
      <c r="Q223" s="71">
        <v>65</v>
      </c>
      <c r="R223" s="71">
        <v>118</v>
      </c>
      <c r="S223" s="71" t="s">
        <v>96</v>
      </c>
      <c r="T223" s="73">
        <v>41565</v>
      </c>
      <c r="U223" s="71" t="s">
        <v>3523</v>
      </c>
      <c r="V223" s="71" t="b">
        <v>0</v>
      </c>
    </row>
    <row r="224" spans="1:22" ht="17.25">
      <c r="A224" s="70">
        <v>154</v>
      </c>
      <c r="B224" s="70" t="s">
        <v>3024</v>
      </c>
      <c r="C224" s="70" t="s">
        <v>3023</v>
      </c>
      <c r="D224" s="70" t="s">
        <v>3022</v>
      </c>
      <c r="E224" s="70" t="s">
        <v>3021</v>
      </c>
      <c r="F224" s="71">
        <v>16</v>
      </c>
      <c r="G224" s="71">
        <v>425</v>
      </c>
      <c r="H224" s="72">
        <v>0.14166666666666666</v>
      </c>
      <c r="I224" s="71" t="b">
        <v>0</v>
      </c>
      <c r="J224" s="71">
        <v>78</v>
      </c>
      <c r="K224" s="71">
        <v>78</v>
      </c>
      <c r="L224" s="71">
        <v>93</v>
      </c>
      <c r="M224" s="71">
        <v>13</v>
      </c>
      <c r="N224" s="71">
        <v>6</v>
      </c>
      <c r="O224" s="71">
        <v>0</v>
      </c>
      <c r="P224" s="71">
        <v>8</v>
      </c>
      <c r="Q224" s="71">
        <v>67</v>
      </c>
      <c r="R224" s="71">
        <v>125</v>
      </c>
      <c r="S224" s="71" t="s">
        <v>79</v>
      </c>
      <c r="T224" s="73">
        <v>42767</v>
      </c>
      <c r="U224" s="71" t="s">
        <v>3524</v>
      </c>
      <c r="V224" s="71" t="b">
        <v>0</v>
      </c>
    </row>
    <row r="225" spans="1:22" ht="17.25">
      <c r="A225" s="70">
        <v>155</v>
      </c>
      <c r="B225" s="70" t="s">
        <v>3020</v>
      </c>
      <c r="C225" s="70" t="s">
        <v>4602</v>
      </c>
      <c r="D225" s="70" t="s">
        <v>4313</v>
      </c>
      <c r="E225" s="70" t="s">
        <v>188</v>
      </c>
      <c r="F225" s="71">
        <v>23</v>
      </c>
      <c r="G225" s="71">
        <v>18</v>
      </c>
      <c r="H225" s="72" t="s">
        <v>4360</v>
      </c>
      <c r="I225" s="71" t="b">
        <v>1</v>
      </c>
      <c r="J225" s="71">
        <v>83</v>
      </c>
      <c r="K225" s="71">
        <v>70</v>
      </c>
      <c r="L225" s="71">
        <v>74</v>
      </c>
      <c r="M225" s="71">
        <v>6</v>
      </c>
      <c r="N225" s="71">
        <v>14</v>
      </c>
      <c r="O225" s="71">
        <v>0</v>
      </c>
      <c r="P225" s="71">
        <v>11</v>
      </c>
      <c r="Q225" s="71">
        <v>79</v>
      </c>
      <c r="R225" s="71">
        <v>118</v>
      </c>
      <c r="S225" s="71" t="s">
        <v>128</v>
      </c>
      <c r="T225" s="73" t="s">
        <v>4394</v>
      </c>
      <c r="U225" s="71" t="s">
        <v>3525</v>
      </c>
      <c r="V225" s="71" t="b">
        <v>0</v>
      </c>
    </row>
    <row r="226" spans="1:22" ht="17.25">
      <c r="A226" s="70">
        <v>155</v>
      </c>
      <c r="B226" s="70" t="s">
        <v>3020</v>
      </c>
      <c r="C226" s="70" t="s">
        <v>4429</v>
      </c>
      <c r="D226" s="70" t="s">
        <v>4313</v>
      </c>
      <c r="E226" s="70" t="s">
        <v>188</v>
      </c>
      <c r="F226" s="71">
        <v>23</v>
      </c>
      <c r="G226" s="71">
        <v>18</v>
      </c>
      <c r="H226" s="72" t="s">
        <v>4360</v>
      </c>
      <c r="I226" s="71" t="b">
        <v>1</v>
      </c>
      <c r="J226" s="71">
        <v>83</v>
      </c>
      <c r="K226" s="71">
        <v>70</v>
      </c>
      <c r="L226" s="71">
        <v>74</v>
      </c>
      <c r="M226" s="71">
        <v>6</v>
      </c>
      <c r="N226" s="71">
        <v>14</v>
      </c>
      <c r="O226" s="71">
        <v>0</v>
      </c>
      <c r="P226" s="71">
        <v>11</v>
      </c>
      <c r="Q226" s="71">
        <v>79</v>
      </c>
      <c r="R226" s="71">
        <v>118</v>
      </c>
      <c r="S226" s="71" t="s">
        <v>128</v>
      </c>
      <c r="T226" s="73" t="s">
        <v>4394</v>
      </c>
      <c r="U226" s="71" t="s">
        <v>3525</v>
      </c>
      <c r="V226" s="71" t="b">
        <v>0</v>
      </c>
    </row>
    <row r="227" spans="1:22" ht="17.25">
      <c r="A227" s="70">
        <v>156</v>
      </c>
      <c r="B227" s="70" t="s">
        <v>3019</v>
      </c>
      <c r="C227" s="70" t="s">
        <v>2960</v>
      </c>
      <c r="D227" s="70" t="s">
        <v>3018</v>
      </c>
      <c r="E227" s="70" t="s">
        <v>2958</v>
      </c>
      <c r="F227" s="71">
        <v>151</v>
      </c>
      <c r="G227" s="71">
        <v>14</v>
      </c>
      <c r="H227" s="72">
        <v>0.15833333333333333</v>
      </c>
      <c r="I227" s="71" t="b">
        <v>0</v>
      </c>
      <c r="J227" s="71">
        <v>26</v>
      </c>
      <c r="K227" s="71">
        <v>51</v>
      </c>
      <c r="L227" s="71">
        <v>90</v>
      </c>
      <c r="M227" s="71">
        <v>3</v>
      </c>
      <c r="N227" s="71">
        <v>76</v>
      </c>
      <c r="O227" s="71">
        <v>3</v>
      </c>
      <c r="P227" s="71">
        <v>6</v>
      </c>
      <c r="Q227" s="71">
        <v>21</v>
      </c>
      <c r="R227" s="71">
        <v>160</v>
      </c>
      <c r="S227" s="71" t="s">
        <v>74</v>
      </c>
      <c r="T227" s="73">
        <v>45513</v>
      </c>
      <c r="U227" s="71" t="s">
        <v>3526</v>
      </c>
      <c r="V227" s="71" t="b">
        <v>0</v>
      </c>
    </row>
    <row r="228" spans="1:22" ht="17.25">
      <c r="A228" s="70">
        <v>157</v>
      </c>
      <c r="B228" s="70" t="s">
        <v>3017</v>
      </c>
      <c r="C228" s="70" t="s">
        <v>173</v>
      </c>
      <c r="D228" s="70" t="s">
        <v>2224</v>
      </c>
      <c r="E228" s="70" t="s">
        <v>171</v>
      </c>
      <c r="F228" s="71">
        <v>33</v>
      </c>
      <c r="G228" s="71">
        <v>8</v>
      </c>
      <c r="H228" s="72" t="s">
        <v>4343</v>
      </c>
      <c r="I228" s="71" t="b">
        <v>0</v>
      </c>
      <c r="J228" s="71">
        <v>58</v>
      </c>
      <c r="K228" s="71">
        <v>66</v>
      </c>
      <c r="L228" s="71">
        <v>73</v>
      </c>
      <c r="M228" s="71">
        <v>5</v>
      </c>
      <c r="N228" s="71">
        <v>29</v>
      </c>
      <c r="O228" s="71">
        <v>0</v>
      </c>
      <c r="P228" s="71">
        <v>15</v>
      </c>
      <c r="Q228" s="71">
        <v>47</v>
      </c>
      <c r="R228" s="71">
        <v>136</v>
      </c>
      <c r="S228" s="71" t="s">
        <v>96</v>
      </c>
      <c r="T228" s="73" t="s">
        <v>4376</v>
      </c>
      <c r="U228" s="71" t="s">
        <v>3527</v>
      </c>
      <c r="V228" s="71" t="b">
        <v>0</v>
      </c>
    </row>
    <row r="229" spans="1:22" ht="17.25">
      <c r="A229" s="70">
        <v>157</v>
      </c>
      <c r="B229" s="70" t="s">
        <v>3017</v>
      </c>
      <c r="C229" s="70" t="s">
        <v>4603</v>
      </c>
      <c r="D229" s="70" t="s">
        <v>2224</v>
      </c>
      <c r="E229" s="70" t="s">
        <v>171</v>
      </c>
      <c r="F229" s="71">
        <v>33</v>
      </c>
      <c r="G229" s="71">
        <v>8</v>
      </c>
      <c r="H229" s="72" t="s">
        <v>4343</v>
      </c>
      <c r="I229" s="71" t="b">
        <v>0</v>
      </c>
      <c r="J229" s="71">
        <v>58</v>
      </c>
      <c r="K229" s="71">
        <v>66</v>
      </c>
      <c r="L229" s="71">
        <v>73</v>
      </c>
      <c r="M229" s="71">
        <v>5</v>
      </c>
      <c r="N229" s="71">
        <v>29</v>
      </c>
      <c r="O229" s="71">
        <v>0</v>
      </c>
      <c r="P229" s="71">
        <v>15</v>
      </c>
      <c r="Q229" s="71">
        <v>47</v>
      </c>
      <c r="R229" s="71">
        <v>136</v>
      </c>
      <c r="S229" s="71" t="s">
        <v>96</v>
      </c>
      <c r="T229" s="73" t="s">
        <v>4376</v>
      </c>
      <c r="U229" s="71" t="s">
        <v>3527</v>
      </c>
      <c r="V229" s="71" t="b">
        <v>0</v>
      </c>
    </row>
    <row r="230" spans="1:22" ht="17.25">
      <c r="A230" s="70">
        <v>158</v>
      </c>
      <c r="B230" s="70" t="s">
        <v>3016</v>
      </c>
      <c r="C230" s="70" t="s">
        <v>971</v>
      </c>
      <c r="D230" s="70" t="s">
        <v>3015</v>
      </c>
      <c r="E230" s="70" t="s">
        <v>2767</v>
      </c>
      <c r="F230" s="71">
        <v>52</v>
      </c>
      <c r="G230" s="71">
        <v>14</v>
      </c>
      <c r="H230" s="72">
        <v>7.4999999999999997E-2</v>
      </c>
      <c r="I230" s="71" t="b">
        <v>0</v>
      </c>
      <c r="J230" s="71">
        <v>55</v>
      </c>
      <c r="K230" s="71">
        <v>50</v>
      </c>
      <c r="L230" s="71">
        <v>72</v>
      </c>
      <c r="M230" s="71">
        <v>4</v>
      </c>
      <c r="N230" s="71">
        <v>55</v>
      </c>
      <c r="O230" s="71">
        <v>0</v>
      </c>
      <c r="P230" s="71">
        <v>15</v>
      </c>
      <c r="Q230" s="71">
        <v>72</v>
      </c>
      <c r="R230" s="71">
        <v>120</v>
      </c>
      <c r="S230" s="71" t="s">
        <v>29</v>
      </c>
      <c r="T230" s="73">
        <v>22221</v>
      </c>
      <c r="U230" s="71" t="s">
        <v>3528</v>
      </c>
      <c r="V230" s="71" t="b">
        <v>1</v>
      </c>
    </row>
    <row r="231" spans="1:22" ht="17.25">
      <c r="A231" s="70">
        <v>159</v>
      </c>
      <c r="B231" s="70" t="s">
        <v>3014</v>
      </c>
      <c r="C231" s="70" t="s">
        <v>4604</v>
      </c>
      <c r="D231" s="70" t="s">
        <v>3013</v>
      </c>
      <c r="E231" s="70" t="s">
        <v>65</v>
      </c>
      <c r="F231" s="71">
        <v>32</v>
      </c>
      <c r="G231" s="71">
        <v>1</v>
      </c>
      <c r="H231" s="72">
        <v>0.13750000000000001</v>
      </c>
      <c r="I231" s="71" t="b">
        <v>1</v>
      </c>
      <c r="J231" s="71">
        <v>77</v>
      </c>
      <c r="K231" s="71">
        <v>69</v>
      </c>
      <c r="L231" s="71">
        <v>91</v>
      </c>
      <c r="M231" s="71">
        <v>4</v>
      </c>
      <c r="N231" s="71">
        <v>8</v>
      </c>
      <c r="O231" s="71">
        <v>1</v>
      </c>
      <c r="P231" s="71">
        <v>9</v>
      </c>
      <c r="Q231" s="71">
        <v>21</v>
      </c>
      <c r="R231" s="71">
        <v>142</v>
      </c>
      <c r="S231" s="71" t="s">
        <v>48</v>
      </c>
      <c r="T231" s="73">
        <v>45730</v>
      </c>
      <c r="U231" s="71" t="s">
        <v>3386</v>
      </c>
      <c r="V231" s="71" t="b">
        <v>0</v>
      </c>
    </row>
    <row r="232" spans="1:22" ht="17.25">
      <c r="A232" s="70">
        <v>159</v>
      </c>
      <c r="B232" s="70" t="s">
        <v>3014</v>
      </c>
      <c r="C232" s="70" t="s">
        <v>292</v>
      </c>
      <c r="D232" s="70" t="s">
        <v>3013</v>
      </c>
      <c r="E232" s="70" t="s">
        <v>65</v>
      </c>
      <c r="F232" s="71">
        <v>32</v>
      </c>
      <c r="G232" s="71">
        <v>1</v>
      </c>
      <c r="H232" s="72">
        <v>0.13750000000000001</v>
      </c>
      <c r="I232" s="71" t="b">
        <v>1</v>
      </c>
      <c r="J232" s="71">
        <v>77</v>
      </c>
      <c r="K232" s="71">
        <v>69</v>
      </c>
      <c r="L232" s="71">
        <v>91</v>
      </c>
      <c r="M232" s="71">
        <v>4</v>
      </c>
      <c r="N232" s="71">
        <v>8</v>
      </c>
      <c r="O232" s="71">
        <v>1</v>
      </c>
      <c r="P232" s="71">
        <v>9</v>
      </c>
      <c r="Q232" s="71">
        <v>21</v>
      </c>
      <c r="R232" s="71">
        <v>142</v>
      </c>
      <c r="S232" s="71" t="s">
        <v>48</v>
      </c>
      <c r="T232" s="73">
        <v>45730</v>
      </c>
      <c r="U232" s="71" t="s">
        <v>3386</v>
      </c>
      <c r="V232" s="71" t="b">
        <v>0</v>
      </c>
    </row>
    <row r="233" spans="1:22" ht="17.25">
      <c r="A233" s="70">
        <v>159</v>
      </c>
      <c r="B233" s="70" t="s">
        <v>3014</v>
      </c>
      <c r="C233" s="70" t="s">
        <v>67</v>
      </c>
      <c r="D233" s="70" t="s">
        <v>3013</v>
      </c>
      <c r="E233" s="70" t="s">
        <v>65</v>
      </c>
      <c r="F233" s="71">
        <v>32</v>
      </c>
      <c r="G233" s="71">
        <v>1</v>
      </c>
      <c r="H233" s="72">
        <v>0.13750000000000001</v>
      </c>
      <c r="I233" s="71" t="b">
        <v>1</v>
      </c>
      <c r="J233" s="71">
        <v>77</v>
      </c>
      <c r="K233" s="71">
        <v>69</v>
      </c>
      <c r="L233" s="71">
        <v>91</v>
      </c>
      <c r="M233" s="71">
        <v>4</v>
      </c>
      <c r="N233" s="71">
        <v>8</v>
      </c>
      <c r="O233" s="71">
        <v>1</v>
      </c>
      <c r="P233" s="71">
        <v>9</v>
      </c>
      <c r="Q233" s="71">
        <v>21</v>
      </c>
      <c r="R233" s="71">
        <v>142</v>
      </c>
      <c r="S233" s="71" t="s">
        <v>48</v>
      </c>
      <c r="T233" s="73">
        <v>45730</v>
      </c>
      <c r="U233" s="71" t="s">
        <v>3386</v>
      </c>
      <c r="V233" s="71" t="b">
        <v>0</v>
      </c>
    </row>
    <row r="234" spans="1:22" ht="17.25">
      <c r="A234" s="70">
        <v>160</v>
      </c>
      <c r="B234" s="70" t="s">
        <v>3012</v>
      </c>
      <c r="C234" s="70" t="s">
        <v>1703</v>
      </c>
      <c r="D234" s="70" t="s">
        <v>1702</v>
      </c>
      <c r="E234" s="70" t="s">
        <v>1701</v>
      </c>
      <c r="F234" s="71">
        <v>94</v>
      </c>
      <c r="G234" s="71">
        <v>6</v>
      </c>
      <c r="H234" s="72">
        <v>0.18541666666666667</v>
      </c>
      <c r="I234" s="71" t="b">
        <v>0</v>
      </c>
      <c r="J234" s="71">
        <v>68</v>
      </c>
      <c r="K234" s="71">
        <v>78</v>
      </c>
      <c r="L234" s="71">
        <v>91</v>
      </c>
      <c r="M234" s="71">
        <v>3</v>
      </c>
      <c r="N234" s="71">
        <v>8</v>
      </c>
      <c r="O234" s="71">
        <v>1</v>
      </c>
      <c r="P234" s="71">
        <v>42</v>
      </c>
      <c r="Q234" s="71">
        <v>53</v>
      </c>
      <c r="R234" s="71">
        <v>123</v>
      </c>
      <c r="S234" s="71" t="s">
        <v>1700</v>
      </c>
      <c r="T234" s="73">
        <v>39710</v>
      </c>
      <c r="U234" s="71" t="s">
        <v>3529</v>
      </c>
      <c r="V234" s="71" t="b">
        <v>0</v>
      </c>
    </row>
    <row r="235" spans="1:22" ht="17.25">
      <c r="A235" s="70">
        <v>161</v>
      </c>
      <c r="B235" s="70" t="s">
        <v>3011</v>
      </c>
      <c r="C235" s="70" t="s">
        <v>555</v>
      </c>
      <c r="D235" s="70" t="s">
        <v>3010</v>
      </c>
      <c r="E235" s="70" t="s">
        <v>553</v>
      </c>
      <c r="F235" s="71">
        <v>19</v>
      </c>
      <c r="G235" s="71">
        <v>38</v>
      </c>
      <c r="H235" s="72">
        <v>0.10486111111111111</v>
      </c>
      <c r="I235" s="71" t="b">
        <v>0</v>
      </c>
      <c r="J235" s="71">
        <v>65</v>
      </c>
      <c r="K235" s="71">
        <v>67</v>
      </c>
      <c r="L235" s="71">
        <v>91</v>
      </c>
      <c r="M235" s="71">
        <v>3</v>
      </c>
      <c r="N235" s="71">
        <v>49</v>
      </c>
      <c r="O235" s="71">
        <v>0</v>
      </c>
      <c r="P235" s="71">
        <v>21</v>
      </c>
      <c r="Q235" s="71">
        <v>64</v>
      </c>
      <c r="R235" s="71">
        <v>91</v>
      </c>
      <c r="S235" s="71" t="s">
        <v>96</v>
      </c>
      <c r="T235" s="73">
        <v>45324</v>
      </c>
      <c r="U235" s="71" t="s">
        <v>3530</v>
      </c>
      <c r="V235" s="71" t="b">
        <v>0</v>
      </c>
    </row>
    <row r="236" spans="1:22" ht="17.25">
      <c r="A236" s="70">
        <v>162</v>
      </c>
      <c r="B236" s="70" t="s">
        <v>3009</v>
      </c>
      <c r="C236" s="70" t="s">
        <v>46</v>
      </c>
      <c r="D236" s="70" t="s">
        <v>2378</v>
      </c>
      <c r="E236" s="70" t="s">
        <v>386</v>
      </c>
      <c r="F236" s="71">
        <v>49</v>
      </c>
      <c r="G236" s="71">
        <v>6</v>
      </c>
      <c r="H236" s="72">
        <v>0.12152777777777778</v>
      </c>
      <c r="I236" s="71" t="b">
        <v>1</v>
      </c>
      <c r="J236" s="71">
        <v>65</v>
      </c>
      <c r="K236" s="71">
        <v>78</v>
      </c>
      <c r="L236" s="71">
        <v>88</v>
      </c>
      <c r="M236" s="71">
        <v>19</v>
      </c>
      <c r="N236" s="71">
        <v>16</v>
      </c>
      <c r="O236" s="71">
        <v>0</v>
      </c>
      <c r="P236" s="71">
        <v>10</v>
      </c>
      <c r="Q236" s="71">
        <v>67</v>
      </c>
      <c r="R236" s="71">
        <v>148</v>
      </c>
      <c r="S236" s="71" t="s">
        <v>96</v>
      </c>
      <c r="T236" s="73">
        <v>45723</v>
      </c>
      <c r="U236" s="71" t="s">
        <v>3497</v>
      </c>
      <c r="V236" s="71" t="b">
        <v>0</v>
      </c>
    </row>
    <row r="237" spans="1:22" ht="17.25">
      <c r="A237" s="70">
        <v>162</v>
      </c>
      <c r="B237" s="70" t="s">
        <v>3009</v>
      </c>
      <c r="C237" s="70" t="s">
        <v>678</v>
      </c>
      <c r="D237" s="70" t="s">
        <v>2378</v>
      </c>
      <c r="E237" s="70" t="s">
        <v>386</v>
      </c>
      <c r="F237" s="71">
        <v>49</v>
      </c>
      <c r="G237" s="71">
        <v>6</v>
      </c>
      <c r="H237" s="72">
        <v>0.12152777777777778</v>
      </c>
      <c r="I237" s="71" t="b">
        <v>1</v>
      </c>
      <c r="J237" s="71">
        <v>65</v>
      </c>
      <c r="K237" s="71">
        <v>78</v>
      </c>
      <c r="L237" s="71">
        <v>88</v>
      </c>
      <c r="M237" s="71">
        <v>19</v>
      </c>
      <c r="N237" s="71">
        <v>16</v>
      </c>
      <c r="O237" s="71">
        <v>0</v>
      </c>
      <c r="P237" s="71">
        <v>10</v>
      </c>
      <c r="Q237" s="71">
        <v>67</v>
      </c>
      <c r="R237" s="71">
        <v>148</v>
      </c>
      <c r="S237" s="71" t="s">
        <v>96</v>
      </c>
      <c r="T237" s="73">
        <v>45723</v>
      </c>
      <c r="U237" s="71" t="s">
        <v>3497</v>
      </c>
      <c r="V237" s="71" t="b">
        <v>0</v>
      </c>
    </row>
    <row r="238" spans="1:22" ht="17.25">
      <c r="A238" s="70">
        <v>163</v>
      </c>
      <c r="B238" s="70" t="s">
        <v>3008</v>
      </c>
      <c r="C238" s="70" t="s">
        <v>237</v>
      </c>
      <c r="D238" s="70" t="s">
        <v>3007</v>
      </c>
      <c r="E238" s="70" t="s">
        <v>344</v>
      </c>
      <c r="F238" s="71">
        <v>38</v>
      </c>
      <c r="G238" s="71">
        <v>2</v>
      </c>
      <c r="H238" s="72">
        <v>0.15833333333333333</v>
      </c>
      <c r="I238" s="71" t="b">
        <v>0</v>
      </c>
      <c r="J238" s="71">
        <v>66</v>
      </c>
      <c r="K238" s="71">
        <v>75</v>
      </c>
      <c r="L238" s="71">
        <v>90</v>
      </c>
      <c r="M238" s="71">
        <v>12</v>
      </c>
      <c r="N238" s="71">
        <v>0</v>
      </c>
      <c r="O238" s="71">
        <v>0</v>
      </c>
      <c r="P238" s="71">
        <v>20</v>
      </c>
      <c r="Q238" s="71">
        <v>38</v>
      </c>
      <c r="R238" s="71">
        <v>124</v>
      </c>
      <c r="S238" s="71" t="s">
        <v>26</v>
      </c>
      <c r="T238" s="73">
        <v>45688</v>
      </c>
      <c r="U238" s="71" t="s">
        <v>3531</v>
      </c>
      <c r="V238" s="71" t="b">
        <v>0</v>
      </c>
    </row>
    <row r="239" spans="1:22" ht="17.25">
      <c r="A239" s="70">
        <v>164</v>
      </c>
      <c r="B239" s="70" t="s">
        <v>3006</v>
      </c>
      <c r="C239" s="70" t="s">
        <v>151</v>
      </c>
      <c r="D239" s="70" t="s">
        <v>3005</v>
      </c>
      <c r="E239" s="70" t="s">
        <v>44</v>
      </c>
      <c r="F239" s="71">
        <v>28</v>
      </c>
      <c r="G239" s="71">
        <v>2</v>
      </c>
      <c r="H239" s="72" t="s">
        <v>4338</v>
      </c>
      <c r="I239" s="71" t="b">
        <v>0</v>
      </c>
      <c r="J239" s="71">
        <v>55</v>
      </c>
      <c r="K239" s="71">
        <v>42</v>
      </c>
      <c r="L239" s="71">
        <v>69</v>
      </c>
      <c r="M239" s="71">
        <v>4</v>
      </c>
      <c r="N239" s="71">
        <v>68</v>
      </c>
      <c r="O239" s="71">
        <v>0</v>
      </c>
      <c r="P239" s="71">
        <v>10</v>
      </c>
      <c r="Q239" s="71">
        <v>31</v>
      </c>
      <c r="R239" s="71">
        <v>86</v>
      </c>
      <c r="S239" s="71" t="s">
        <v>96</v>
      </c>
      <c r="T239" s="73" t="s">
        <v>4345</v>
      </c>
      <c r="U239" s="71" t="s">
        <v>3532</v>
      </c>
      <c r="V239" s="71" t="b">
        <v>0</v>
      </c>
    </row>
    <row r="240" spans="1:22" ht="17.25">
      <c r="A240" s="70">
        <v>165</v>
      </c>
      <c r="B240" s="70" t="s">
        <v>3004</v>
      </c>
      <c r="C240" s="70" t="s">
        <v>159</v>
      </c>
      <c r="D240" s="70" t="s">
        <v>3003</v>
      </c>
      <c r="E240" s="70" t="s">
        <v>157</v>
      </c>
      <c r="F240" s="71">
        <v>4</v>
      </c>
      <c r="G240" s="71">
        <v>467</v>
      </c>
      <c r="H240" s="72">
        <v>0.18263888888888888</v>
      </c>
      <c r="I240" s="71" t="b">
        <v>0</v>
      </c>
      <c r="J240" s="71">
        <v>60</v>
      </c>
      <c r="K240" s="71">
        <v>45</v>
      </c>
      <c r="L240" s="71">
        <v>89</v>
      </c>
      <c r="M240" s="71">
        <v>2</v>
      </c>
      <c r="N240" s="71">
        <v>16</v>
      </c>
      <c r="O240" s="71">
        <v>0</v>
      </c>
      <c r="P240" s="71">
        <v>11</v>
      </c>
      <c r="Q240" s="71">
        <v>17</v>
      </c>
      <c r="R240" s="71">
        <v>95</v>
      </c>
      <c r="S240" s="71" t="s">
        <v>96</v>
      </c>
      <c r="T240" s="73">
        <v>43004</v>
      </c>
      <c r="U240" s="71" t="s">
        <v>3533</v>
      </c>
      <c r="V240" s="71" t="b">
        <v>0</v>
      </c>
    </row>
    <row r="241" spans="1:22" ht="17.25">
      <c r="A241" s="70">
        <v>166</v>
      </c>
      <c r="B241" s="70" t="s">
        <v>3002</v>
      </c>
      <c r="C241" s="70" t="s">
        <v>373</v>
      </c>
      <c r="D241" s="70" t="s">
        <v>3001</v>
      </c>
      <c r="E241" s="70" t="s">
        <v>2199</v>
      </c>
      <c r="F241" s="71">
        <v>24</v>
      </c>
      <c r="G241" s="71">
        <v>400</v>
      </c>
      <c r="H241" s="72">
        <v>0.1388888888888889</v>
      </c>
      <c r="I241" s="71" t="b">
        <v>0</v>
      </c>
      <c r="J241" s="71">
        <v>35</v>
      </c>
      <c r="K241" s="71">
        <v>30</v>
      </c>
      <c r="L241" s="71">
        <v>83</v>
      </c>
      <c r="M241" s="71">
        <v>3</v>
      </c>
      <c r="N241" s="71">
        <v>93</v>
      </c>
      <c r="O241" s="71">
        <v>0</v>
      </c>
      <c r="P241" s="71">
        <v>10</v>
      </c>
      <c r="Q241" s="71">
        <v>12</v>
      </c>
      <c r="R241" s="71">
        <v>115</v>
      </c>
      <c r="S241" s="71" t="s">
        <v>96</v>
      </c>
      <c r="T241" s="73">
        <v>43209</v>
      </c>
      <c r="U241" s="71" t="s">
        <v>3534</v>
      </c>
      <c r="V241" s="71" t="b">
        <v>0</v>
      </c>
    </row>
    <row r="242" spans="1:22" ht="17.25">
      <c r="A242" s="70">
        <v>166</v>
      </c>
      <c r="B242" s="70" t="s">
        <v>3002</v>
      </c>
      <c r="C242" s="70" t="s">
        <v>4605</v>
      </c>
      <c r="D242" s="70" t="s">
        <v>3001</v>
      </c>
      <c r="E242" s="70" t="s">
        <v>2199</v>
      </c>
      <c r="F242" s="71">
        <v>24</v>
      </c>
      <c r="G242" s="71">
        <v>400</v>
      </c>
      <c r="H242" s="72">
        <v>0.1388888888888889</v>
      </c>
      <c r="I242" s="71" t="b">
        <v>0</v>
      </c>
      <c r="J242" s="71">
        <v>35</v>
      </c>
      <c r="K242" s="71">
        <v>30</v>
      </c>
      <c r="L242" s="71">
        <v>83</v>
      </c>
      <c r="M242" s="71">
        <v>3</v>
      </c>
      <c r="N242" s="71">
        <v>93</v>
      </c>
      <c r="O242" s="71">
        <v>0</v>
      </c>
      <c r="P242" s="71">
        <v>10</v>
      </c>
      <c r="Q242" s="71">
        <v>12</v>
      </c>
      <c r="R242" s="71">
        <v>115</v>
      </c>
      <c r="S242" s="71" t="s">
        <v>96</v>
      </c>
      <c r="T242" s="73">
        <v>43209</v>
      </c>
      <c r="U242" s="71" t="s">
        <v>3534</v>
      </c>
      <c r="V242" s="71" t="b">
        <v>0</v>
      </c>
    </row>
    <row r="243" spans="1:22" ht="17.25">
      <c r="A243" s="70">
        <v>167</v>
      </c>
      <c r="B243" s="70" t="s">
        <v>3000</v>
      </c>
      <c r="C243" s="70" t="s">
        <v>97</v>
      </c>
      <c r="D243" s="70" t="s">
        <v>2999</v>
      </c>
      <c r="E243" s="70" t="s">
        <v>97</v>
      </c>
      <c r="F243" s="71">
        <v>24</v>
      </c>
      <c r="G243" s="71">
        <v>53</v>
      </c>
      <c r="H243" s="72">
        <v>0.16041666666666668</v>
      </c>
      <c r="I243" s="71" t="b">
        <v>0</v>
      </c>
      <c r="J243" s="71">
        <v>59</v>
      </c>
      <c r="K243" s="71">
        <v>79</v>
      </c>
      <c r="L243" s="71">
        <v>91</v>
      </c>
      <c r="M243" s="71">
        <v>4</v>
      </c>
      <c r="N243" s="71">
        <v>0</v>
      </c>
      <c r="O243" s="71">
        <v>0</v>
      </c>
      <c r="P243" s="71">
        <v>12</v>
      </c>
      <c r="Q243" s="71">
        <v>49</v>
      </c>
      <c r="R243" s="71">
        <v>95</v>
      </c>
      <c r="S243" s="71" t="s">
        <v>96</v>
      </c>
      <c r="T243" s="73">
        <v>41939</v>
      </c>
      <c r="U243" s="71" t="s">
        <v>3535</v>
      </c>
      <c r="V243" s="71" t="b">
        <v>0</v>
      </c>
    </row>
    <row r="244" spans="1:22" ht="17.25">
      <c r="A244" s="70">
        <v>168</v>
      </c>
      <c r="B244" s="70" t="s">
        <v>2998</v>
      </c>
      <c r="C244" s="70" t="s">
        <v>2091</v>
      </c>
      <c r="D244" s="70" t="s">
        <v>2997</v>
      </c>
      <c r="E244" s="70" t="s">
        <v>2089</v>
      </c>
      <c r="F244" s="71">
        <v>138</v>
      </c>
      <c r="G244" s="71">
        <v>1</v>
      </c>
      <c r="H244" s="72" t="s">
        <v>4326</v>
      </c>
      <c r="I244" s="71" t="b">
        <v>0</v>
      </c>
      <c r="J244" s="71">
        <v>68</v>
      </c>
      <c r="K244" s="71">
        <v>58</v>
      </c>
      <c r="L244" s="71">
        <v>71</v>
      </c>
      <c r="M244" s="71">
        <v>5</v>
      </c>
      <c r="N244" s="71">
        <v>45</v>
      </c>
      <c r="O244" s="71">
        <v>2</v>
      </c>
      <c r="P244" s="71">
        <v>12</v>
      </c>
      <c r="Q244" s="71">
        <v>51</v>
      </c>
      <c r="R244" s="71">
        <v>112</v>
      </c>
      <c r="S244" s="71" t="s">
        <v>79</v>
      </c>
      <c r="T244" s="73" t="s">
        <v>4392</v>
      </c>
      <c r="U244" s="71" t="s">
        <v>3536</v>
      </c>
      <c r="V244" s="71" t="b">
        <v>0</v>
      </c>
    </row>
    <row r="245" spans="1:22" ht="17.25">
      <c r="A245" s="70">
        <v>169</v>
      </c>
      <c r="B245" s="70" t="s">
        <v>2996</v>
      </c>
      <c r="C245" s="70" t="s">
        <v>4606</v>
      </c>
      <c r="D245" s="70" t="s">
        <v>2995</v>
      </c>
      <c r="E245" s="70" t="s">
        <v>2994</v>
      </c>
      <c r="F245" s="71">
        <v>128</v>
      </c>
      <c r="G245" s="71">
        <v>3</v>
      </c>
      <c r="H245" s="72">
        <v>0.13750000000000001</v>
      </c>
      <c r="I245" s="71" t="b">
        <v>0</v>
      </c>
      <c r="J245" s="71">
        <v>80</v>
      </c>
      <c r="K245" s="71">
        <v>78</v>
      </c>
      <c r="L245" s="71">
        <v>81</v>
      </c>
      <c r="M245" s="71">
        <v>8</v>
      </c>
      <c r="N245" s="71">
        <v>10</v>
      </c>
      <c r="O245" s="71">
        <v>0</v>
      </c>
      <c r="P245" s="71">
        <v>13</v>
      </c>
      <c r="Q245" s="71">
        <v>68</v>
      </c>
      <c r="R245" s="71">
        <v>126</v>
      </c>
      <c r="S245" s="71" t="s">
        <v>247</v>
      </c>
      <c r="T245" s="73">
        <v>45457</v>
      </c>
      <c r="U245" s="71" t="s">
        <v>3537</v>
      </c>
      <c r="V245" s="71" t="b">
        <v>0</v>
      </c>
    </row>
    <row r="246" spans="1:22" ht="17.25">
      <c r="A246" s="70">
        <v>169</v>
      </c>
      <c r="B246" s="70" t="s">
        <v>2996</v>
      </c>
      <c r="C246" s="70" t="s">
        <v>4430</v>
      </c>
      <c r="D246" s="70" t="s">
        <v>2995</v>
      </c>
      <c r="E246" s="70" t="s">
        <v>2994</v>
      </c>
      <c r="F246" s="71">
        <v>128</v>
      </c>
      <c r="G246" s="71">
        <v>3</v>
      </c>
      <c r="H246" s="72">
        <v>0.13750000000000001</v>
      </c>
      <c r="I246" s="71" t="b">
        <v>0</v>
      </c>
      <c r="J246" s="71">
        <v>80</v>
      </c>
      <c r="K246" s="71">
        <v>78</v>
      </c>
      <c r="L246" s="71">
        <v>81</v>
      </c>
      <c r="M246" s="71">
        <v>8</v>
      </c>
      <c r="N246" s="71">
        <v>10</v>
      </c>
      <c r="O246" s="71">
        <v>0</v>
      </c>
      <c r="P246" s="71">
        <v>13</v>
      </c>
      <c r="Q246" s="71">
        <v>68</v>
      </c>
      <c r="R246" s="71">
        <v>126</v>
      </c>
      <c r="S246" s="71" t="s">
        <v>247</v>
      </c>
      <c r="T246" s="73">
        <v>45457</v>
      </c>
      <c r="U246" s="71" t="s">
        <v>3537</v>
      </c>
      <c r="V246" s="71" t="b">
        <v>0</v>
      </c>
    </row>
    <row r="247" spans="1:22" ht="17.25">
      <c r="A247" s="70">
        <v>170</v>
      </c>
      <c r="B247" s="70" t="s">
        <v>2993</v>
      </c>
      <c r="C247" s="70" t="s">
        <v>4607</v>
      </c>
      <c r="D247" s="70" t="s">
        <v>345</v>
      </c>
      <c r="E247" s="70" t="s">
        <v>344</v>
      </c>
      <c r="F247" s="71">
        <v>13</v>
      </c>
      <c r="G247" s="71">
        <v>10</v>
      </c>
      <c r="H247" s="72">
        <v>0.15138888888888888</v>
      </c>
      <c r="I247" s="71" t="b">
        <v>1</v>
      </c>
      <c r="J247" s="71">
        <v>54</v>
      </c>
      <c r="K247" s="71">
        <v>66</v>
      </c>
      <c r="L247" s="71">
        <v>88</v>
      </c>
      <c r="M247" s="71">
        <v>8</v>
      </c>
      <c r="N247" s="71">
        <v>4</v>
      </c>
      <c r="O247" s="71">
        <v>0</v>
      </c>
      <c r="P247" s="71">
        <v>57</v>
      </c>
      <c r="Q247" s="71">
        <v>55</v>
      </c>
      <c r="R247" s="71">
        <v>127</v>
      </c>
      <c r="S247" s="71" t="s">
        <v>26</v>
      </c>
      <c r="T247" s="73">
        <v>45596</v>
      </c>
      <c r="U247" s="71" t="s">
        <v>3538</v>
      </c>
      <c r="V247" s="71" t="b">
        <v>0</v>
      </c>
    </row>
    <row r="248" spans="1:22" ht="17.25">
      <c r="A248" s="70">
        <v>170</v>
      </c>
      <c r="B248" s="70" t="s">
        <v>2993</v>
      </c>
      <c r="C248" s="70" t="s">
        <v>237</v>
      </c>
      <c r="D248" s="70" t="s">
        <v>345</v>
      </c>
      <c r="E248" s="70" t="s">
        <v>344</v>
      </c>
      <c r="F248" s="71">
        <v>13</v>
      </c>
      <c r="G248" s="71">
        <v>10</v>
      </c>
      <c r="H248" s="72">
        <v>0.15138888888888888</v>
      </c>
      <c r="I248" s="71" t="b">
        <v>1</v>
      </c>
      <c r="J248" s="71">
        <v>54</v>
      </c>
      <c r="K248" s="71">
        <v>66</v>
      </c>
      <c r="L248" s="71">
        <v>88</v>
      </c>
      <c r="M248" s="71">
        <v>8</v>
      </c>
      <c r="N248" s="71">
        <v>4</v>
      </c>
      <c r="O248" s="71">
        <v>0</v>
      </c>
      <c r="P248" s="71">
        <v>57</v>
      </c>
      <c r="Q248" s="71">
        <v>55</v>
      </c>
      <c r="R248" s="71">
        <v>127</v>
      </c>
      <c r="S248" s="71" t="s">
        <v>26</v>
      </c>
      <c r="T248" s="73">
        <v>45596</v>
      </c>
      <c r="U248" s="71" t="s">
        <v>3538</v>
      </c>
      <c r="V248" s="71" t="b">
        <v>0</v>
      </c>
    </row>
    <row r="249" spans="1:22" ht="17.25">
      <c r="A249" s="70">
        <v>171</v>
      </c>
      <c r="B249" s="70" t="s">
        <v>2992</v>
      </c>
      <c r="C249" s="70" t="s">
        <v>4608</v>
      </c>
      <c r="D249" s="70" t="s">
        <v>2991</v>
      </c>
      <c r="E249" s="70" t="s">
        <v>2990</v>
      </c>
      <c r="F249" s="71">
        <v>193</v>
      </c>
      <c r="G249" s="71">
        <v>1</v>
      </c>
      <c r="H249" s="72">
        <v>0.11666666666666667</v>
      </c>
      <c r="I249" s="71" t="b">
        <v>1</v>
      </c>
      <c r="J249" s="71">
        <v>80</v>
      </c>
      <c r="K249" s="71">
        <v>75</v>
      </c>
      <c r="L249" s="71">
        <v>80</v>
      </c>
      <c r="M249" s="71">
        <v>12</v>
      </c>
      <c r="N249" s="71">
        <v>8</v>
      </c>
      <c r="O249" s="71">
        <v>0</v>
      </c>
      <c r="P249" s="71">
        <v>13</v>
      </c>
      <c r="Q249" s="71">
        <v>68</v>
      </c>
      <c r="R249" s="71">
        <v>128</v>
      </c>
      <c r="S249" s="71" t="s">
        <v>312</v>
      </c>
      <c r="T249" s="73">
        <v>45786</v>
      </c>
      <c r="U249" s="71" t="s">
        <v>3539</v>
      </c>
      <c r="V249" s="71" t="b">
        <v>0</v>
      </c>
    </row>
    <row r="250" spans="1:22" ht="17.25">
      <c r="A250" s="70">
        <v>171</v>
      </c>
      <c r="B250" s="70" t="s">
        <v>2992</v>
      </c>
      <c r="C250" s="70" t="s">
        <v>4431</v>
      </c>
      <c r="D250" s="70" t="s">
        <v>2991</v>
      </c>
      <c r="E250" s="70" t="s">
        <v>2990</v>
      </c>
      <c r="F250" s="71">
        <v>193</v>
      </c>
      <c r="G250" s="71">
        <v>1</v>
      </c>
      <c r="H250" s="72">
        <v>0.11666666666666667</v>
      </c>
      <c r="I250" s="71" t="b">
        <v>1</v>
      </c>
      <c r="J250" s="71">
        <v>80</v>
      </c>
      <c r="K250" s="71">
        <v>75</v>
      </c>
      <c r="L250" s="71">
        <v>80</v>
      </c>
      <c r="M250" s="71">
        <v>12</v>
      </c>
      <c r="N250" s="71">
        <v>8</v>
      </c>
      <c r="O250" s="71">
        <v>0</v>
      </c>
      <c r="P250" s="71">
        <v>13</v>
      </c>
      <c r="Q250" s="71">
        <v>68</v>
      </c>
      <c r="R250" s="71">
        <v>128</v>
      </c>
      <c r="S250" s="71" t="s">
        <v>312</v>
      </c>
      <c r="T250" s="73">
        <v>45786</v>
      </c>
      <c r="U250" s="71" t="s">
        <v>3539</v>
      </c>
      <c r="V250" s="71" t="b">
        <v>0</v>
      </c>
    </row>
    <row r="251" spans="1:22" ht="17.25">
      <c r="A251" s="70">
        <v>172</v>
      </c>
      <c r="B251" s="70" t="s">
        <v>2989</v>
      </c>
      <c r="C251" s="70" t="s">
        <v>4907</v>
      </c>
      <c r="D251" s="70" t="s">
        <v>2988</v>
      </c>
      <c r="E251" s="70" t="s">
        <v>2987</v>
      </c>
      <c r="F251" s="71">
        <v>132</v>
      </c>
      <c r="G251" s="71">
        <v>3</v>
      </c>
      <c r="H251" s="72">
        <v>0.13472222222222222</v>
      </c>
      <c r="I251" s="71" t="b">
        <v>0</v>
      </c>
      <c r="J251" s="71">
        <v>60</v>
      </c>
      <c r="K251" s="71">
        <v>55</v>
      </c>
      <c r="L251" s="71">
        <v>74</v>
      </c>
      <c r="M251" s="71">
        <v>4</v>
      </c>
      <c r="N251" s="71">
        <v>35</v>
      </c>
      <c r="O251" s="71">
        <v>0</v>
      </c>
      <c r="P251" s="71">
        <v>15</v>
      </c>
      <c r="Q251" s="71">
        <v>75</v>
      </c>
      <c r="R251" s="71">
        <v>140</v>
      </c>
      <c r="S251" s="71" t="s">
        <v>834</v>
      </c>
      <c r="T251" s="73">
        <v>22883</v>
      </c>
      <c r="U251" s="71" t="s">
        <v>3540</v>
      </c>
      <c r="V251" s="71" t="b">
        <v>0</v>
      </c>
    </row>
    <row r="252" spans="1:22" ht="17.25">
      <c r="A252" s="70">
        <v>173</v>
      </c>
      <c r="B252" s="70" t="s">
        <v>2986</v>
      </c>
      <c r="C252" s="70" t="s">
        <v>1766</v>
      </c>
      <c r="D252" s="70" t="s">
        <v>2396</v>
      </c>
      <c r="E252" s="70" t="s">
        <v>1764</v>
      </c>
      <c r="F252" s="71">
        <v>62</v>
      </c>
      <c r="G252" s="71">
        <v>135</v>
      </c>
      <c r="H252" s="72">
        <v>0.2013888888888889</v>
      </c>
      <c r="I252" s="71" t="b">
        <v>0</v>
      </c>
      <c r="J252" s="71">
        <v>37</v>
      </c>
      <c r="K252" s="71">
        <v>47</v>
      </c>
      <c r="L252" s="71">
        <v>85</v>
      </c>
      <c r="M252" s="71">
        <v>3</v>
      </c>
      <c r="N252" s="71">
        <v>2</v>
      </c>
      <c r="O252" s="71">
        <v>46</v>
      </c>
      <c r="P252" s="71">
        <v>11</v>
      </c>
      <c r="Q252" s="71">
        <v>17</v>
      </c>
      <c r="R252" s="71">
        <v>94</v>
      </c>
      <c r="S252" s="71" t="s">
        <v>777</v>
      </c>
      <c r="T252" s="73">
        <v>42895</v>
      </c>
      <c r="U252" s="71" t="s">
        <v>3541</v>
      </c>
      <c r="V252" s="71" t="b">
        <v>0</v>
      </c>
    </row>
    <row r="253" spans="1:22" ht="17.25">
      <c r="A253" s="70">
        <v>174</v>
      </c>
      <c r="B253" s="70" t="s">
        <v>2985</v>
      </c>
      <c r="C253" s="70" t="s">
        <v>1112</v>
      </c>
      <c r="D253" s="70" t="s">
        <v>2984</v>
      </c>
      <c r="E253" s="70" t="s">
        <v>1110</v>
      </c>
      <c r="F253" s="71">
        <v>166</v>
      </c>
      <c r="G253" s="71">
        <v>1</v>
      </c>
      <c r="H253" s="72" t="s">
        <v>4361</v>
      </c>
      <c r="I253" s="71" t="b">
        <v>0</v>
      </c>
      <c r="J253" s="71">
        <v>54</v>
      </c>
      <c r="K253" s="71">
        <v>62</v>
      </c>
      <c r="L253" s="71">
        <v>71</v>
      </c>
      <c r="M253" s="71">
        <v>4</v>
      </c>
      <c r="N253" s="71">
        <v>48</v>
      </c>
      <c r="O253" s="71">
        <v>1</v>
      </c>
      <c r="P253" s="71">
        <v>14</v>
      </c>
      <c r="Q253" s="71">
        <v>36</v>
      </c>
      <c r="R253" s="71">
        <v>120</v>
      </c>
      <c r="S253" s="71" t="s">
        <v>1109</v>
      </c>
      <c r="T253" s="73" t="s">
        <v>4392</v>
      </c>
      <c r="U253" s="71" t="s">
        <v>3542</v>
      </c>
      <c r="V253" s="71" t="b">
        <v>0</v>
      </c>
    </row>
    <row r="254" spans="1:22" ht="17.25">
      <c r="A254" s="70">
        <v>175</v>
      </c>
      <c r="B254" s="70" t="s">
        <v>2983</v>
      </c>
      <c r="C254" s="70" t="s">
        <v>2061</v>
      </c>
      <c r="D254" s="70" t="s">
        <v>2982</v>
      </c>
      <c r="E254" s="70" t="s">
        <v>49</v>
      </c>
      <c r="F254" s="71">
        <v>54</v>
      </c>
      <c r="G254" s="71">
        <v>2</v>
      </c>
      <c r="H254" s="72" t="s">
        <v>4322</v>
      </c>
      <c r="I254" s="71" t="b">
        <v>1</v>
      </c>
      <c r="J254" s="71">
        <v>74</v>
      </c>
      <c r="K254" s="71">
        <v>68</v>
      </c>
      <c r="L254" s="71">
        <v>73</v>
      </c>
      <c r="M254" s="71">
        <v>7</v>
      </c>
      <c r="N254" s="71">
        <v>18</v>
      </c>
      <c r="O254" s="71">
        <v>0</v>
      </c>
      <c r="P254" s="71">
        <v>15</v>
      </c>
      <c r="Q254" s="71">
        <v>54</v>
      </c>
      <c r="R254" s="71">
        <v>130</v>
      </c>
      <c r="S254" s="71" t="s">
        <v>48</v>
      </c>
      <c r="T254" s="73" t="s">
        <v>4385</v>
      </c>
      <c r="U254" s="71" t="s">
        <v>3543</v>
      </c>
      <c r="V254" s="71" t="b">
        <v>0</v>
      </c>
    </row>
    <row r="255" spans="1:22" ht="17.25">
      <c r="A255" s="70">
        <v>175</v>
      </c>
      <c r="B255" s="70" t="s">
        <v>2983</v>
      </c>
      <c r="C255" s="70" t="s">
        <v>51</v>
      </c>
      <c r="D255" s="70" t="s">
        <v>2982</v>
      </c>
      <c r="E255" s="70" t="s">
        <v>49</v>
      </c>
      <c r="F255" s="71">
        <v>54</v>
      </c>
      <c r="G255" s="71">
        <v>2</v>
      </c>
      <c r="H255" s="72" t="s">
        <v>4322</v>
      </c>
      <c r="I255" s="71" t="b">
        <v>1</v>
      </c>
      <c r="J255" s="71">
        <v>74</v>
      </c>
      <c r="K255" s="71">
        <v>68</v>
      </c>
      <c r="L255" s="71">
        <v>73</v>
      </c>
      <c r="M255" s="71">
        <v>7</v>
      </c>
      <c r="N255" s="71">
        <v>18</v>
      </c>
      <c r="O255" s="71">
        <v>0</v>
      </c>
      <c r="P255" s="71">
        <v>15</v>
      </c>
      <c r="Q255" s="71">
        <v>54</v>
      </c>
      <c r="R255" s="71">
        <v>130</v>
      </c>
      <c r="S255" s="71" t="s">
        <v>48</v>
      </c>
      <c r="T255" s="73" t="s">
        <v>4385</v>
      </c>
      <c r="U255" s="71" t="s">
        <v>3543</v>
      </c>
      <c r="V255" s="71" t="b">
        <v>0</v>
      </c>
    </row>
    <row r="256" spans="1:22" ht="17.25">
      <c r="A256" s="70">
        <v>176</v>
      </c>
      <c r="B256" s="70" t="s">
        <v>2981</v>
      </c>
      <c r="C256" s="70" t="s">
        <v>446</v>
      </c>
      <c r="D256" s="70" t="s">
        <v>2409</v>
      </c>
      <c r="E256" s="70" t="s">
        <v>444</v>
      </c>
      <c r="F256" s="71">
        <v>68</v>
      </c>
      <c r="G256" s="71">
        <v>4</v>
      </c>
      <c r="H256" s="72" t="s">
        <v>4317</v>
      </c>
      <c r="I256" s="71" t="b">
        <v>1</v>
      </c>
      <c r="J256" s="71">
        <v>82</v>
      </c>
      <c r="K256" s="71">
        <v>76</v>
      </c>
      <c r="L256" s="71">
        <v>75</v>
      </c>
      <c r="M256" s="71">
        <v>7</v>
      </c>
      <c r="N256" s="71">
        <v>16</v>
      </c>
      <c r="O256" s="71">
        <v>0</v>
      </c>
      <c r="P256" s="71">
        <v>11</v>
      </c>
      <c r="Q256" s="71">
        <v>80</v>
      </c>
      <c r="R256" s="71">
        <v>124</v>
      </c>
      <c r="S256" s="71" t="s">
        <v>128</v>
      </c>
      <c r="T256" s="73" t="s">
        <v>4390</v>
      </c>
      <c r="U256" s="71" t="s">
        <v>3544</v>
      </c>
      <c r="V256" s="71" t="b">
        <v>0</v>
      </c>
    </row>
    <row r="257" spans="1:22" ht="17.25">
      <c r="A257" s="70">
        <v>177</v>
      </c>
      <c r="B257" s="70" t="s">
        <v>2980</v>
      </c>
      <c r="C257" s="70" t="s">
        <v>471</v>
      </c>
      <c r="D257" s="70" t="s">
        <v>2979</v>
      </c>
      <c r="E257" s="70" t="s">
        <v>469</v>
      </c>
      <c r="F257" s="71">
        <v>125</v>
      </c>
      <c r="G257" s="71">
        <v>8</v>
      </c>
      <c r="H257" s="72">
        <v>0.15902777777777777</v>
      </c>
      <c r="I257" s="71" t="b">
        <v>0</v>
      </c>
      <c r="J257" s="71">
        <v>26</v>
      </c>
      <c r="K257" s="71">
        <v>39</v>
      </c>
      <c r="L257" s="71">
        <v>82</v>
      </c>
      <c r="M257" s="71">
        <v>3</v>
      </c>
      <c r="N257" s="71">
        <v>6</v>
      </c>
      <c r="O257" s="71">
        <v>0</v>
      </c>
      <c r="P257" s="71">
        <v>11</v>
      </c>
      <c r="Q257" s="71">
        <v>12</v>
      </c>
      <c r="R257" s="71">
        <v>76</v>
      </c>
      <c r="S257" s="71" t="s">
        <v>79</v>
      </c>
      <c r="T257" s="73">
        <v>35571</v>
      </c>
      <c r="U257" s="71" t="s">
        <v>3545</v>
      </c>
      <c r="V257" s="71" t="b">
        <v>0</v>
      </c>
    </row>
    <row r="258" spans="1:22" ht="17.25">
      <c r="A258" s="70">
        <v>178</v>
      </c>
      <c r="B258" s="70" t="s">
        <v>2978</v>
      </c>
      <c r="C258" s="70" t="s">
        <v>301</v>
      </c>
      <c r="D258" s="70" t="s">
        <v>2977</v>
      </c>
      <c r="E258" s="70" t="s">
        <v>44</v>
      </c>
      <c r="F258" s="71">
        <v>174</v>
      </c>
      <c r="G258" s="71">
        <v>1</v>
      </c>
      <c r="H258" s="72" t="s">
        <v>4315</v>
      </c>
      <c r="I258" s="71" t="b">
        <v>0</v>
      </c>
      <c r="J258" s="71">
        <v>76</v>
      </c>
      <c r="K258" s="71">
        <v>65</v>
      </c>
      <c r="L258" s="71">
        <v>73</v>
      </c>
      <c r="M258" s="71">
        <v>9</v>
      </c>
      <c r="N258" s="71">
        <v>24</v>
      </c>
      <c r="O258" s="71">
        <v>0</v>
      </c>
      <c r="P258" s="71">
        <v>14</v>
      </c>
      <c r="Q258" s="71">
        <v>68</v>
      </c>
      <c r="R258" s="71">
        <v>122</v>
      </c>
      <c r="S258" s="71" t="s">
        <v>183</v>
      </c>
      <c r="T258" s="73" t="s">
        <v>4359</v>
      </c>
      <c r="U258" s="71" t="s">
        <v>3501</v>
      </c>
      <c r="V258" s="71" t="b">
        <v>0</v>
      </c>
    </row>
    <row r="259" spans="1:22" ht="17.25">
      <c r="A259" s="70">
        <v>179</v>
      </c>
      <c r="B259" s="70" t="s">
        <v>2976</v>
      </c>
      <c r="C259" s="70" t="s">
        <v>2975</v>
      </c>
      <c r="D259" s="70" t="s">
        <v>2974</v>
      </c>
      <c r="E259" s="70" t="s">
        <v>120</v>
      </c>
      <c r="F259" s="71">
        <v>108</v>
      </c>
      <c r="G259" s="71">
        <v>2</v>
      </c>
      <c r="H259" s="72">
        <v>0.12152777777777778</v>
      </c>
      <c r="I259" s="71" t="b">
        <v>0</v>
      </c>
      <c r="J259" s="71">
        <v>78</v>
      </c>
      <c r="K259" s="71">
        <v>81</v>
      </c>
      <c r="L259" s="71">
        <v>92</v>
      </c>
      <c r="M259" s="71">
        <v>6</v>
      </c>
      <c r="N259" s="71">
        <v>0</v>
      </c>
      <c r="O259" s="71">
        <v>0</v>
      </c>
      <c r="P259" s="71">
        <v>14</v>
      </c>
      <c r="Q259" s="71">
        <v>60</v>
      </c>
      <c r="R259" s="71">
        <v>127</v>
      </c>
      <c r="S259" s="71" t="s">
        <v>115</v>
      </c>
      <c r="T259" s="73">
        <v>45702</v>
      </c>
      <c r="U259" s="71" t="s">
        <v>3546</v>
      </c>
      <c r="V259" s="71" t="b">
        <v>0</v>
      </c>
    </row>
    <row r="260" spans="1:22" ht="17.25">
      <c r="A260" s="70">
        <v>180</v>
      </c>
      <c r="B260" s="70" t="s">
        <v>2973</v>
      </c>
      <c r="C260" s="70" t="s">
        <v>705</v>
      </c>
      <c r="D260" s="70" t="s">
        <v>2972</v>
      </c>
      <c r="E260" s="70" t="s">
        <v>1412</v>
      </c>
      <c r="F260" s="71">
        <v>31</v>
      </c>
      <c r="G260" s="71">
        <v>17</v>
      </c>
      <c r="H260" s="72">
        <v>0.1701388888888889</v>
      </c>
      <c r="I260" s="71" t="b">
        <v>0</v>
      </c>
      <c r="J260" s="71">
        <v>59</v>
      </c>
      <c r="K260" s="71">
        <v>63</v>
      </c>
      <c r="L260" s="71">
        <v>89</v>
      </c>
      <c r="M260" s="71">
        <v>3</v>
      </c>
      <c r="N260" s="71">
        <v>1</v>
      </c>
      <c r="O260" s="71">
        <v>0</v>
      </c>
      <c r="P260" s="71">
        <v>11</v>
      </c>
      <c r="Q260" s="71">
        <v>44</v>
      </c>
      <c r="R260" s="71">
        <v>100</v>
      </c>
      <c r="S260" s="71" t="s">
        <v>96</v>
      </c>
      <c r="T260" s="73">
        <v>40686</v>
      </c>
      <c r="U260" s="71" t="s">
        <v>3547</v>
      </c>
      <c r="V260" s="71" t="b">
        <v>0</v>
      </c>
    </row>
    <row r="261" spans="1:22" ht="17.25">
      <c r="A261" s="70">
        <v>181</v>
      </c>
      <c r="B261" s="70" t="s">
        <v>2971</v>
      </c>
      <c r="C261" s="70" t="s">
        <v>193</v>
      </c>
      <c r="D261" s="70" t="s">
        <v>2970</v>
      </c>
      <c r="E261" s="70" t="s">
        <v>191</v>
      </c>
      <c r="F261" s="71">
        <v>183</v>
      </c>
      <c r="G261" s="71">
        <v>1</v>
      </c>
      <c r="H261" s="72" t="s">
        <v>4322</v>
      </c>
      <c r="I261" s="71" t="b">
        <v>0</v>
      </c>
      <c r="J261" s="71">
        <v>55</v>
      </c>
      <c r="K261" s="71">
        <v>38</v>
      </c>
      <c r="L261" s="71">
        <v>69</v>
      </c>
      <c r="M261" s="71">
        <v>4</v>
      </c>
      <c r="N261" s="71">
        <v>72</v>
      </c>
      <c r="O261" s="71">
        <v>0</v>
      </c>
      <c r="P261" s="71">
        <v>11</v>
      </c>
      <c r="Q261" s="71">
        <v>30</v>
      </c>
      <c r="R261" s="71">
        <v>112</v>
      </c>
      <c r="S261" s="71" t="s">
        <v>74</v>
      </c>
      <c r="T261" s="73" t="s">
        <v>4323</v>
      </c>
      <c r="U261" s="71" t="s">
        <v>3548</v>
      </c>
      <c r="V261" s="71" t="b">
        <v>0</v>
      </c>
    </row>
    <row r="262" spans="1:22" ht="17.25">
      <c r="A262" s="70">
        <v>182</v>
      </c>
      <c r="B262" s="70" t="s">
        <v>2969</v>
      </c>
      <c r="C262" s="70" t="s">
        <v>2968</v>
      </c>
      <c r="D262" s="70" t="s">
        <v>2967</v>
      </c>
      <c r="E262" s="70" t="s">
        <v>1490</v>
      </c>
      <c r="F262" s="71">
        <v>31</v>
      </c>
      <c r="G262" s="71">
        <v>27</v>
      </c>
      <c r="H262" s="72">
        <v>0.18888888888888888</v>
      </c>
      <c r="I262" s="71" t="b">
        <v>0</v>
      </c>
      <c r="J262" s="71">
        <v>65</v>
      </c>
      <c r="K262" s="71">
        <v>68</v>
      </c>
      <c r="L262" s="71">
        <v>78</v>
      </c>
      <c r="M262" s="71">
        <v>5</v>
      </c>
      <c r="N262" s="71">
        <v>25</v>
      </c>
      <c r="O262" s="71">
        <v>0</v>
      </c>
      <c r="P262" s="71">
        <v>14</v>
      </c>
      <c r="Q262" s="71">
        <v>80</v>
      </c>
      <c r="R262" s="71">
        <v>128</v>
      </c>
      <c r="S262" s="71" t="s">
        <v>29</v>
      </c>
      <c r="T262" s="73">
        <v>26998</v>
      </c>
      <c r="U262" s="71" t="s">
        <v>3549</v>
      </c>
      <c r="V262" s="71" t="b">
        <v>1</v>
      </c>
    </row>
    <row r="263" spans="1:22" ht="17.25">
      <c r="A263" s="70">
        <v>183</v>
      </c>
      <c r="B263" s="70" t="s">
        <v>2966</v>
      </c>
      <c r="C263" s="70" t="s">
        <v>97</v>
      </c>
      <c r="D263" s="70" t="s">
        <v>2965</v>
      </c>
      <c r="E263" s="70" t="s">
        <v>97</v>
      </c>
      <c r="F263" s="71">
        <v>1</v>
      </c>
      <c r="G263" s="71">
        <v>1</v>
      </c>
      <c r="H263" s="72" t="s">
        <v>4365</v>
      </c>
      <c r="I263" s="71" t="b">
        <v>0</v>
      </c>
      <c r="J263" s="71">
        <v>58</v>
      </c>
      <c r="K263" s="71">
        <v>46</v>
      </c>
      <c r="L263" s="71">
        <v>70</v>
      </c>
      <c r="M263" s="71">
        <v>5</v>
      </c>
      <c r="N263" s="71">
        <v>59</v>
      </c>
      <c r="O263" s="71">
        <v>0</v>
      </c>
      <c r="P263" s="71">
        <v>10</v>
      </c>
      <c r="Q263" s="71">
        <v>35</v>
      </c>
      <c r="R263" s="71">
        <v>118</v>
      </c>
      <c r="S263" s="71" t="s">
        <v>96</v>
      </c>
      <c r="T263" s="73" t="s">
        <v>4364</v>
      </c>
      <c r="U263" s="71" t="s">
        <v>3550</v>
      </c>
      <c r="V263" s="71" t="b">
        <v>0</v>
      </c>
    </row>
    <row r="264" spans="1:22" ht="17.25">
      <c r="A264" s="70">
        <v>184</v>
      </c>
      <c r="B264" s="70" t="s">
        <v>2964</v>
      </c>
      <c r="C264" s="70" t="s">
        <v>366</v>
      </c>
      <c r="D264" s="70" t="s">
        <v>610</v>
      </c>
      <c r="E264" s="70" t="s">
        <v>171</v>
      </c>
      <c r="F264" s="71">
        <v>3</v>
      </c>
      <c r="G264" s="71">
        <v>7</v>
      </c>
      <c r="H264" s="72" t="s">
        <v>4315</v>
      </c>
      <c r="I264" s="71" t="b">
        <v>0</v>
      </c>
      <c r="J264" s="71">
        <v>70</v>
      </c>
      <c r="K264" s="71">
        <v>58</v>
      </c>
      <c r="L264" s="71">
        <v>72</v>
      </c>
      <c r="M264" s="71">
        <v>5</v>
      </c>
      <c r="N264" s="71">
        <v>29</v>
      </c>
      <c r="O264" s="71">
        <v>0</v>
      </c>
      <c r="P264" s="71">
        <v>11</v>
      </c>
      <c r="Q264" s="71">
        <v>54</v>
      </c>
      <c r="R264" s="71">
        <v>98</v>
      </c>
      <c r="S264" s="71" t="s">
        <v>96</v>
      </c>
      <c r="T264" s="73" t="s">
        <v>4368</v>
      </c>
      <c r="U264" s="71" t="s">
        <v>3551</v>
      </c>
      <c r="V264" s="71" t="b">
        <v>0</v>
      </c>
    </row>
    <row r="265" spans="1:22" ht="17.25">
      <c r="A265" s="70">
        <v>185</v>
      </c>
      <c r="B265" s="70" t="s">
        <v>2963</v>
      </c>
      <c r="C265" s="70" t="s">
        <v>1987</v>
      </c>
      <c r="D265" s="70" t="s">
        <v>2962</v>
      </c>
      <c r="E265" s="70" t="s">
        <v>62</v>
      </c>
      <c r="F265" s="71">
        <v>32</v>
      </c>
      <c r="G265" s="71">
        <v>29</v>
      </c>
      <c r="H265" s="72">
        <v>0.13055555555555556</v>
      </c>
      <c r="I265" s="71" t="b">
        <v>1</v>
      </c>
      <c r="J265" s="71">
        <v>78</v>
      </c>
      <c r="K265" s="71">
        <v>74</v>
      </c>
      <c r="L265" s="71">
        <v>80</v>
      </c>
      <c r="M265" s="71">
        <v>10</v>
      </c>
      <c r="N265" s="71">
        <v>15</v>
      </c>
      <c r="O265" s="71">
        <v>0</v>
      </c>
      <c r="P265" s="71">
        <v>12</v>
      </c>
      <c r="Q265" s="71">
        <v>58</v>
      </c>
      <c r="R265" s="71">
        <v>108</v>
      </c>
      <c r="S265" s="71" t="s">
        <v>61</v>
      </c>
      <c r="T265" s="73">
        <v>45765</v>
      </c>
      <c r="U265" s="71" t="s">
        <v>3552</v>
      </c>
      <c r="V265" s="71" t="b">
        <v>0</v>
      </c>
    </row>
    <row r="266" spans="1:22" ht="17.25">
      <c r="A266" s="70">
        <v>185</v>
      </c>
      <c r="B266" s="70" t="s">
        <v>2963</v>
      </c>
      <c r="C266" s="70" t="s">
        <v>141</v>
      </c>
      <c r="D266" s="70" t="s">
        <v>2962</v>
      </c>
      <c r="E266" s="70" t="s">
        <v>62</v>
      </c>
      <c r="F266" s="71">
        <v>32</v>
      </c>
      <c r="G266" s="71">
        <v>29</v>
      </c>
      <c r="H266" s="72">
        <v>0.13055555555555556</v>
      </c>
      <c r="I266" s="71" t="b">
        <v>1</v>
      </c>
      <c r="J266" s="71">
        <v>78</v>
      </c>
      <c r="K266" s="71">
        <v>74</v>
      </c>
      <c r="L266" s="71">
        <v>80</v>
      </c>
      <c r="M266" s="71">
        <v>10</v>
      </c>
      <c r="N266" s="71">
        <v>15</v>
      </c>
      <c r="O266" s="71">
        <v>0</v>
      </c>
      <c r="P266" s="71">
        <v>12</v>
      </c>
      <c r="Q266" s="71">
        <v>58</v>
      </c>
      <c r="R266" s="71">
        <v>108</v>
      </c>
      <c r="S266" s="71" t="s">
        <v>61</v>
      </c>
      <c r="T266" s="73">
        <v>45765</v>
      </c>
      <c r="U266" s="71" t="s">
        <v>3552</v>
      </c>
      <c r="V266" s="71" t="b">
        <v>0</v>
      </c>
    </row>
    <row r="267" spans="1:22" ht="17.25">
      <c r="A267" s="70">
        <v>186</v>
      </c>
      <c r="B267" s="70" t="s">
        <v>2961</v>
      </c>
      <c r="C267" s="70" t="s">
        <v>2960</v>
      </c>
      <c r="D267" s="70" t="s">
        <v>2959</v>
      </c>
      <c r="E267" s="70" t="s">
        <v>2958</v>
      </c>
      <c r="F267" s="71">
        <v>48</v>
      </c>
      <c r="G267" s="71">
        <v>17</v>
      </c>
      <c r="H267" s="72">
        <v>0.15416666666666667</v>
      </c>
      <c r="I267" s="71" t="b">
        <v>0</v>
      </c>
      <c r="J267" s="71">
        <v>55</v>
      </c>
      <c r="K267" s="71">
        <v>55</v>
      </c>
      <c r="L267" s="71">
        <v>74</v>
      </c>
      <c r="M267" s="71">
        <v>5</v>
      </c>
      <c r="N267" s="71">
        <v>45</v>
      </c>
      <c r="O267" s="71">
        <v>0</v>
      </c>
      <c r="P267" s="71">
        <v>10</v>
      </c>
      <c r="Q267" s="71">
        <v>50</v>
      </c>
      <c r="R267" s="71">
        <v>88</v>
      </c>
      <c r="S267" s="71" t="s">
        <v>74</v>
      </c>
      <c r="T267" s="73">
        <v>45730</v>
      </c>
      <c r="U267" s="71" t="s">
        <v>3526</v>
      </c>
      <c r="V267" s="71" t="b">
        <v>0</v>
      </c>
    </row>
    <row r="268" spans="1:22" ht="17.25">
      <c r="A268" s="70">
        <v>187</v>
      </c>
      <c r="B268" s="70" t="s">
        <v>2957</v>
      </c>
      <c r="C268" s="70" t="s">
        <v>146</v>
      </c>
      <c r="D268" s="70" t="s">
        <v>2956</v>
      </c>
      <c r="E268" s="70" t="s">
        <v>144</v>
      </c>
      <c r="F268" s="71">
        <v>105</v>
      </c>
      <c r="G268" s="71">
        <v>17</v>
      </c>
      <c r="H268" s="72" t="s">
        <v>4326</v>
      </c>
      <c r="I268" s="71" t="b">
        <v>0</v>
      </c>
      <c r="J268" s="71">
        <v>59</v>
      </c>
      <c r="K268" s="71">
        <v>55</v>
      </c>
      <c r="L268" s="71">
        <v>72</v>
      </c>
      <c r="M268" s="71">
        <v>4</v>
      </c>
      <c r="N268" s="71">
        <v>42</v>
      </c>
      <c r="O268" s="71">
        <v>0</v>
      </c>
      <c r="P268" s="71">
        <v>11</v>
      </c>
      <c r="Q268" s="71">
        <v>47</v>
      </c>
      <c r="R268" s="71">
        <v>132</v>
      </c>
      <c r="S268" s="71" t="s">
        <v>143</v>
      </c>
      <c r="T268" s="73" t="s">
        <v>4392</v>
      </c>
      <c r="U268" s="71" t="s">
        <v>3553</v>
      </c>
      <c r="V268" s="71" t="b">
        <v>0</v>
      </c>
    </row>
    <row r="269" spans="1:22" ht="17.25">
      <c r="A269" s="70">
        <v>188</v>
      </c>
      <c r="B269" s="70" t="s">
        <v>2955</v>
      </c>
      <c r="C269" s="70" t="s">
        <v>430</v>
      </c>
      <c r="D269" s="70" t="s">
        <v>2954</v>
      </c>
      <c r="E269" s="70" t="s">
        <v>75</v>
      </c>
      <c r="F269" s="71">
        <v>18</v>
      </c>
      <c r="G269" s="71">
        <v>6</v>
      </c>
      <c r="H269" s="72">
        <v>0.12847222222222221</v>
      </c>
      <c r="I269" s="71" t="b">
        <v>0</v>
      </c>
      <c r="J269" s="71">
        <v>58</v>
      </c>
      <c r="K269" s="71">
        <v>71</v>
      </c>
      <c r="L269" s="71">
        <v>88</v>
      </c>
      <c r="M269" s="71">
        <v>12</v>
      </c>
      <c r="N269" s="71">
        <v>10</v>
      </c>
      <c r="O269" s="71">
        <v>0</v>
      </c>
      <c r="P269" s="71">
        <v>16</v>
      </c>
      <c r="Q269" s="71">
        <v>52</v>
      </c>
      <c r="R269" s="71">
        <v>76</v>
      </c>
      <c r="S269" s="71" t="s">
        <v>96</v>
      </c>
      <c r="T269" s="73">
        <v>45359</v>
      </c>
      <c r="U269" s="71" t="s">
        <v>3554</v>
      </c>
      <c r="V269" s="71" t="b">
        <v>0</v>
      </c>
    </row>
    <row r="270" spans="1:22" ht="17.25">
      <c r="A270" s="70">
        <v>189</v>
      </c>
      <c r="B270" s="70" t="s">
        <v>2953</v>
      </c>
      <c r="C270" s="70" t="s">
        <v>131</v>
      </c>
      <c r="D270" s="70" t="s">
        <v>2813</v>
      </c>
      <c r="E270" s="70" t="s">
        <v>129</v>
      </c>
      <c r="F270" s="71">
        <v>33</v>
      </c>
      <c r="G270" s="71">
        <v>5</v>
      </c>
      <c r="H270" s="72">
        <v>0.11666666666666667</v>
      </c>
      <c r="I270" s="71" t="b">
        <v>0</v>
      </c>
      <c r="J270" s="71">
        <v>64</v>
      </c>
      <c r="K270" s="71">
        <v>67</v>
      </c>
      <c r="L270" s="71">
        <v>92</v>
      </c>
      <c r="M270" s="71">
        <v>3</v>
      </c>
      <c r="N270" s="71">
        <v>25</v>
      </c>
      <c r="O270" s="71">
        <v>0</v>
      </c>
      <c r="P270" s="71">
        <v>12</v>
      </c>
      <c r="Q270" s="71">
        <v>54</v>
      </c>
      <c r="R270" s="71">
        <v>98</v>
      </c>
      <c r="S270" s="71" t="s">
        <v>128</v>
      </c>
      <c r="T270" s="73">
        <v>45662</v>
      </c>
      <c r="U270" s="71" t="s">
        <v>3505</v>
      </c>
      <c r="V270" s="71" t="b">
        <v>0</v>
      </c>
    </row>
    <row r="271" spans="1:22" ht="17.25">
      <c r="A271" s="70">
        <v>190</v>
      </c>
      <c r="B271" s="70" t="s">
        <v>2952</v>
      </c>
      <c r="C271" s="70" t="s">
        <v>4609</v>
      </c>
      <c r="D271" s="70" t="s">
        <v>2951</v>
      </c>
      <c r="E271" s="70" t="s">
        <v>480</v>
      </c>
      <c r="F271" s="71">
        <v>153</v>
      </c>
      <c r="G271" s="71">
        <v>1</v>
      </c>
      <c r="H271" s="72" t="s">
        <v>4334</v>
      </c>
      <c r="I271" s="71" t="b">
        <v>1</v>
      </c>
      <c r="J271" s="71">
        <v>75</v>
      </c>
      <c r="K271" s="71">
        <v>82</v>
      </c>
      <c r="L271" s="71">
        <v>76</v>
      </c>
      <c r="M271" s="71">
        <v>11</v>
      </c>
      <c r="N271" s="71">
        <v>14</v>
      </c>
      <c r="O271" s="71">
        <v>0</v>
      </c>
      <c r="P271" s="71">
        <v>28</v>
      </c>
      <c r="Q271" s="71">
        <v>70</v>
      </c>
      <c r="R271" s="71">
        <v>130</v>
      </c>
      <c r="S271" s="71" t="s">
        <v>359</v>
      </c>
      <c r="T271" s="73" t="s">
        <v>4344</v>
      </c>
      <c r="U271" s="71" t="s">
        <v>3555</v>
      </c>
      <c r="V271" s="71" t="b">
        <v>0</v>
      </c>
    </row>
    <row r="272" spans="1:22" ht="17.25">
      <c r="A272" s="70">
        <v>190</v>
      </c>
      <c r="B272" s="70" t="s">
        <v>2952</v>
      </c>
      <c r="C272" s="70" t="s">
        <v>4587</v>
      </c>
      <c r="D272" s="70" t="s">
        <v>2951</v>
      </c>
      <c r="E272" s="70" t="s">
        <v>480</v>
      </c>
      <c r="F272" s="71">
        <v>153</v>
      </c>
      <c r="G272" s="71">
        <v>1</v>
      </c>
      <c r="H272" s="72" t="s">
        <v>4334</v>
      </c>
      <c r="I272" s="71" t="b">
        <v>1</v>
      </c>
      <c r="J272" s="71">
        <v>75</v>
      </c>
      <c r="K272" s="71">
        <v>82</v>
      </c>
      <c r="L272" s="71">
        <v>76</v>
      </c>
      <c r="M272" s="71">
        <v>11</v>
      </c>
      <c r="N272" s="71">
        <v>14</v>
      </c>
      <c r="O272" s="71">
        <v>0</v>
      </c>
      <c r="P272" s="71">
        <v>28</v>
      </c>
      <c r="Q272" s="71">
        <v>70</v>
      </c>
      <c r="R272" s="71">
        <v>130</v>
      </c>
      <c r="S272" s="71" t="s">
        <v>359</v>
      </c>
      <c r="T272" s="73" t="s">
        <v>4344</v>
      </c>
      <c r="U272" s="71" t="s">
        <v>3555</v>
      </c>
      <c r="V272" s="71" t="b">
        <v>0</v>
      </c>
    </row>
    <row r="273" spans="1:22" ht="17.25">
      <c r="A273" s="70">
        <v>190</v>
      </c>
      <c r="B273" s="70" t="s">
        <v>2952</v>
      </c>
      <c r="C273" s="70" t="s">
        <v>4613</v>
      </c>
      <c r="D273" s="70" t="s">
        <v>2951</v>
      </c>
      <c r="E273" s="70" t="s">
        <v>480</v>
      </c>
      <c r="F273" s="71">
        <v>153</v>
      </c>
      <c r="G273" s="71">
        <v>1</v>
      </c>
      <c r="H273" s="72" t="s">
        <v>4334</v>
      </c>
      <c r="I273" s="71" t="b">
        <v>1</v>
      </c>
      <c r="J273" s="71">
        <v>75</v>
      </c>
      <c r="K273" s="71">
        <v>82</v>
      </c>
      <c r="L273" s="71">
        <v>76</v>
      </c>
      <c r="M273" s="71">
        <v>11</v>
      </c>
      <c r="N273" s="71">
        <v>14</v>
      </c>
      <c r="O273" s="71">
        <v>0</v>
      </c>
      <c r="P273" s="71">
        <v>28</v>
      </c>
      <c r="Q273" s="71">
        <v>70</v>
      </c>
      <c r="R273" s="71">
        <v>130</v>
      </c>
      <c r="S273" s="71" t="s">
        <v>359</v>
      </c>
      <c r="T273" s="73" t="s">
        <v>4344</v>
      </c>
      <c r="U273" s="71" t="s">
        <v>3555</v>
      </c>
      <c r="V273" s="71" t="b">
        <v>0</v>
      </c>
    </row>
    <row r="274" spans="1:22" ht="17.25">
      <c r="A274" s="70">
        <v>190</v>
      </c>
      <c r="B274" s="70" t="s">
        <v>2952</v>
      </c>
      <c r="C274" s="70" t="s">
        <v>4610</v>
      </c>
      <c r="D274" s="70" t="s">
        <v>2951</v>
      </c>
      <c r="E274" s="70" t="s">
        <v>480</v>
      </c>
      <c r="F274" s="71">
        <v>153</v>
      </c>
      <c r="G274" s="71">
        <v>1</v>
      </c>
      <c r="H274" s="72" t="s">
        <v>4334</v>
      </c>
      <c r="I274" s="71" t="b">
        <v>1</v>
      </c>
      <c r="J274" s="71">
        <v>75</v>
      </c>
      <c r="K274" s="71">
        <v>82</v>
      </c>
      <c r="L274" s="71">
        <v>76</v>
      </c>
      <c r="M274" s="71">
        <v>11</v>
      </c>
      <c r="N274" s="71">
        <v>14</v>
      </c>
      <c r="O274" s="71">
        <v>0</v>
      </c>
      <c r="P274" s="71">
        <v>28</v>
      </c>
      <c r="Q274" s="71">
        <v>70</v>
      </c>
      <c r="R274" s="71">
        <v>130</v>
      </c>
      <c r="S274" s="71" t="s">
        <v>359</v>
      </c>
      <c r="T274" s="73" t="s">
        <v>4344</v>
      </c>
      <c r="U274" s="71" t="s">
        <v>3555</v>
      </c>
      <c r="V274" s="71" t="b">
        <v>0</v>
      </c>
    </row>
    <row r="275" spans="1:22" ht="17.25">
      <c r="A275" s="70">
        <v>190</v>
      </c>
      <c r="B275" s="70" t="s">
        <v>2952</v>
      </c>
      <c r="C275" s="70" t="s">
        <v>4611</v>
      </c>
      <c r="D275" s="70" t="s">
        <v>2951</v>
      </c>
      <c r="E275" s="70" t="s">
        <v>480</v>
      </c>
      <c r="F275" s="71">
        <v>153</v>
      </c>
      <c r="G275" s="71">
        <v>1</v>
      </c>
      <c r="H275" s="72" t="s">
        <v>4334</v>
      </c>
      <c r="I275" s="71" t="b">
        <v>1</v>
      </c>
      <c r="J275" s="71">
        <v>75</v>
      </c>
      <c r="K275" s="71">
        <v>82</v>
      </c>
      <c r="L275" s="71">
        <v>76</v>
      </c>
      <c r="M275" s="71">
        <v>11</v>
      </c>
      <c r="N275" s="71">
        <v>14</v>
      </c>
      <c r="O275" s="71">
        <v>0</v>
      </c>
      <c r="P275" s="71">
        <v>28</v>
      </c>
      <c r="Q275" s="71">
        <v>70</v>
      </c>
      <c r="R275" s="71">
        <v>130</v>
      </c>
      <c r="S275" s="71" t="s">
        <v>359</v>
      </c>
      <c r="T275" s="73" t="s">
        <v>4344</v>
      </c>
      <c r="U275" s="71" t="s">
        <v>3555</v>
      </c>
      <c r="V275" s="71" t="b">
        <v>0</v>
      </c>
    </row>
    <row r="276" spans="1:22" ht="17.25">
      <c r="A276" s="70">
        <v>190</v>
      </c>
      <c r="B276" s="70" t="s">
        <v>2952</v>
      </c>
      <c r="C276" s="70" t="s">
        <v>4432</v>
      </c>
      <c r="D276" s="70" t="s">
        <v>2951</v>
      </c>
      <c r="E276" s="70" t="s">
        <v>480</v>
      </c>
      <c r="F276" s="71">
        <v>153</v>
      </c>
      <c r="G276" s="71">
        <v>1</v>
      </c>
      <c r="H276" s="72" t="s">
        <v>4334</v>
      </c>
      <c r="I276" s="71" t="b">
        <v>1</v>
      </c>
      <c r="J276" s="71">
        <v>75</v>
      </c>
      <c r="K276" s="71">
        <v>82</v>
      </c>
      <c r="L276" s="71">
        <v>76</v>
      </c>
      <c r="M276" s="71">
        <v>11</v>
      </c>
      <c r="N276" s="71">
        <v>14</v>
      </c>
      <c r="O276" s="71">
        <v>0</v>
      </c>
      <c r="P276" s="71">
        <v>28</v>
      </c>
      <c r="Q276" s="71">
        <v>70</v>
      </c>
      <c r="R276" s="71">
        <v>130</v>
      </c>
      <c r="S276" s="71" t="s">
        <v>359</v>
      </c>
      <c r="T276" s="73" t="s">
        <v>4344</v>
      </c>
      <c r="U276" s="71" t="s">
        <v>3555</v>
      </c>
      <c r="V276" s="71" t="b">
        <v>0</v>
      </c>
    </row>
    <row r="277" spans="1:22" ht="17.25">
      <c r="A277" s="70">
        <v>190</v>
      </c>
      <c r="B277" s="70" t="s">
        <v>2952</v>
      </c>
      <c r="C277" s="70" t="s">
        <v>4614</v>
      </c>
      <c r="D277" s="70" t="s">
        <v>2951</v>
      </c>
      <c r="E277" s="70" t="s">
        <v>480</v>
      </c>
      <c r="F277" s="71">
        <v>153</v>
      </c>
      <c r="G277" s="71">
        <v>1</v>
      </c>
      <c r="H277" s="72" t="s">
        <v>4334</v>
      </c>
      <c r="I277" s="71" t="b">
        <v>1</v>
      </c>
      <c r="J277" s="71">
        <v>75</v>
      </c>
      <c r="K277" s="71">
        <v>82</v>
      </c>
      <c r="L277" s="71">
        <v>76</v>
      </c>
      <c r="M277" s="71">
        <v>11</v>
      </c>
      <c r="N277" s="71">
        <v>14</v>
      </c>
      <c r="O277" s="71">
        <v>0</v>
      </c>
      <c r="P277" s="71">
        <v>28</v>
      </c>
      <c r="Q277" s="71">
        <v>70</v>
      </c>
      <c r="R277" s="71">
        <v>130</v>
      </c>
      <c r="S277" s="71" t="s">
        <v>359</v>
      </c>
      <c r="T277" s="73" t="s">
        <v>4344</v>
      </c>
      <c r="U277" s="71" t="s">
        <v>3555</v>
      </c>
      <c r="V277" s="71" t="b">
        <v>0</v>
      </c>
    </row>
    <row r="278" spans="1:22" ht="17.25">
      <c r="A278" s="70">
        <v>190</v>
      </c>
      <c r="B278" s="70" t="s">
        <v>2952</v>
      </c>
      <c r="C278" s="70" t="s">
        <v>4612</v>
      </c>
      <c r="D278" s="70" t="s">
        <v>2951</v>
      </c>
      <c r="E278" s="70" t="s">
        <v>480</v>
      </c>
      <c r="F278" s="71">
        <v>153</v>
      </c>
      <c r="G278" s="71">
        <v>1</v>
      </c>
      <c r="H278" s="72" t="s">
        <v>4334</v>
      </c>
      <c r="I278" s="71" t="b">
        <v>1</v>
      </c>
      <c r="J278" s="71">
        <v>75</v>
      </c>
      <c r="K278" s="71">
        <v>82</v>
      </c>
      <c r="L278" s="71">
        <v>76</v>
      </c>
      <c r="M278" s="71">
        <v>11</v>
      </c>
      <c r="N278" s="71">
        <v>14</v>
      </c>
      <c r="O278" s="71">
        <v>0</v>
      </c>
      <c r="P278" s="71">
        <v>28</v>
      </c>
      <c r="Q278" s="71">
        <v>70</v>
      </c>
      <c r="R278" s="71">
        <v>130</v>
      </c>
      <c r="S278" s="71" t="s">
        <v>359</v>
      </c>
      <c r="T278" s="73" t="s">
        <v>4344</v>
      </c>
      <c r="U278" s="71" t="s">
        <v>3555</v>
      </c>
      <c r="V278" s="71" t="b">
        <v>0</v>
      </c>
    </row>
    <row r="279" spans="1:22" ht="17.25">
      <c r="A279" s="70">
        <v>191</v>
      </c>
      <c r="B279" s="70" t="s">
        <v>2950</v>
      </c>
      <c r="C279" s="70" t="s">
        <v>209</v>
      </c>
      <c r="D279" s="70" t="s">
        <v>2949</v>
      </c>
      <c r="E279" s="70" t="s">
        <v>207</v>
      </c>
      <c r="F279" s="71">
        <v>138</v>
      </c>
      <c r="G279" s="71">
        <v>9</v>
      </c>
      <c r="H279" s="72">
        <v>0.18263888888888888</v>
      </c>
      <c r="I279" s="71" t="b">
        <v>1</v>
      </c>
      <c r="J279" s="71">
        <v>75</v>
      </c>
      <c r="K279" s="71">
        <v>92</v>
      </c>
      <c r="L279" s="71">
        <v>92</v>
      </c>
      <c r="M279" s="71">
        <v>23</v>
      </c>
      <c r="N279" s="71">
        <v>24</v>
      </c>
      <c r="O279" s="71">
        <v>0</v>
      </c>
      <c r="P279" s="71">
        <v>52</v>
      </c>
      <c r="Q279" s="71">
        <v>64</v>
      </c>
      <c r="R279" s="71">
        <v>87</v>
      </c>
      <c r="S279" s="71" t="s">
        <v>48</v>
      </c>
      <c r="T279" s="73">
        <v>40347</v>
      </c>
      <c r="U279" s="71" t="s">
        <v>3556</v>
      </c>
      <c r="V279" s="71" t="b">
        <v>0</v>
      </c>
    </row>
    <row r="280" spans="1:22" ht="17.25">
      <c r="A280" s="70">
        <v>191</v>
      </c>
      <c r="B280" s="70" t="s">
        <v>2950</v>
      </c>
      <c r="C280" s="70" t="s">
        <v>37</v>
      </c>
      <c r="D280" s="70" t="s">
        <v>2949</v>
      </c>
      <c r="E280" s="70" t="s">
        <v>207</v>
      </c>
      <c r="F280" s="71">
        <v>138</v>
      </c>
      <c r="G280" s="71">
        <v>9</v>
      </c>
      <c r="H280" s="72">
        <v>0.18263888888888888</v>
      </c>
      <c r="I280" s="71" t="b">
        <v>1</v>
      </c>
      <c r="J280" s="71">
        <v>75</v>
      </c>
      <c r="K280" s="71">
        <v>92</v>
      </c>
      <c r="L280" s="71">
        <v>92</v>
      </c>
      <c r="M280" s="71">
        <v>23</v>
      </c>
      <c r="N280" s="71">
        <v>24</v>
      </c>
      <c r="O280" s="71">
        <v>0</v>
      </c>
      <c r="P280" s="71">
        <v>52</v>
      </c>
      <c r="Q280" s="71">
        <v>64</v>
      </c>
      <c r="R280" s="71">
        <v>87</v>
      </c>
      <c r="S280" s="71" t="s">
        <v>48</v>
      </c>
      <c r="T280" s="73">
        <v>40347</v>
      </c>
      <c r="U280" s="71" t="s">
        <v>3556</v>
      </c>
      <c r="V280" s="71" t="b">
        <v>0</v>
      </c>
    </row>
    <row r="281" spans="1:22" ht="17.25">
      <c r="A281" s="70">
        <v>192</v>
      </c>
      <c r="B281" s="70" t="s">
        <v>2948</v>
      </c>
      <c r="C281" s="70" t="s">
        <v>848</v>
      </c>
      <c r="D281" s="70" t="s">
        <v>2947</v>
      </c>
      <c r="E281" s="70" t="s">
        <v>381</v>
      </c>
      <c r="F281" s="71">
        <v>109</v>
      </c>
      <c r="G281" s="71">
        <v>9</v>
      </c>
      <c r="H281" s="72">
        <v>0.15416666666666667</v>
      </c>
      <c r="I281" s="71" t="b">
        <v>0</v>
      </c>
      <c r="J281" s="71">
        <v>62</v>
      </c>
      <c r="K281" s="71">
        <v>62</v>
      </c>
      <c r="L281" s="71">
        <v>77</v>
      </c>
      <c r="M281" s="71">
        <v>5</v>
      </c>
      <c r="N281" s="71">
        <v>35</v>
      </c>
      <c r="O281" s="71">
        <v>0</v>
      </c>
      <c r="P281" s="71">
        <v>14</v>
      </c>
      <c r="Q281" s="71">
        <v>78</v>
      </c>
      <c r="R281" s="71">
        <v>120</v>
      </c>
      <c r="S281" s="71" t="s">
        <v>29</v>
      </c>
      <c r="T281" s="73">
        <v>36109</v>
      </c>
      <c r="U281" s="71" t="s">
        <v>3557</v>
      </c>
      <c r="V281" s="71" t="b">
        <v>1</v>
      </c>
    </row>
    <row r="282" spans="1:22" ht="17.25">
      <c r="A282" s="70">
        <v>193</v>
      </c>
      <c r="B282" s="70" t="s">
        <v>2946</v>
      </c>
      <c r="C282" s="70" t="s">
        <v>1276</v>
      </c>
      <c r="D282" s="70" t="s">
        <v>1716</v>
      </c>
      <c r="E282" s="70" t="s">
        <v>1274</v>
      </c>
      <c r="F282" s="71">
        <v>69</v>
      </c>
      <c r="G282" s="71">
        <v>16</v>
      </c>
      <c r="H282" s="72">
        <v>0.14166666666666666</v>
      </c>
      <c r="I282" s="71" t="b">
        <v>0</v>
      </c>
      <c r="J282" s="71">
        <v>53</v>
      </c>
      <c r="K282" s="71">
        <v>76</v>
      </c>
      <c r="L282" s="71">
        <v>92</v>
      </c>
      <c r="M282" s="71">
        <v>3</v>
      </c>
      <c r="N282" s="71">
        <v>4</v>
      </c>
      <c r="O282" s="71">
        <v>0</v>
      </c>
      <c r="P282" s="71">
        <v>16</v>
      </c>
      <c r="Q282" s="71">
        <v>52</v>
      </c>
      <c r="R282" s="71">
        <v>150</v>
      </c>
      <c r="S282" s="71" t="s">
        <v>96</v>
      </c>
      <c r="T282" s="73">
        <v>45751</v>
      </c>
      <c r="U282" s="71" t="s">
        <v>3558</v>
      </c>
      <c r="V282" s="71" t="b">
        <v>0</v>
      </c>
    </row>
    <row r="283" spans="1:22" ht="17.25">
      <c r="A283" s="70">
        <v>194</v>
      </c>
      <c r="B283" s="70" t="s">
        <v>2945</v>
      </c>
      <c r="C283" s="70" t="s">
        <v>366</v>
      </c>
      <c r="D283" s="70" t="s">
        <v>2944</v>
      </c>
      <c r="E283" s="70" t="s">
        <v>171</v>
      </c>
      <c r="F283" s="71">
        <v>45</v>
      </c>
      <c r="G283" s="71">
        <v>81</v>
      </c>
      <c r="H283" s="72">
        <v>0.14791666666666667</v>
      </c>
      <c r="I283" s="71" t="b">
        <v>0</v>
      </c>
      <c r="J283" s="71">
        <v>50</v>
      </c>
      <c r="K283" s="71">
        <v>59</v>
      </c>
      <c r="L283" s="71">
        <v>92</v>
      </c>
      <c r="M283" s="71">
        <v>3</v>
      </c>
      <c r="N283" s="71">
        <v>51</v>
      </c>
      <c r="O283" s="71">
        <v>0</v>
      </c>
      <c r="P283" s="71">
        <v>11</v>
      </c>
      <c r="Q283" s="71">
        <v>8</v>
      </c>
      <c r="R283" s="71">
        <v>146</v>
      </c>
      <c r="S283" s="71" t="s">
        <v>96</v>
      </c>
      <c r="T283" s="73">
        <v>40452</v>
      </c>
      <c r="U283" s="71" t="s">
        <v>3559</v>
      </c>
      <c r="V283" s="71" t="b">
        <v>0</v>
      </c>
    </row>
    <row r="284" spans="1:22" ht="17.25">
      <c r="A284" s="70">
        <v>195</v>
      </c>
      <c r="B284" s="70" t="s">
        <v>2943</v>
      </c>
      <c r="C284" s="70" t="s">
        <v>542</v>
      </c>
      <c r="D284" s="70" t="s">
        <v>2942</v>
      </c>
      <c r="E284" s="70" t="s">
        <v>2383</v>
      </c>
      <c r="F284" s="71">
        <v>97</v>
      </c>
      <c r="G284" s="71">
        <v>1</v>
      </c>
      <c r="H284" s="72">
        <v>0.13541666666666666</v>
      </c>
      <c r="I284" s="71" t="b">
        <v>0</v>
      </c>
      <c r="J284" s="71">
        <v>58</v>
      </c>
      <c r="K284" s="71">
        <v>55</v>
      </c>
      <c r="L284" s="71">
        <v>74</v>
      </c>
      <c r="M284" s="71">
        <v>5</v>
      </c>
      <c r="N284" s="71">
        <v>45</v>
      </c>
      <c r="O284" s="71">
        <v>0</v>
      </c>
      <c r="P284" s="71">
        <v>10</v>
      </c>
      <c r="Q284" s="71">
        <v>40</v>
      </c>
      <c r="R284" s="71">
        <v>95</v>
      </c>
      <c r="S284" s="71" t="s">
        <v>74</v>
      </c>
      <c r="T284" s="73">
        <v>45786</v>
      </c>
      <c r="U284" s="71" t="s">
        <v>3560</v>
      </c>
      <c r="V284" s="71" t="b">
        <v>0</v>
      </c>
    </row>
    <row r="285" spans="1:22" ht="17.25">
      <c r="A285" s="70">
        <v>196</v>
      </c>
      <c r="B285" s="70" t="s">
        <v>2941</v>
      </c>
      <c r="C285" s="70" t="s">
        <v>318</v>
      </c>
      <c r="D285" s="70" t="s">
        <v>2940</v>
      </c>
      <c r="E285" s="70" t="s">
        <v>316</v>
      </c>
      <c r="F285" s="71">
        <v>16</v>
      </c>
      <c r="G285" s="71">
        <v>7</v>
      </c>
      <c r="H285" s="72" t="s">
        <v>4318</v>
      </c>
      <c r="I285" s="71" t="b">
        <v>0</v>
      </c>
      <c r="J285" s="71">
        <v>65</v>
      </c>
      <c r="K285" s="71">
        <v>58</v>
      </c>
      <c r="L285" s="71">
        <v>73</v>
      </c>
      <c r="M285" s="71">
        <v>5</v>
      </c>
      <c r="N285" s="71">
        <v>36</v>
      </c>
      <c r="O285" s="71">
        <v>0</v>
      </c>
      <c r="P285" s="71">
        <v>13</v>
      </c>
      <c r="Q285" s="71">
        <v>46</v>
      </c>
      <c r="R285" s="71">
        <v>164</v>
      </c>
      <c r="S285" s="71" t="s">
        <v>74</v>
      </c>
      <c r="T285" s="73" t="s">
        <v>4327</v>
      </c>
      <c r="U285" s="71" t="s">
        <v>3561</v>
      </c>
      <c r="V285" s="71" t="b">
        <v>0</v>
      </c>
    </row>
    <row r="286" spans="1:22" ht="17.25">
      <c r="A286" s="70">
        <v>197</v>
      </c>
      <c r="B286" s="70" t="s">
        <v>2939</v>
      </c>
      <c r="C286" s="70" t="s">
        <v>2061</v>
      </c>
      <c r="D286" s="70" t="s">
        <v>2938</v>
      </c>
      <c r="E286" s="70" t="s">
        <v>1485</v>
      </c>
      <c r="F286" s="71">
        <v>151</v>
      </c>
      <c r="G286" s="71">
        <v>1</v>
      </c>
      <c r="H286" s="72" t="s">
        <v>4315</v>
      </c>
      <c r="I286" s="71" t="b">
        <v>1</v>
      </c>
      <c r="J286" s="71">
        <v>70</v>
      </c>
      <c r="K286" s="71">
        <v>54</v>
      </c>
      <c r="L286" s="71">
        <v>71</v>
      </c>
      <c r="M286" s="71">
        <v>5</v>
      </c>
      <c r="N286" s="71">
        <v>32</v>
      </c>
      <c r="O286" s="71">
        <v>0</v>
      </c>
      <c r="P286" s="71">
        <v>10</v>
      </c>
      <c r="Q286" s="71">
        <v>48</v>
      </c>
      <c r="R286" s="71">
        <v>98</v>
      </c>
      <c r="S286" s="71" t="s">
        <v>48</v>
      </c>
      <c r="T286" s="73" t="s">
        <v>4394</v>
      </c>
      <c r="U286" s="71" t="s">
        <v>3396</v>
      </c>
      <c r="V286" s="71" t="b">
        <v>0</v>
      </c>
    </row>
    <row r="287" spans="1:22" ht="17.25">
      <c r="A287" s="70">
        <v>198</v>
      </c>
      <c r="B287" s="70" t="s">
        <v>2937</v>
      </c>
      <c r="C287" s="70" t="s">
        <v>1785</v>
      </c>
      <c r="D287" s="70" t="s">
        <v>2936</v>
      </c>
      <c r="E287" s="70" t="s">
        <v>120</v>
      </c>
      <c r="F287" s="71">
        <v>5</v>
      </c>
      <c r="G287" s="71">
        <v>151</v>
      </c>
      <c r="H287" s="72">
        <v>0.14583333333333334</v>
      </c>
      <c r="I287" s="71" t="b">
        <v>0</v>
      </c>
      <c r="J287" s="71">
        <v>56</v>
      </c>
      <c r="K287" s="71">
        <v>60</v>
      </c>
      <c r="L287" s="71">
        <v>93</v>
      </c>
      <c r="M287" s="71">
        <v>3</v>
      </c>
      <c r="N287" s="71">
        <v>20</v>
      </c>
      <c r="O287" s="71">
        <v>0</v>
      </c>
      <c r="P287" s="71">
        <v>10</v>
      </c>
      <c r="Q287" s="71">
        <v>24</v>
      </c>
      <c r="R287" s="71">
        <v>160</v>
      </c>
      <c r="S287" s="71" t="s">
        <v>26</v>
      </c>
      <c r="T287" s="73">
        <v>45100</v>
      </c>
      <c r="U287" s="71" t="s">
        <v>3562</v>
      </c>
      <c r="V287" s="71" t="b">
        <v>0</v>
      </c>
    </row>
    <row r="288" spans="1:22" ht="17.25">
      <c r="A288" s="70">
        <v>199</v>
      </c>
      <c r="B288" s="70" t="s">
        <v>2935</v>
      </c>
      <c r="C288" s="70" t="s">
        <v>383</v>
      </c>
      <c r="D288" s="70" t="s">
        <v>2934</v>
      </c>
      <c r="E288" s="70" t="s">
        <v>381</v>
      </c>
      <c r="F288" s="71">
        <v>173</v>
      </c>
      <c r="G288" s="71">
        <v>1</v>
      </c>
      <c r="H288" s="72">
        <v>0.11666666666666667</v>
      </c>
      <c r="I288" s="71" t="b">
        <v>0</v>
      </c>
      <c r="J288" s="71">
        <v>41</v>
      </c>
      <c r="K288" s="71">
        <v>68</v>
      </c>
      <c r="L288" s="71">
        <v>90</v>
      </c>
      <c r="M288" s="71">
        <v>4</v>
      </c>
      <c r="N288" s="71">
        <v>1</v>
      </c>
      <c r="O288" s="71">
        <v>0</v>
      </c>
      <c r="P288" s="71">
        <v>29</v>
      </c>
      <c r="Q288" s="71">
        <v>14</v>
      </c>
      <c r="R288" s="71">
        <v>138</v>
      </c>
      <c r="S288" s="71" t="s">
        <v>96</v>
      </c>
      <c r="T288" s="73">
        <v>45709</v>
      </c>
      <c r="U288" s="71" t="s">
        <v>3563</v>
      </c>
      <c r="V288" s="71" t="b">
        <v>0</v>
      </c>
    </row>
    <row r="289" spans="1:22" ht="17.25">
      <c r="A289" s="70">
        <v>200</v>
      </c>
      <c r="B289" s="70" t="s">
        <v>2933</v>
      </c>
      <c r="C289" s="70" t="s">
        <v>2490</v>
      </c>
      <c r="D289" s="70" t="s">
        <v>2932</v>
      </c>
      <c r="E289" s="70" t="s">
        <v>2488</v>
      </c>
      <c r="F289" s="71">
        <v>125</v>
      </c>
      <c r="G289" s="71">
        <v>2</v>
      </c>
      <c r="H289" s="72" t="s">
        <v>4315</v>
      </c>
      <c r="I289" s="71" t="b">
        <v>0</v>
      </c>
      <c r="J289" s="71">
        <v>76</v>
      </c>
      <c r="K289" s="71">
        <v>78</v>
      </c>
      <c r="L289" s="71">
        <v>76</v>
      </c>
      <c r="M289" s="71">
        <v>6</v>
      </c>
      <c r="N289" s="71">
        <v>15</v>
      </c>
      <c r="O289" s="71">
        <v>0</v>
      </c>
      <c r="P289" s="71">
        <v>13</v>
      </c>
      <c r="Q289" s="71">
        <v>68</v>
      </c>
      <c r="R289" s="71">
        <v>120</v>
      </c>
      <c r="S289" s="71" t="s">
        <v>115</v>
      </c>
      <c r="T289" s="73" t="s">
        <v>4384</v>
      </c>
      <c r="U289" s="71" t="s">
        <v>3564</v>
      </c>
      <c r="V289" s="71" t="b">
        <v>0</v>
      </c>
    </row>
    <row r="290" spans="1:22" ht="17.25">
      <c r="A290" s="70">
        <v>201</v>
      </c>
      <c r="B290" s="70" t="s">
        <v>2931</v>
      </c>
      <c r="C290" s="70" t="s">
        <v>159</v>
      </c>
      <c r="D290" s="70" t="s">
        <v>2930</v>
      </c>
      <c r="E290" s="70" t="s">
        <v>319</v>
      </c>
      <c r="F290" s="71">
        <v>199</v>
      </c>
      <c r="G290" s="71">
        <v>1</v>
      </c>
      <c r="H290" s="72" t="s">
        <v>4326</v>
      </c>
      <c r="I290" s="71" t="b">
        <v>0</v>
      </c>
      <c r="J290" s="71">
        <v>62</v>
      </c>
      <c r="K290" s="71">
        <v>46</v>
      </c>
      <c r="L290" s="71">
        <v>70</v>
      </c>
      <c r="M290" s="71">
        <v>4</v>
      </c>
      <c r="N290" s="71">
        <v>58</v>
      </c>
      <c r="O290" s="71">
        <v>0</v>
      </c>
      <c r="P290" s="71">
        <v>13</v>
      </c>
      <c r="Q290" s="71">
        <v>47</v>
      </c>
      <c r="R290" s="71">
        <v>94</v>
      </c>
      <c r="S290" s="71" t="s">
        <v>96</v>
      </c>
      <c r="T290" s="73" t="s">
        <v>4368</v>
      </c>
      <c r="U290" s="71" t="s">
        <v>3565</v>
      </c>
      <c r="V290" s="71" t="b">
        <v>0</v>
      </c>
    </row>
    <row r="291" spans="1:22" ht="17.25">
      <c r="A291" s="70">
        <v>202</v>
      </c>
      <c r="B291" s="70" t="s">
        <v>2929</v>
      </c>
      <c r="C291" s="70" t="s">
        <v>2928</v>
      </c>
      <c r="D291" s="70" t="s">
        <v>2927</v>
      </c>
      <c r="E291" s="70" t="s">
        <v>120</v>
      </c>
      <c r="F291" s="71">
        <v>81</v>
      </c>
      <c r="G291" s="71">
        <v>2</v>
      </c>
      <c r="H291" s="72">
        <v>0.14444444444444443</v>
      </c>
      <c r="I291" s="71" t="b">
        <v>0</v>
      </c>
      <c r="J291" s="71">
        <v>72</v>
      </c>
      <c r="K291" s="71">
        <v>75</v>
      </c>
      <c r="L291" s="71">
        <v>80</v>
      </c>
      <c r="M291" s="71">
        <v>5</v>
      </c>
      <c r="N291" s="71">
        <v>15</v>
      </c>
      <c r="O291" s="71">
        <v>0</v>
      </c>
      <c r="P291" s="71">
        <v>13</v>
      </c>
      <c r="Q291" s="71">
        <v>80</v>
      </c>
      <c r="R291" s="71">
        <v>124</v>
      </c>
      <c r="S291" s="71" t="s">
        <v>29</v>
      </c>
      <c r="T291" s="73">
        <v>45205</v>
      </c>
      <c r="U291" s="71" t="s">
        <v>3566</v>
      </c>
      <c r="V291" s="71" t="b">
        <v>1</v>
      </c>
    </row>
    <row r="292" spans="1:22" ht="17.25">
      <c r="A292" s="70">
        <v>203</v>
      </c>
      <c r="B292" s="70" t="s">
        <v>2926</v>
      </c>
      <c r="C292" s="70" t="s">
        <v>2490</v>
      </c>
      <c r="D292" s="70" t="s">
        <v>2925</v>
      </c>
      <c r="E292" s="70" t="s">
        <v>2488</v>
      </c>
      <c r="F292" s="71">
        <v>52</v>
      </c>
      <c r="G292" s="71">
        <v>18</v>
      </c>
      <c r="H292" s="72" t="s">
        <v>4315</v>
      </c>
      <c r="I292" s="71" t="b">
        <v>0</v>
      </c>
      <c r="J292" s="71">
        <v>80</v>
      </c>
      <c r="K292" s="71">
        <v>82</v>
      </c>
      <c r="L292" s="71">
        <v>76</v>
      </c>
      <c r="M292" s="71">
        <v>7</v>
      </c>
      <c r="N292" s="71">
        <v>12</v>
      </c>
      <c r="O292" s="71">
        <v>0</v>
      </c>
      <c r="P292" s="71">
        <v>15</v>
      </c>
      <c r="Q292" s="71">
        <v>74</v>
      </c>
      <c r="R292" s="71">
        <v>128</v>
      </c>
      <c r="S292" s="71" t="s">
        <v>115</v>
      </c>
      <c r="T292" s="73" t="s">
        <v>4386</v>
      </c>
      <c r="U292" s="71" t="s">
        <v>3567</v>
      </c>
      <c r="V292" s="71" t="b">
        <v>0</v>
      </c>
    </row>
    <row r="293" spans="1:22" ht="17.25">
      <c r="A293" s="70">
        <v>205</v>
      </c>
      <c r="B293" s="70" t="s">
        <v>2923</v>
      </c>
      <c r="C293" s="70" t="s">
        <v>678</v>
      </c>
      <c r="D293" s="70" t="s">
        <v>2922</v>
      </c>
      <c r="E293" s="70" t="s">
        <v>386</v>
      </c>
      <c r="F293" s="71">
        <v>66</v>
      </c>
      <c r="G293" s="71">
        <v>2</v>
      </c>
      <c r="H293" s="72">
        <v>0.13055555555555556</v>
      </c>
      <c r="I293" s="71" t="b">
        <v>0</v>
      </c>
      <c r="J293" s="71">
        <v>68</v>
      </c>
      <c r="K293" s="71">
        <v>65</v>
      </c>
      <c r="L293" s="71">
        <v>77</v>
      </c>
      <c r="M293" s="71">
        <v>7</v>
      </c>
      <c r="N293" s="71">
        <v>25</v>
      </c>
      <c r="O293" s="71">
        <v>0</v>
      </c>
      <c r="P293" s="71">
        <v>11</v>
      </c>
      <c r="Q293" s="71">
        <v>52</v>
      </c>
      <c r="R293" s="71">
        <v>100</v>
      </c>
      <c r="S293" s="71" t="s">
        <v>96</v>
      </c>
      <c r="T293" s="73">
        <v>45723</v>
      </c>
      <c r="U293" s="71" t="s">
        <v>3568</v>
      </c>
      <c r="V293" s="71" t="b">
        <v>0</v>
      </c>
    </row>
    <row r="294" spans="1:22" ht="17.25">
      <c r="A294" s="70">
        <v>206</v>
      </c>
      <c r="B294" s="70" t="s">
        <v>2921</v>
      </c>
      <c r="C294" s="70" t="s">
        <v>1859</v>
      </c>
      <c r="D294" s="70" t="s">
        <v>2920</v>
      </c>
      <c r="E294" s="70" t="s">
        <v>2919</v>
      </c>
      <c r="F294" s="71">
        <v>2</v>
      </c>
      <c r="G294" s="71">
        <v>98</v>
      </c>
      <c r="H294" s="72">
        <v>0.17430555555555555</v>
      </c>
      <c r="I294" s="71" t="b">
        <v>0</v>
      </c>
      <c r="J294" s="71">
        <v>74</v>
      </c>
      <c r="K294" s="71">
        <v>64</v>
      </c>
      <c r="L294" s="71">
        <v>91</v>
      </c>
      <c r="M294" s="71">
        <v>4</v>
      </c>
      <c r="N294" s="71">
        <v>4</v>
      </c>
      <c r="O294" s="71">
        <v>0</v>
      </c>
      <c r="P294" s="71">
        <v>4</v>
      </c>
      <c r="Q294" s="71">
        <v>96</v>
      </c>
      <c r="R294" s="71">
        <v>117</v>
      </c>
      <c r="S294" s="71" t="s">
        <v>195</v>
      </c>
      <c r="T294" s="73">
        <v>45366</v>
      </c>
      <c r="U294" s="71" t="s">
        <v>3569</v>
      </c>
      <c r="V294" s="71" t="b">
        <v>0</v>
      </c>
    </row>
    <row r="295" spans="1:22" ht="17.25">
      <c r="A295" s="70">
        <v>207</v>
      </c>
      <c r="B295" s="70" t="s">
        <v>2918</v>
      </c>
      <c r="C295" s="70" t="s">
        <v>477</v>
      </c>
      <c r="D295" s="70" t="s">
        <v>1164</v>
      </c>
      <c r="E295" s="70" t="s">
        <v>475</v>
      </c>
      <c r="F295" s="71">
        <v>171</v>
      </c>
      <c r="G295" s="71">
        <v>2</v>
      </c>
      <c r="H295" s="72" t="s">
        <v>4320</v>
      </c>
      <c r="I295" s="71" t="b">
        <v>1</v>
      </c>
      <c r="J295" s="71">
        <v>70</v>
      </c>
      <c r="K295" s="71">
        <v>72</v>
      </c>
      <c r="L295" s="71">
        <v>74</v>
      </c>
      <c r="M295" s="71">
        <v>12</v>
      </c>
      <c r="N295" s="71">
        <v>15</v>
      </c>
      <c r="O295" s="71">
        <v>1</v>
      </c>
      <c r="P295" s="71">
        <v>18</v>
      </c>
      <c r="Q295" s="71">
        <v>49</v>
      </c>
      <c r="R295" s="71">
        <v>144</v>
      </c>
      <c r="S295" s="71" t="s">
        <v>48</v>
      </c>
      <c r="T295" s="73" t="s">
        <v>4385</v>
      </c>
      <c r="U295" s="71" t="s">
        <v>3570</v>
      </c>
      <c r="V295" s="71" t="b">
        <v>0</v>
      </c>
    </row>
    <row r="296" spans="1:22" ht="17.25">
      <c r="A296" s="70">
        <v>208</v>
      </c>
      <c r="B296" s="70" t="s">
        <v>2917</v>
      </c>
      <c r="C296" s="70" t="s">
        <v>446</v>
      </c>
      <c r="D296" s="70" t="s">
        <v>2916</v>
      </c>
      <c r="E296" s="70" t="s">
        <v>444</v>
      </c>
      <c r="F296" s="71">
        <v>133</v>
      </c>
      <c r="G296" s="71">
        <v>3</v>
      </c>
      <c r="H296" s="72" t="s">
        <v>4315</v>
      </c>
      <c r="I296" s="71" t="b">
        <v>1</v>
      </c>
      <c r="J296" s="71">
        <v>68</v>
      </c>
      <c r="K296" s="71">
        <v>52</v>
      </c>
      <c r="L296" s="71">
        <v>71</v>
      </c>
      <c r="M296" s="71">
        <v>5</v>
      </c>
      <c r="N296" s="71">
        <v>54</v>
      </c>
      <c r="O296" s="71">
        <v>0</v>
      </c>
      <c r="P296" s="71">
        <v>13</v>
      </c>
      <c r="Q296" s="71">
        <v>49</v>
      </c>
      <c r="R296" s="71">
        <v>92</v>
      </c>
      <c r="S296" s="71" t="s">
        <v>128</v>
      </c>
      <c r="T296" s="73" t="s">
        <v>4390</v>
      </c>
      <c r="U296" s="71" t="s">
        <v>3571</v>
      </c>
      <c r="V296" s="71" t="b">
        <v>0</v>
      </c>
    </row>
    <row r="297" spans="1:22" ht="17.25">
      <c r="A297" s="70">
        <v>209</v>
      </c>
      <c r="B297" s="70" t="s">
        <v>2915</v>
      </c>
      <c r="C297" s="70" t="s">
        <v>221</v>
      </c>
      <c r="D297" s="70" t="s">
        <v>1000</v>
      </c>
      <c r="E297" s="70" t="s">
        <v>219</v>
      </c>
      <c r="F297" s="71">
        <v>64</v>
      </c>
      <c r="G297" s="71">
        <v>6</v>
      </c>
      <c r="H297" s="72" t="s">
        <v>4343</v>
      </c>
      <c r="I297" s="71" t="b">
        <v>0</v>
      </c>
      <c r="J297" s="71">
        <v>64</v>
      </c>
      <c r="K297" s="71">
        <v>68</v>
      </c>
      <c r="L297" s="71">
        <v>73</v>
      </c>
      <c r="M297" s="71">
        <v>4</v>
      </c>
      <c r="N297" s="71">
        <v>22</v>
      </c>
      <c r="O297" s="71">
        <v>0</v>
      </c>
      <c r="P297" s="71">
        <v>13</v>
      </c>
      <c r="Q297" s="71">
        <v>53</v>
      </c>
      <c r="R297" s="71">
        <v>132</v>
      </c>
      <c r="S297" s="71" t="s">
        <v>143</v>
      </c>
      <c r="T297" s="73" t="s">
        <v>4394</v>
      </c>
      <c r="U297" s="71" t="s">
        <v>3401</v>
      </c>
      <c r="V297" s="71" t="b">
        <v>0</v>
      </c>
    </row>
    <row r="298" spans="1:22" ht="17.25">
      <c r="A298" s="70">
        <v>209</v>
      </c>
      <c r="B298" s="70" t="s">
        <v>2915</v>
      </c>
      <c r="C298" s="70" t="s">
        <v>2556</v>
      </c>
      <c r="D298" s="70" t="s">
        <v>1000</v>
      </c>
      <c r="E298" s="70" t="s">
        <v>219</v>
      </c>
      <c r="F298" s="71">
        <v>64</v>
      </c>
      <c r="G298" s="71">
        <v>6</v>
      </c>
      <c r="H298" s="72" t="s">
        <v>4343</v>
      </c>
      <c r="I298" s="71" t="b">
        <v>0</v>
      </c>
      <c r="J298" s="71">
        <v>64</v>
      </c>
      <c r="K298" s="71">
        <v>68</v>
      </c>
      <c r="L298" s="71">
        <v>73</v>
      </c>
      <c r="M298" s="71">
        <v>4</v>
      </c>
      <c r="N298" s="71">
        <v>22</v>
      </c>
      <c r="O298" s="71">
        <v>0</v>
      </c>
      <c r="P298" s="71">
        <v>13</v>
      </c>
      <c r="Q298" s="71">
        <v>53</v>
      </c>
      <c r="R298" s="71">
        <v>132</v>
      </c>
      <c r="S298" s="71" t="s">
        <v>143</v>
      </c>
      <c r="T298" s="73" t="s">
        <v>4394</v>
      </c>
      <c r="U298" s="71" t="s">
        <v>3401</v>
      </c>
      <c r="V298" s="71" t="b">
        <v>0</v>
      </c>
    </row>
    <row r="299" spans="1:22" ht="17.25">
      <c r="A299" s="70">
        <v>210</v>
      </c>
      <c r="B299" s="70" t="s">
        <v>2914</v>
      </c>
      <c r="C299" s="70" t="s">
        <v>4433</v>
      </c>
      <c r="D299" s="70" t="s">
        <v>2913</v>
      </c>
      <c r="E299" s="70" t="s">
        <v>2912</v>
      </c>
      <c r="F299" s="71">
        <v>19</v>
      </c>
      <c r="G299" s="71">
        <v>40</v>
      </c>
      <c r="H299" s="72">
        <v>0.12291666666666666</v>
      </c>
      <c r="I299" s="71" t="b">
        <v>0</v>
      </c>
      <c r="J299" s="71">
        <v>73</v>
      </c>
      <c r="K299" s="71">
        <v>78</v>
      </c>
      <c r="L299" s="71">
        <v>86</v>
      </c>
      <c r="M299" s="71">
        <v>4</v>
      </c>
      <c r="N299" s="71">
        <v>6</v>
      </c>
      <c r="O299" s="71">
        <v>34</v>
      </c>
      <c r="P299" s="71">
        <v>22</v>
      </c>
      <c r="Q299" s="71">
        <v>66</v>
      </c>
      <c r="R299" s="71">
        <v>120</v>
      </c>
      <c r="S299" s="71" t="s">
        <v>247</v>
      </c>
      <c r="T299" s="73">
        <v>45429</v>
      </c>
      <c r="U299" s="71" t="s">
        <v>3572</v>
      </c>
      <c r="V299" s="71" t="b">
        <v>0</v>
      </c>
    </row>
    <row r="300" spans="1:22" ht="17.25">
      <c r="A300" s="70">
        <v>210</v>
      </c>
      <c r="B300" s="70" t="s">
        <v>2914</v>
      </c>
      <c r="C300" s="70" t="s">
        <v>2912</v>
      </c>
      <c r="D300" s="70" t="s">
        <v>2913</v>
      </c>
      <c r="E300" s="70" t="s">
        <v>2912</v>
      </c>
      <c r="F300" s="71">
        <v>19</v>
      </c>
      <c r="G300" s="71">
        <v>40</v>
      </c>
      <c r="H300" s="72">
        <v>0.12291666666666666</v>
      </c>
      <c r="I300" s="71" t="b">
        <v>0</v>
      </c>
      <c r="J300" s="71">
        <v>73</v>
      </c>
      <c r="K300" s="71">
        <v>78</v>
      </c>
      <c r="L300" s="71">
        <v>86</v>
      </c>
      <c r="M300" s="71">
        <v>4</v>
      </c>
      <c r="N300" s="71">
        <v>6</v>
      </c>
      <c r="O300" s="71">
        <v>34</v>
      </c>
      <c r="P300" s="71">
        <v>22</v>
      </c>
      <c r="Q300" s="71">
        <v>66</v>
      </c>
      <c r="R300" s="71">
        <v>120</v>
      </c>
      <c r="S300" s="71" t="s">
        <v>247</v>
      </c>
      <c r="T300" s="73">
        <v>45429</v>
      </c>
      <c r="U300" s="71" t="s">
        <v>3572</v>
      </c>
      <c r="V300" s="71" t="b">
        <v>0</v>
      </c>
    </row>
    <row r="301" spans="1:22" ht="17.25">
      <c r="A301" s="70">
        <v>210</v>
      </c>
      <c r="B301" s="70" t="s">
        <v>2914</v>
      </c>
      <c r="C301" s="70" t="s">
        <v>4617</v>
      </c>
      <c r="D301" s="70" t="s">
        <v>2913</v>
      </c>
      <c r="E301" s="70" t="s">
        <v>2912</v>
      </c>
      <c r="F301" s="71">
        <v>19</v>
      </c>
      <c r="G301" s="71">
        <v>40</v>
      </c>
      <c r="H301" s="72">
        <v>0.12291666666666666</v>
      </c>
      <c r="I301" s="71" t="b">
        <v>0</v>
      </c>
      <c r="J301" s="71">
        <v>73</v>
      </c>
      <c r="K301" s="71">
        <v>78</v>
      </c>
      <c r="L301" s="71">
        <v>86</v>
      </c>
      <c r="M301" s="71">
        <v>4</v>
      </c>
      <c r="N301" s="71">
        <v>6</v>
      </c>
      <c r="O301" s="71">
        <v>34</v>
      </c>
      <c r="P301" s="71">
        <v>22</v>
      </c>
      <c r="Q301" s="71">
        <v>66</v>
      </c>
      <c r="R301" s="71">
        <v>120</v>
      </c>
      <c r="S301" s="71" t="s">
        <v>247</v>
      </c>
      <c r="T301" s="73">
        <v>45429</v>
      </c>
      <c r="U301" s="71" t="s">
        <v>3572</v>
      </c>
      <c r="V301" s="71" t="b">
        <v>0</v>
      </c>
    </row>
    <row r="302" spans="1:22" ht="17.25">
      <c r="A302" s="70">
        <v>210</v>
      </c>
      <c r="B302" s="70" t="s">
        <v>2914</v>
      </c>
      <c r="C302" s="70" t="s">
        <v>4616</v>
      </c>
      <c r="D302" s="70" t="s">
        <v>2913</v>
      </c>
      <c r="E302" s="70" t="s">
        <v>2912</v>
      </c>
      <c r="F302" s="71">
        <v>19</v>
      </c>
      <c r="G302" s="71">
        <v>40</v>
      </c>
      <c r="H302" s="72">
        <v>0.12291666666666666</v>
      </c>
      <c r="I302" s="71" t="b">
        <v>0</v>
      </c>
      <c r="J302" s="71">
        <v>73</v>
      </c>
      <c r="K302" s="71">
        <v>78</v>
      </c>
      <c r="L302" s="71">
        <v>86</v>
      </c>
      <c r="M302" s="71">
        <v>4</v>
      </c>
      <c r="N302" s="71">
        <v>6</v>
      </c>
      <c r="O302" s="71">
        <v>34</v>
      </c>
      <c r="P302" s="71">
        <v>22</v>
      </c>
      <c r="Q302" s="71">
        <v>66</v>
      </c>
      <c r="R302" s="71">
        <v>120</v>
      </c>
      <c r="S302" s="71" t="s">
        <v>247</v>
      </c>
      <c r="T302" s="73">
        <v>45429</v>
      </c>
      <c r="U302" s="71" t="s">
        <v>3572</v>
      </c>
      <c r="V302" s="71" t="b">
        <v>0</v>
      </c>
    </row>
    <row r="303" spans="1:22" ht="17.25">
      <c r="A303" s="70">
        <v>210</v>
      </c>
      <c r="B303" s="70" t="s">
        <v>2914</v>
      </c>
      <c r="C303" s="70" t="s">
        <v>4615</v>
      </c>
      <c r="D303" s="70" t="s">
        <v>2913</v>
      </c>
      <c r="E303" s="70" t="s">
        <v>2912</v>
      </c>
      <c r="F303" s="71">
        <v>19</v>
      </c>
      <c r="G303" s="71">
        <v>40</v>
      </c>
      <c r="H303" s="72">
        <v>0.12291666666666666</v>
      </c>
      <c r="I303" s="71" t="b">
        <v>0</v>
      </c>
      <c r="J303" s="71">
        <v>73</v>
      </c>
      <c r="K303" s="71">
        <v>78</v>
      </c>
      <c r="L303" s="71">
        <v>86</v>
      </c>
      <c r="M303" s="71">
        <v>4</v>
      </c>
      <c r="N303" s="71">
        <v>6</v>
      </c>
      <c r="O303" s="71">
        <v>34</v>
      </c>
      <c r="P303" s="71">
        <v>22</v>
      </c>
      <c r="Q303" s="71">
        <v>66</v>
      </c>
      <c r="R303" s="71">
        <v>120</v>
      </c>
      <c r="S303" s="71" t="s">
        <v>247</v>
      </c>
      <c r="T303" s="73">
        <v>45429</v>
      </c>
      <c r="U303" s="71" t="s">
        <v>3572</v>
      </c>
      <c r="V303" s="71" t="b">
        <v>0</v>
      </c>
    </row>
    <row r="304" spans="1:22" ht="17.25">
      <c r="A304" s="70">
        <v>211</v>
      </c>
      <c r="B304" s="70" t="s">
        <v>2911</v>
      </c>
      <c r="C304" s="70" t="s">
        <v>4618</v>
      </c>
      <c r="D304" s="70" t="s">
        <v>2910</v>
      </c>
      <c r="E304" s="70" t="s">
        <v>2909</v>
      </c>
      <c r="F304" s="71">
        <v>94</v>
      </c>
      <c r="G304" s="71">
        <v>1</v>
      </c>
      <c r="H304" s="72" t="s">
        <v>4373</v>
      </c>
      <c r="I304" s="71" t="b">
        <v>0</v>
      </c>
      <c r="J304" s="71">
        <v>48</v>
      </c>
      <c r="K304" s="71">
        <v>88</v>
      </c>
      <c r="L304" s="71">
        <v>78</v>
      </c>
      <c r="M304" s="71">
        <v>9</v>
      </c>
      <c r="N304" s="71">
        <v>4</v>
      </c>
      <c r="O304" s="71">
        <v>1</v>
      </c>
      <c r="P304" s="71">
        <v>24</v>
      </c>
      <c r="Q304" s="71">
        <v>35</v>
      </c>
      <c r="R304" s="71">
        <v>160</v>
      </c>
      <c r="S304" s="71" t="s">
        <v>135</v>
      </c>
      <c r="T304" s="73" t="s">
        <v>4372</v>
      </c>
      <c r="U304" s="71" t="s">
        <v>3573</v>
      </c>
      <c r="V304" s="71" t="b">
        <v>0</v>
      </c>
    </row>
    <row r="305" spans="1:22" ht="17.25">
      <c r="A305" s="70">
        <v>211</v>
      </c>
      <c r="B305" s="70" t="s">
        <v>2911</v>
      </c>
      <c r="C305" s="70" t="s">
        <v>4434</v>
      </c>
      <c r="D305" s="70" t="s">
        <v>2910</v>
      </c>
      <c r="E305" s="70" t="s">
        <v>2909</v>
      </c>
      <c r="F305" s="71">
        <v>94</v>
      </c>
      <c r="G305" s="71">
        <v>1</v>
      </c>
      <c r="H305" s="72" t="s">
        <v>4373</v>
      </c>
      <c r="I305" s="71" t="b">
        <v>0</v>
      </c>
      <c r="J305" s="71">
        <v>48</v>
      </c>
      <c r="K305" s="71">
        <v>88</v>
      </c>
      <c r="L305" s="71">
        <v>78</v>
      </c>
      <c r="M305" s="71">
        <v>9</v>
      </c>
      <c r="N305" s="71">
        <v>4</v>
      </c>
      <c r="O305" s="71">
        <v>1</v>
      </c>
      <c r="P305" s="71">
        <v>24</v>
      </c>
      <c r="Q305" s="71">
        <v>35</v>
      </c>
      <c r="R305" s="71">
        <v>160</v>
      </c>
      <c r="S305" s="71" t="s">
        <v>135</v>
      </c>
      <c r="T305" s="73" t="s">
        <v>4372</v>
      </c>
      <c r="U305" s="71" t="s">
        <v>3573</v>
      </c>
      <c r="V305" s="71" t="b">
        <v>0</v>
      </c>
    </row>
    <row r="306" spans="1:22" ht="17.25">
      <c r="A306" s="70">
        <v>211</v>
      </c>
      <c r="B306" s="70" t="s">
        <v>2911</v>
      </c>
      <c r="C306" s="70" t="s">
        <v>4619</v>
      </c>
      <c r="D306" s="70" t="s">
        <v>2910</v>
      </c>
      <c r="E306" s="70" t="s">
        <v>2909</v>
      </c>
      <c r="F306" s="71">
        <v>94</v>
      </c>
      <c r="G306" s="71">
        <v>1</v>
      </c>
      <c r="H306" s="72" t="s">
        <v>4373</v>
      </c>
      <c r="I306" s="71" t="b">
        <v>0</v>
      </c>
      <c r="J306" s="71">
        <v>48</v>
      </c>
      <c r="K306" s="71">
        <v>88</v>
      </c>
      <c r="L306" s="71">
        <v>78</v>
      </c>
      <c r="M306" s="71">
        <v>9</v>
      </c>
      <c r="N306" s="71">
        <v>4</v>
      </c>
      <c r="O306" s="71">
        <v>1</v>
      </c>
      <c r="P306" s="71">
        <v>24</v>
      </c>
      <c r="Q306" s="71">
        <v>35</v>
      </c>
      <c r="R306" s="71">
        <v>160</v>
      </c>
      <c r="S306" s="71" t="s">
        <v>135</v>
      </c>
      <c r="T306" s="73" t="s">
        <v>4372</v>
      </c>
      <c r="U306" s="71" t="s">
        <v>3573</v>
      </c>
      <c r="V306" s="71" t="b">
        <v>0</v>
      </c>
    </row>
    <row r="307" spans="1:22" ht="17.25">
      <c r="A307" s="70">
        <v>212</v>
      </c>
      <c r="B307" s="70" t="s">
        <v>2908</v>
      </c>
      <c r="C307" s="70" t="s">
        <v>97</v>
      </c>
      <c r="D307" s="70" t="s">
        <v>2907</v>
      </c>
      <c r="E307" s="70" t="s">
        <v>97</v>
      </c>
      <c r="F307" s="71">
        <v>2</v>
      </c>
      <c r="G307" s="71">
        <v>145</v>
      </c>
      <c r="H307" s="72">
        <v>0.12361111111111112</v>
      </c>
      <c r="I307" s="71" t="b">
        <v>0</v>
      </c>
      <c r="J307" s="71">
        <v>55</v>
      </c>
      <c r="K307" s="71">
        <v>70</v>
      </c>
      <c r="L307" s="71">
        <v>90</v>
      </c>
      <c r="M307" s="71">
        <v>16</v>
      </c>
      <c r="N307" s="71">
        <v>12</v>
      </c>
      <c r="O307" s="71">
        <v>0</v>
      </c>
      <c r="P307" s="71">
        <v>10</v>
      </c>
      <c r="Q307" s="71">
        <v>56</v>
      </c>
      <c r="R307" s="71">
        <v>170</v>
      </c>
      <c r="S307" s="71" t="s">
        <v>96</v>
      </c>
      <c r="T307" s="73">
        <v>43700</v>
      </c>
      <c r="U307" s="71" t="s">
        <v>3574</v>
      </c>
      <c r="V307" s="71" t="b">
        <v>0</v>
      </c>
    </row>
    <row r="308" spans="1:22" ht="17.25">
      <c r="A308" s="70">
        <v>213</v>
      </c>
      <c r="B308" s="70" t="s">
        <v>2906</v>
      </c>
      <c r="C308" s="70" t="s">
        <v>1603</v>
      </c>
      <c r="D308" s="70" t="s">
        <v>2905</v>
      </c>
      <c r="E308" s="70" t="s">
        <v>153</v>
      </c>
      <c r="F308" s="71">
        <v>78</v>
      </c>
      <c r="G308" s="71">
        <v>17</v>
      </c>
      <c r="H308" s="72">
        <v>0.11666666666666667</v>
      </c>
      <c r="I308" s="71" t="b">
        <v>0</v>
      </c>
      <c r="J308" s="71">
        <v>50</v>
      </c>
      <c r="K308" s="71">
        <v>67</v>
      </c>
      <c r="L308" s="71">
        <v>91</v>
      </c>
      <c r="M308" s="71">
        <v>8</v>
      </c>
      <c r="N308" s="71">
        <v>59</v>
      </c>
      <c r="O308" s="71">
        <v>0</v>
      </c>
      <c r="P308" s="71">
        <v>40</v>
      </c>
      <c r="Q308" s="71">
        <v>34</v>
      </c>
      <c r="R308" s="71">
        <v>104</v>
      </c>
      <c r="S308" s="71" t="s">
        <v>128</v>
      </c>
      <c r="T308" s="73">
        <v>45583</v>
      </c>
      <c r="U308" s="71" t="s">
        <v>3575</v>
      </c>
      <c r="V308" s="71" t="b">
        <v>0</v>
      </c>
    </row>
    <row r="309" spans="1:22" ht="17.25">
      <c r="A309" s="70">
        <v>214</v>
      </c>
      <c r="B309" s="70" t="s">
        <v>2904</v>
      </c>
      <c r="C309" s="70" t="s">
        <v>4435</v>
      </c>
      <c r="D309" s="70" t="s">
        <v>2903</v>
      </c>
      <c r="E309" s="70" t="s">
        <v>1459</v>
      </c>
      <c r="F309" s="71">
        <v>28</v>
      </c>
      <c r="G309" s="71">
        <v>31</v>
      </c>
      <c r="H309" s="72">
        <v>0.12152777777777778</v>
      </c>
      <c r="I309" s="71" t="b">
        <v>0</v>
      </c>
      <c r="J309" s="71">
        <v>79</v>
      </c>
      <c r="K309" s="71">
        <v>79</v>
      </c>
      <c r="L309" s="71">
        <v>89</v>
      </c>
      <c r="M309" s="71">
        <v>5</v>
      </c>
      <c r="N309" s="71">
        <v>44</v>
      </c>
      <c r="O309" s="71">
        <v>0</v>
      </c>
      <c r="P309" s="71">
        <v>9</v>
      </c>
      <c r="Q309" s="71">
        <v>61</v>
      </c>
      <c r="R309" s="71">
        <v>100</v>
      </c>
      <c r="S309" s="71" t="s">
        <v>61</v>
      </c>
      <c r="T309" s="73">
        <v>45513</v>
      </c>
      <c r="U309" s="71" t="s">
        <v>3576</v>
      </c>
      <c r="V309" s="71" t="b">
        <v>0</v>
      </c>
    </row>
    <row r="310" spans="1:22" ht="17.25">
      <c r="A310" s="70">
        <v>214</v>
      </c>
      <c r="B310" s="70" t="s">
        <v>2904</v>
      </c>
      <c r="C310" s="70" t="s">
        <v>485</v>
      </c>
      <c r="D310" s="70" t="s">
        <v>2903</v>
      </c>
      <c r="E310" s="70" t="s">
        <v>1459</v>
      </c>
      <c r="F310" s="71">
        <v>28</v>
      </c>
      <c r="G310" s="71">
        <v>31</v>
      </c>
      <c r="H310" s="72">
        <v>0.12152777777777778</v>
      </c>
      <c r="I310" s="71" t="b">
        <v>0</v>
      </c>
      <c r="J310" s="71">
        <v>79</v>
      </c>
      <c r="K310" s="71">
        <v>79</v>
      </c>
      <c r="L310" s="71">
        <v>89</v>
      </c>
      <c r="M310" s="71">
        <v>5</v>
      </c>
      <c r="N310" s="71">
        <v>44</v>
      </c>
      <c r="O310" s="71">
        <v>0</v>
      </c>
      <c r="P310" s="71">
        <v>9</v>
      </c>
      <c r="Q310" s="71">
        <v>61</v>
      </c>
      <c r="R310" s="71">
        <v>100</v>
      </c>
      <c r="S310" s="71" t="s">
        <v>61</v>
      </c>
      <c r="T310" s="73">
        <v>45513</v>
      </c>
      <c r="U310" s="71" t="s">
        <v>3576</v>
      </c>
      <c r="V310" s="71" t="b">
        <v>0</v>
      </c>
    </row>
    <row r="311" spans="1:22" ht="17.25">
      <c r="A311" s="70">
        <v>215</v>
      </c>
      <c r="B311" s="70" t="s">
        <v>2902</v>
      </c>
      <c r="C311" s="70" t="s">
        <v>4579</v>
      </c>
      <c r="D311" s="70" t="s">
        <v>2901</v>
      </c>
      <c r="E311" s="70" t="s">
        <v>924</v>
      </c>
      <c r="F311" s="71">
        <v>1</v>
      </c>
      <c r="G311" s="71">
        <v>67</v>
      </c>
      <c r="H311" s="72" t="s">
        <v>4387</v>
      </c>
      <c r="I311" s="71" t="b">
        <v>0</v>
      </c>
      <c r="J311" s="71">
        <v>72</v>
      </c>
      <c r="K311" s="71">
        <v>64</v>
      </c>
      <c r="L311" s="71">
        <v>72</v>
      </c>
      <c r="M311" s="71">
        <v>6</v>
      </c>
      <c r="N311" s="71">
        <v>31</v>
      </c>
      <c r="O311" s="71">
        <v>0</v>
      </c>
      <c r="P311" s="71">
        <v>13</v>
      </c>
      <c r="Q311" s="71">
        <v>58</v>
      </c>
      <c r="R311" s="71">
        <v>110</v>
      </c>
      <c r="S311" s="71" t="s">
        <v>115</v>
      </c>
      <c r="T311" s="73" t="s">
        <v>4386</v>
      </c>
      <c r="U311" s="71" t="s">
        <v>3394</v>
      </c>
      <c r="V311" s="71" t="b">
        <v>0</v>
      </c>
    </row>
    <row r="312" spans="1:22" ht="17.25">
      <c r="A312" s="70">
        <v>215</v>
      </c>
      <c r="B312" s="70" t="s">
        <v>2902</v>
      </c>
      <c r="C312" s="70" t="s">
        <v>4578</v>
      </c>
      <c r="D312" s="70" t="s">
        <v>2901</v>
      </c>
      <c r="E312" s="70" t="s">
        <v>924</v>
      </c>
      <c r="F312" s="71">
        <v>1</v>
      </c>
      <c r="G312" s="71">
        <v>67</v>
      </c>
      <c r="H312" s="72" t="s">
        <v>4387</v>
      </c>
      <c r="I312" s="71" t="b">
        <v>0</v>
      </c>
      <c r="J312" s="71">
        <v>72</v>
      </c>
      <c r="K312" s="71">
        <v>64</v>
      </c>
      <c r="L312" s="71">
        <v>72</v>
      </c>
      <c r="M312" s="71">
        <v>6</v>
      </c>
      <c r="N312" s="71">
        <v>31</v>
      </c>
      <c r="O312" s="71">
        <v>0</v>
      </c>
      <c r="P312" s="71">
        <v>13</v>
      </c>
      <c r="Q312" s="71">
        <v>58</v>
      </c>
      <c r="R312" s="71">
        <v>110</v>
      </c>
      <c r="S312" s="71" t="s">
        <v>115</v>
      </c>
      <c r="T312" s="73" t="s">
        <v>4386</v>
      </c>
      <c r="U312" s="71" t="s">
        <v>3394</v>
      </c>
      <c r="V312" s="71" t="b">
        <v>0</v>
      </c>
    </row>
    <row r="313" spans="1:22" ht="17.25">
      <c r="A313" s="70">
        <v>215</v>
      </c>
      <c r="B313" s="70" t="s">
        <v>2902</v>
      </c>
      <c r="C313" s="70" t="s">
        <v>4411</v>
      </c>
      <c r="D313" s="70" t="s">
        <v>2901</v>
      </c>
      <c r="E313" s="70" t="s">
        <v>924</v>
      </c>
      <c r="F313" s="71">
        <v>1</v>
      </c>
      <c r="G313" s="71">
        <v>67</v>
      </c>
      <c r="H313" s="72" t="s">
        <v>4387</v>
      </c>
      <c r="I313" s="71" t="b">
        <v>0</v>
      </c>
      <c r="J313" s="71">
        <v>72</v>
      </c>
      <c r="K313" s="71">
        <v>64</v>
      </c>
      <c r="L313" s="71">
        <v>72</v>
      </c>
      <c r="M313" s="71">
        <v>6</v>
      </c>
      <c r="N313" s="71">
        <v>31</v>
      </c>
      <c r="O313" s="71">
        <v>0</v>
      </c>
      <c r="P313" s="71">
        <v>13</v>
      </c>
      <c r="Q313" s="71">
        <v>58</v>
      </c>
      <c r="R313" s="71">
        <v>110</v>
      </c>
      <c r="S313" s="71" t="s">
        <v>115</v>
      </c>
      <c r="T313" s="73" t="s">
        <v>4386</v>
      </c>
      <c r="U313" s="71" t="s">
        <v>3394</v>
      </c>
      <c r="V313" s="71" t="b">
        <v>0</v>
      </c>
    </row>
    <row r="314" spans="1:22" ht="17.25">
      <c r="A314" s="70">
        <v>215</v>
      </c>
      <c r="B314" s="70" t="s">
        <v>2902</v>
      </c>
      <c r="C314" s="70" t="s">
        <v>4561</v>
      </c>
      <c r="D314" s="70" t="s">
        <v>2901</v>
      </c>
      <c r="E314" s="70" t="s">
        <v>924</v>
      </c>
      <c r="F314" s="71">
        <v>1</v>
      </c>
      <c r="G314" s="71">
        <v>67</v>
      </c>
      <c r="H314" s="72" t="s">
        <v>4387</v>
      </c>
      <c r="I314" s="71" t="b">
        <v>0</v>
      </c>
      <c r="J314" s="71">
        <v>72</v>
      </c>
      <c r="K314" s="71">
        <v>64</v>
      </c>
      <c r="L314" s="71">
        <v>72</v>
      </c>
      <c r="M314" s="71">
        <v>6</v>
      </c>
      <c r="N314" s="71">
        <v>31</v>
      </c>
      <c r="O314" s="71">
        <v>0</v>
      </c>
      <c r="P314" s="71">
        <v>13</v>
      </c>
      <c r="Q314" s="71">
        <v>58</v>
      </c>
      <c r="R314" s="71">
        <v>110</v>
      </c>
      <c r="S314" s="71" t="s">
        <v>115</v>
      </c>
      <c r="T314" s="73" t="s">
        <v>4386</v>
      </c>
      <c r="U314" s="71" t="s">
        <v>3394</v>
      </c>
      <c r="V314" s="71" t="b">
        <v>0</v>
      </c>
    </row>
    <row r="315" spans="1:22" ht="17.25">
      <c r="A315" s="70">
        <v>215</v>
      </c>
      <c r="B315" s="70" t="s">
        <v>2902</v>
      </c>
      <c r="C315" s="70" t="s">
        <v>4580</v>
      </c>
      <c r="D315" s="70" t="s">
        <v>2901</v>
      </c>
      <c r="E315" s="70" t="s">
        <v>924</v>
      </c>
      <c r="F315" s="71">
        <v>1</v>
      </c>
      <c r="G315" s="71">
        <v>67</v>
      </c>
      <c r="H315" s="72" t="s">
        <v>4387</v>
      </c>
      <c r="I315" s="71" t="b">
        <v>0</v>
      </c>
      <c r="J315" s="71">
        <v>72</v>
      </c>
      <c r="K315" s="71">
        <v>64</v>
      </c>
      <c r="L315" s="71">
        <v>72</v>
      </c>
      <c r="M315" s="71">
        <v>6</v>
      </c>
      <c r="N315" s="71">
        <v>31</v>
      </c>
      <c r="O315" s="71">
        <v>0</v>
      </c>
      <c r="P315" s="71">
        <v>13</v>
      </c>
      <c r="Q315" s="71">
        <v>58</v>
      </c>
      <c r="R315" s="71">
        <v>110</v>
      </c>
      <c r="S315" s="71" t="s">
        <v>115</v>
      </c>
      <c r="T315" s="73" t="s">
        <v>4386</v>
      </c>
      <c r="U315" s="71" t="s">
        <v>3394</v>
      </c>
      <c r="V315" s="71" t="b">
        <v>0</v>
      </c>
    </row>
    <row r="316" spans="1:22" ht="17.25">
      <c r="A316" s="70">
        <v>216</v>
      </c>
      <c r="B316" s="70" t="s">
        <v>2900</v>
      </c>
      <c r="C316" s="70" t="s">
        <v>1015</v>
      </c>
      <c r="D316" s="70" t="s">
        <v>2899</v>
      </c>
      <c r="E316" s="70" t="s">
        <v>1013</v>
      </c>
      <c r="F316" s="71">
        <v>61</v>
      </c>
      <c r="G316" s="71">
        <v>17</v>
      </c>
      <c r="H316" s="72">
        <v>0.10277777777777777</v>
      </c>
      <c r="I316" s="71" t="b">
        <v>0</v>
      </c>
      <c r="J316" s="71">
        <v>68</v>
      </c>
      <c r="K316" s="71">
        <v>81</v>
      </c>
      <c r="L316" s="71">
        <v>94</v>
      </c>
      <c r="M316" s="71">
        <v>5</v>
      </c>
      <c r="N316" s="71">
        <v>28</v>
      </c>
      <c r="O316" s="71">
        <v>1</v>
      </c>
      <c r="P316" s="71">
        <v>9</v>
      </c>
      <c r="Q316" s="71">
        <v>76</v>
      </c>
      <c r="R316" s="71">
        <v>93</v>
      </c>
      <c r="S316" s="71" t="s">
        <v>1012</v>
      </c>
      <c r="T316" s="73">
        <v>45576</v>
      </c>
      <c r="U316" s="71" t="s">
        <v>3577</v>
      </c>
      <c r="V316" s="71" t="b">
        <v>0</v>
      </c>
    </row>
    <row r="317" spans="1:22" ht="17.25">
      <c r="A317" s="70">
        <v>217</v>
      </c>
      <c r="B317" s="70" t="s">
        <v>2898</v>
      </c>
      <c r="C317" s="70" t="s">
        <v>178</v>
      </c>
      <c r="D317" s="70" t="s">
        <v>2897</v>
      </c>
      <c r="E317" s="70" t="s">
        <v>84</v>
      </c>
      <c r="F317" s="71">
        <v>160</v>
      </c>
      <c r="G317" s="71">
        <v>3</v>
      </c>
      <c r="H317" s="72">
        <v>0.16527777777777777</v>
      </c>
      <c r="I317" s="71" t="b">
        <v>0</v>
      </c>
      <c r="J317" s="71">
        <v>89</v>
      </c>
      <c r="K317" s="71">
        <v>67</v>
      </c>
      <c r="L317" s="71">
        <v>84</v>
      </c>
      <c r="M317" s="71">
        <v>5</v>
      </c>
      <c r="N317" s="71">
        <v>17</v>
      </c>
      <c r="O317" s="71">
        <v>0</v>
      </c>
      <c r="P317" s="71">
        <v>7</v>
      </c>
      <c r="Q317" s="71">
        <v>96</v>
      </c>
      <c r="R317" s="71">
        <v>127</v>
      </c>
      <c r="S317" s="71" t="s">
        <v>96</v>
      </c>
      <c r="T317" s="73">
        <v>30285</v>
      </c>
      <c r="U317" s="71" t="s">
        <v>3578</v>
      </c>
      <c r="V317" s="71" t="b">
        <v>0</v>
      </c>
    </row>
    <row r="318" spans="1:22" ht="17.25">
      <c r="A318" s="70">
        <v>218</v>
      </c>
      <c r="B318" s="70" t="s">
        <v>2896</v>
      </c>
      <c r="C318" s="70" t="s">
        <v>4621</v>
      </c>
      <c r="D318" s="70" t="s">
        <v>2895</v>
      </c>
      <c r="E318" s="70" t="s">
        <v>360</v>
      </c>
      <c r="F318" s="71">
        <v>6</v>
      </c>
      <c r="G318" s="71">
        <v>8</v>
      </c>
      <c r="H318" s="72" t="s">
        <v>4382</v>
      </c>
      <c r="I318" s="71" t="b">
        <v>0</v>
      </c>
      <c r="J318" s="71">
        <v>62</v>
      </c>
      <c r="K318" s="71">
        <v>48</v>
      </c>
      <c r="L318" s="71">
        <v>70</v>
      </c>
      <c r="M318" s="71">
        <v>5</v>
      </c>
      <c r="N318" s="71">
        <v>59</v>
      </c>
      <c r="O318" s="71">
        <v>0</v>
      </c>
      <c r="P318" s="71">
        <v>12</v>
      </c>
      <c r="Q318" s="71">
        <v>40</v>
      </c>
      <c r="R318" s="71">
        <v>105</v>
      </c>
      <c r="S318" s="71" t="s">
        <v>359</v>
      </c>
      <c r="T318" s="73" t="s">
        <v>4381</v>
      </c>
      <c r="U318" s="71" t="s">
        <v>3579</v>
      </c>
      <c r="V318" s="71" t="b">
        <v>0</v>
      </c>
    </row>
    <row r="319" spans="1:22" ht="17.25">
      <c r="A319" s="70">
        <v>218</v>
      </c>
      <c r="B319" s="70" t="s">
        <v>2896</v>
      </c>
      <c r="C319" s="70" t="s">
        <v>4620</v>
      </c>
      <c r="D319" s="70" t="s">
        <v>2895</v>
      </c>
      <c r="E319" s="70" t="s">
        <v>360</v>
      </c>
      <c r="F319" s="71">
        <v>6</v>
      </c>
      <c r="G319" s="71">
        <v>8</v>
      </c>
      <c r="H319" s="72" t="s">
        <v>4382</v>
      </c>
      <c r="I319" s="71" t="b">
        <v>0</v>
      </c>
      <c r="J319" s="71">
        <v>62</v>
      </c>
      <c r="K319" s="71">
        <v>48</v>
      </c>
      <c r="L319" s="71">
        <v>70</v>
      </c>
      <c r="M319" s="71">
        <v>5</v>
      </c>
      <c r="N319" s="71">
        <v>59</v>
      </c>
      <c r="O319" s="71">
        <v>0</v>
      </c>
      <c r="P319" s="71">
        <v>12</v>
      </c>
      <c r="Q319" s="71">
        <v>40</v>
      </c>
      <c r="R319" s="71">
        <v>105</v>
      </c>
      <c r="S319" s="71" t="s">
        <v>359</v>
      </c>
      <c r="T319" s="73" t="s">
        <v>4381</v>
      </c>
      <c r="U319" s="71" t="s">
        <v>3579</v>
      </c>
      <c r="V319" s="71" t="b">
        <v>0</v>
      </c>
    </row>
    <row r="320" spans="1:22" ht="17.25">
      <c r="A320" s="70">
        <v>218</v>
      </c>
      <c r="B320" s="70" t="s">
        <v>2896</v>
      </c>
      <c r="C320" s="70" t="s">
        <v>4587</v>
      </c>
      <c r="D320" s="70" t="s">
        <v>2895</v>
      </c>
      <c r="E320" s="70" t="s">
        <v>360</v>
      </c>
      <c r="F320" s="71">
        <v>6</v>
      </c>
      <c r="G320" s="71">
        <v>8</v>
      </c>
      <c r="H320" s="72" t="s">
        <v>4382</v>
      </c>
      <c r="I320" s="71" t="b">
        <v>0</v>
      </c>
      <c r="J320" s="71">
        <v>62</v>
      </c>
      <c r="K320" s="71">
        <v>48</v>
      </c>
      <c r="L320" s="71">
        <v>70</v>
      </c>
      <c r="M320" s="71">
        <v>5</v>
      </c>
      <c r="N320" s="71">
        <v>59</v>
      </c>
      <c r="O320" s="71">
        <v>0</v>
      </c>
      <c r="P320" s="71">
        <v>12</v>
      </c>
      <c r="Q320" s="71">
        <v>40</v>
      </c>
      <c r="R320" s="71">
        <v>105</v>
      </c>
      <c r="S320" s="71" t="s">
        <v>359</v>
      </c>
      <c r="T320" s="73" t="s">
        <v>4381</v>
      </c>
      <c r="U320" s="71" t="s">
        <v>3579</v>
      </c>
      <c r="V320" s="71" t="b">
        <v>0</v>
      </c>
    </row>
    <row r="321" spans="1:22" ht="17.25">
      <c r="A321" s="70">
        <v>218</v>
      </c>
      <c r="B321" s="70" t="s">
        <v>2896</v>
      </c>
      <c r="C321" s="70" t="s">
        <v>4436</v>
      </c>
      <c r="D321" s="70" t="s">
        <v>2895</v>
      </c>
      <c r="E321" s="70" t="s">
        <v>360</v>
      </c>
      <c r="F321" s="71">
        <v>6</v>
      </c>
      <c r="G321" s="71">
        <v>8</v>
      </c>
      <c r="H321" s="72" t="s">
        <v>4382</v>
      </c>
      <c r="I321" s="71" t="b">
        <v>0</v>
      </c>
      <c r="J321" s="71">
        <v>62</v>
      </c>
      <c r="K321" s="71">
        <v>48</v>
      </c>
      <c r="L321" s="71">
        <v>70</v>
      </c>
      <c r="M321" s="71">
        <v>5</v>
      </c>
      <c r="N321" s="71">
        <v>59</v>
      </c>
      <c r="O321" s="71">
        <v>0</v>
      </c>
      <c r="P321" s="71">
        <v>12</v>
      </c>
      <c r="Q321" s="71">
        <v>40</v>
      </c>
      <c r="R321" s="71">
        <v>105</v>
      </c>
      <c r="S321" s="71" t="s">
        <v>359</v>
      </c>
      <c r="T321" s="73" t="s">
        <v>4381</v>
      </c>
      <c r="U321" s="71" t="s">
        <v>3579</v>
      </c>
      <c r="V321" s="71" t="b">
        <v>0</v>
      </c>
    </row>
    <row r="322" spans="1:22" ht="17.25">
      <c r="A322" s="70">
        <v>219</v>
      </c>
      <c r="B322" s="70" t="s">
        <v>2894</v>
      </c>
      <c r="C322" s="70" t="s">
        <v>4437</v>
      </c>
      <c r="D322" s="70" t="s">
        <v>2893</v>
      </c>
      <c r="E322" s="70" t="s">
        <v>2892</v>
      </c>
      <c r="F322" s="71">
        <v>40</v>
      </c>
      <c r="G322" s="71">
        <v>112</v>
      </c>
      <c r="H322" s="72">
        <v>0.16666666666666666</v>
      </c>
      <c r="I322" s="71" t="b">
        <v>0</v>
      </c>
      <c r="J322" s="71">
        <v>65</v>
      </c>
      <c r="K322" s="71">
        <v>51</v>
      </c>
      <c r="L322" s="71">
        <v>83</v>
      </c>
      <c r="M322" s="71">
        <v>6</v>
      </c>
      <c r="N322" s="71">
        <v>7</v>
      </c>
      <c r="O322" s="71">
        <v>0</v>
      </c>
      <c r="P322" s="71">
        <v>40</v>
      </c>
      <c r="Q322" s="71">
        <v>39</v>
      </c>
      <c r="R322" s="71">
        <v>80</v>
      </c>
      <c r="S322" s="71" t="s">
        <v>48</v>
      </c>
      <c r="T322" s="73">
        <v>34912</v>
      </c>
      <c r="U322" s="71" t="s">
        <v>3580</v>
      </c>
      <c r="V322" s="71" t="b">
        <v>0</v>
      </c>
    </row>
    <row r="323" spans="1:22" ht="17.25">
      <c r="A323" s="70">
        <v>219</v>
      </c>
      <c r="B323" s="70" t="s">
        <v>2894</v>
      </c>
      <c r="C323" s="70" t="s">
        <v>4622</v>
      </c>
      <c r="D323" s="70" t="s">
        <v>2893</v>
      </c>
      <c r="E323" s="70" t="s">
        <v>2892</v>
      </c>
      <c r="F323" s="71">
        <v>40</v>
      </c>
      <c r="G323" s="71">
        <v>112</v>
      </c>
      <c r="H323" s="72">
        <v>0.16666666666666666</v>
      </c>
      <c r="I323" s="71" t="b">
        <v>0</v>
      </c>
      <c r="J323" s="71">
        <v>65</v>
      </c>
      <c r="K323" s="71">
        <v>51</v>
      </c>
      <c r="L323" s="71">
        <v>83</v>
      </c>
      <c r="M323" s="71">
        <v>6</v>
      </c>
      <c r="N323" s="71">
        <v>7</v>
      </c>
      <c r="O323" s="71">
        <v>0</v>
      </c>
      <c r="P323" s="71">
        <v>40</v>
      </c>
      <c r="Q323" s="71">
        <v>39</v>
      </c>
      <c r="R323" s="71">
        <v>80</v>
      </c>
      <c r="S323" s="71" t="s">
        <v>48</v>
      </c>
      <c r="T323" s="73">
        <v>34912</v>
      </c>
      <c r="U323" s="71" t="s">
        <v>3580</v>
      </c>
      <c r="V323" s="71" t="b">
        <v>0</v>
      </c>
    </row>
    <row r="324" spans="1:22" ht="17.25">
      <c r="A324" s="70">
        <v>220</v>
      </c>
      <c r="B324" s="70" t="s">
        <v>2891</v>
      </c>
      <c r="C324" s="70" t="s">
        <v>4602</v>
      </c>
      <c r="D324" s="70" t="s">
        <v>2890</v>
      </c>
      <c r="E324" s="70" t="s">
        <v>147</v>
      </c>
      <c r="F324" s="71">
        <v>63</v>
      </c>
      <c r="G324" s="71">
        <v>6</v>
      </c>
      <c r="H324" s="72">
        <v>0.13750000000000001</v>
      </c>
      <c r="I324" s="71" t="b">
        <v>0</v>
      </c>
      <c r="J324" s="71">
        <v>67</v>
      </c>
      <c r="K324" s="71">
        <v>63</v>
      </c>
      <c r="L324" s="71">
        <v>88</v>
      </c>
      <c r="M324" s="71">
        <v>3</v>
      </c>
      <c r="N324" s="71">
        <v>74</v>
      </c>
      <c r="O324" s="71">
        <v>4</v>
      </c>
      <c r="P324" s="71">
        <v>20</v>
      </c>
      <c r="Q324" s="71">
        <v>73</v>
      </c>
      <c r="R324" s="71">
        <v>110</v>
      </c>
      <c r="S324" s="71" t="s">
        <v>96</v>
      </c>
      <c r="T324" s="73">
        <v>45737</v>
      </c>
      <c r="U324" s="71" t="s">
        <v>3581</v>
      </c>
      <c r="V324" s="71" t="b">
        <v>0</v>
      </c>
    </row>
    <row r="325" spans="1:22" ht="17.25">
      <c r="A325" s="70">
        <v>220</v>
      </c>
      <c r="B325" s="70" t="s">
        <v>2891</v>
      </c>
      <c r="C325" s="70" t="s">
        <v>4438</v>
      </c>
      <c r="D325" s="70" t="s">
        <v>2890</v>
      </c>
      <c r="E325" s="70" t="s">
        <v>147</v>
      </c>
      <c r="F325" s="71">
        <v>63</v>
      </c>
      <c r="G325" s="71">
        <v>6</v>
      </c>
      <c r="H325" s="72">
        <v>0.13750000000000001</v>
      </c>
      <c r="I325" s="71" t="b">
        <v>0</v>
      </c>
      <c r="J325" s="71">
        <v>67</v>
      </c>
      <c r="K325" s="71">
        <v>63</v>
      </c>
      <c r="L325" s="71">
        <v>88</v>
      </c>
      <c r="M325" s="71">
        <v>3</v>
      </c>
      <c r="N325" s="71">
        <v>74</v>
      </c>
      <c r="O325" s="71">
        <v>4</v>
      </c>
      <c r="P325" s="71">
        <v>20</v>
      </c>
      <c r="Q325" s="71">
        <v>73</v>
      </c>
      <c r="R325" s="71">
        <v>110</v>
      </c>
      <c r="S325" s="71" t="s">
        <v>96</v>
      </c>
      <c r="T325" s="73">
        <v>45737</v>
      </c>
      <c r="U325" s="71" t="s">
        <v>3581</v>
      </c>
      <c r="V325" s="71" t="b">
        <v>0</v>
      </c>
    </row>
    <row r="326" spans="1:22" ht="17.25">
      <c r="A326" s="70">
        <v>220</v>
      </c>
      <c r="B326" s="70" t="s">
        <v>2891</v>
      </c>
      <c r="C326" s="70" t="s">
        <v>1739</v>
      </c>
      <c r="D326" s="70" t="s">
        <v>2890</v>
      </c>
      <c r="E326" s="70" t="s">
        <v>147</v>
      </c>
      <c r="F326" s="71">
        <v>63</v>
      </c>
      <c r="G326" s="71">
        <v>6</v>
      </c>
      <c r="H326" s="72">
        <v>0.13750000000000001</v>
      </c>
      <c r="I326" s="71" t="b">
        <v>0</v>
      </c>
      <c r="J326" s="71">
        <v>67</v>
      </c>
      <c r="K326" s="71">
        <v>63</v>
      </c>
      <c r="L326" s="71">
        <v>88</v>
      </c>
      <c r="M326" s="71">
        <v>3</v>
      </c>
      <c r="N326" s="71">
        <v>74</v>
      </c>
      <c r="O326" s="71">
        <v>4</v>
      </c>
      <c r="P326" s="71">
        <v>20</v>
      </c>
      <c r="Q326" s="71">
        <v>73</v>
      </c>
      <c r="R326" s="71">
        <v>110</v>
      </c>
      <c r="S326" s="71" t="s">
        <v>96</v>
      </c>
      <c r="T326" s="73">
        <v>45737</v>
      </c>
      <c r="U326" s="71" t="s">
        <v>3581</v>
      </c>
      <c r="V326" s="71" t="b">
        <v>0</v>
      </c>
    </row>
    <row r="327" spans="1:22" ht="17.25">
      <c r="A327" s="70">
        <v>221</v>
      </c>
      <c r="B327" s="70" t="s">
        <v>2889</v>
      </c>
      <c r="C327" s="70" t="s">
        <v>2759</v>
      </c>
      <c r="D327" s="70" t="s">
        <v>2888</v>
      </c>
      <c r="E327" s="70" t="s">
        <v>120</v>
      </c>
      <c r="F327" s="71">
        <v>2</v>
      </c>
      <c r="G327" s="71">
        <v>38</v>
      </c>
      <c r="H327" s="72" t="s">
        <v>4317</v>
      </c>
      <c r="I327" s="71" t="b">
        <v>0</v>
      </c>
      <c r="J327" s="71">
        <v>79</v>
      </c>
      <c r="K327" s="71">
        <v>71</v>
      </c>
      <c r="L327" s="71">
        <v>74</v>
      </c>
      <c r="M327" s="71">
        <v>6</v>
      </c>
      <c r="N327" s="71">
        <v>14</v>
      </c>
      <c r="O327" s="71">
        <v>0</v>
      </c>
      <c r="P327" s="71">
        <v>12</v>
      </c>
      <c r="Q327" s="71">
        <v>75</v>
      </c>
      <c r="R327" s="71">
        <v>132</v>
      </c>
      <c r="S327" s="71" t="s">
        <v>96</v>
      </c>
      <c r="T327" s="73" t="s">
        <v>4376</v>
      </c>
      <c r="U327" s="71" t="s">
        <v>3582</v>
      </c>
      <c r="V327" s="71" t="b">
        <v>0</v>
      </c>
    </row>
    <row r="328" spans="1:22" ht="17.25">
      <c r="A328" s="70">
        <v>221</v>
      </c>
      <c r="B328" s="70" t="s">
        <v>2889</v>
      </c>
      <c r="C328" s="70" t="s">
        <v>2632</v>
      </c>
      <c r="D328" s="70" t="s">
        <v>2888</v>
      </c>
      <c r="E328" s="70" t="s">
        <v>120</v>
      </c>
      <c r="F328" s="71">
        <v>2</v>
      </c>
      <c r="G328" s="71">
        <v>38</v>
      </c>
      <c r="H328" s="72" t="s">
        <v>4317</v>
      </c>
      <c r="I328" s="71" t="b">
        <v>0</v>
      </c>
      <c r="J328" s="71">
        <v>79</v>
      </c>
      <c r="K328" s="71">
        <v>71</v>
      </c>
      <c r="L328" s="71">
        <v>74</v>
      </c>
      <c r="M328" s="71">
        <v>6</v>
      </c>
      <c r="N328" s="71">
        <v>14</v>
      </c>
      <c r="O328" s="71">
        <v>0</v>
      </c>
      <c r="P328" s="71">
        <v>12</v>
      </c>
      <c r="Q328" s="71">
        <v>75</v>
      </c>
      <c r="R328" s="71">
        <v>132</v>
      </c>
      <c r="S328" s="71" t="s">
        <v>96</v>
      </c>
      <c r="T328" s="73" t="s">
        <v>4376</v>
      </c>
      <c r="U328" s="71" t="s">
        <v>3582</v>
      </c>
      <c r="V328" s="71" t="b">
        <v>0</v>
      </c>
    </row>
    <row r="329" spans="1:22" ht="17.25">
      <c r="A329" s="70">
        <v>222</v>
      </c>
      <c r="B329" s="70" t="s">
        <v>2887</v>
      </c>
      <c r="C329" s="70" t="s">
        <v>4602</v>
      </c>
      <c r="D329" s="70" t="s">
        <v>2886</v>
      </c>
      <c r="E329" s="70" t="s">
        <v>147</v>
      </c>
      <c r="F329" s="71">
        <v>138</v>
      </c>
      <c r="G329" s="71">
        <v>1</v>
      </c>
      <c r="H329" s="72">
        <v>0.12847222222222221</v>
      </c>
      <c r="I329" s="71" t="b">
        <v>0</v>
      </c>
      <c r="J329" s="71">
        <v>42</v>
      </c>
      <c r="K329" s="71">
        <v>68</v>
      </c>
      <c r="L329" s="71">
        <v>93</v>
      </c>
      <c r="M329" s="71">
        <v>6</v>
      </c>
      <c r="N329" s="71">
        <v>30</v>
      </c>
      <c r="O329" s="71">
        <v>0</v>
      </c>
      <c r="P329" s="71">
        <v>64</v>
      </c>
      <c r="Q329" s="71">
        <v>50</v>
      </c>
      <c r="R329" s="71">
        <v>67</v>
      </c>
      <c r="S329" s="71" t="s">
        <v>96</v>
      </c>
      <c r="T329" s="73">
        <v>45737</v>
      </c>
      <c r="U329" s="71" t="s">
        <v>3583</v>
      </c>
      <c r="V329" s="71" t="b">
        <v>0</v>
      </c>
    </row>
    <row r="330" spans="1:22" ht="17.25">
      <c r="A330" s="70">
        <v>222</v>
      </c>
      <c r="B330" s="70" t="s">
        <v>2887</v>
      </c>
      <c r="C330" s="70" t="s">
        <v>4438</v>
      </c>
      <c r="D330" s="70" t="s">
        <v>2886</v>
      </c>
      <c r="E330" s="70" t="s">
        <v>147</v>
      </c>
      <c r="F330" s="71">
        <v>138</v>
      </c>
      <c r="G330" s="71">
        <v>1</v>
      </c>
      <c r="H330" s="72">
        <v>0.12847222222222221</v>
      </c>
      <c r="I330" s="71" t="b">
        <v>0</v>
      </c>
      <c r="J330" s="71">
        <v>42</v>
      </c>
      <c r="K330" s="71">
        <v>68</v>
      </c>
      <c r="L330" s="71">
        <v>93</v>
      </c>
      <c r="M330" s="71">
        <v>6</v>
      </c>
      <c r="N330" s="71">
        <v>30</v>
      </c>
      <c r="O330" s="71">
        <v>0</v>
      </c>
      <c r="P330" s="71">
        <v>64</v>
      </c>
      <c r="Q330" s="71">
        <v>50</v>
      </c>
      <c r="R330" s="71">
        <v>67</v>
      </c>
      <c r="S330" s="71" t="s">
        <v>96</v>
      </c>
      <c r="T330" s="73">
        <v>45737</v>
      </c>
      <c r="U330" s="71" t="s">
        <v>3583</v>
      </c>
      <c r="V330" s="71" t="b">
        <v>0</v>
      </c>
    </row>
    <row r="331" spans="1:22" ht="17.25">
      <c r="A331" s="70">
        <v>223</v>
      </c>
      <c r="B331" s="70" t="s">
        <v>2885</v>
      </c>
      <c r="C331" s="70" t="s">
        <v>2884</v>
      </c>
      <c r="D331" s="70" t="s">
        <v>2883</v>
      </c>
      <c r="E331" s="70" t="s">
        <v>2882</v>
      </c>
      <c r="F331" s="71">
        <v>109</v>
      </c>
      <c r="G331" s="71">
        <v>9</v>
      </c>
      <c r="H331" s="72">
        <v>0.1701388888888889</v>
      </c>
      <c r="I331" s="71" t="b">
        <v>0</v>
      </c>
      <c r="J331" s="71">
        <v>52</v>
      </c>
      <c r="K331" s="71">
        <v>55</v>
      </c>
      <c r="L331" s="71">
        <v>73</v>
      </c>
      <c r="M331" s="71">
        <v>4</v>
      </c>
      <c r="N331" s="71">
        <v>50</v>
      </c>
      <c r="O331" s="71">
        <v>0</v>
      </c>
      <c r="P331" s="71">
        <v>10</v>
      </c>
      <c r="Q331" s="71">
        <v>48</v>
      </c>
      <c r="R331" s="71">
        <v>85</v>
      </c>
      <c r="S331" s="71" t="s">
        <v>195</v>
      </c>
      <c r="T331" s="73">
        <v>45590</v>
      </c>
      <c r="U331" s="71" t="s">
        <v>3584</v>
      </c>
      <c r="V331" s="71" t="b">
        <v>0</v>
      </c>
    </row>
    <row r="332" spans="1:22" ht="17.25">
      <c r="A332" s="70">
        <v>224</v>
      </c>
      <c r="B332" s="70" t="s">
        <v>2881</v>
      </c>
      <c r="C332" s="70" t="s">
        <v>862</v>
      </c>
      <c r="D332" s="70" t="s">
        <v>2880</v>
      </c>
      <c r="E332" s="70" t="s">
        <v>120</v>
      </c>
      <c r="F332" s="71">
        <v>6</v>
      </c>
      <c r="G332" s="71">
        <v>28</v>
      </c>
      <c r="H332" s="72">
        <v>0.14166666666666666</v>
      </c>
      <c r="I332" s="71" t="b">
        <v>1</v>
      </c>
      <c r="J332" s="71">
        <v>47</v>
      </c>
      <c r="K332" s="71">
        <v>87</v>
      </c>
      <c r="L332" s="71">
        <v>94</v>
      </c>
      <c r="M332" s="71">
        <v>3</v>
      </c>
      <c r="N332" s="71">
        <v>2</v>
      </c>
      <c r="O332" s="71">
        <v>0</v>
      </c>
      <c r="P332" s="71">
        <v>12</v>
      </c>
      <c r="Q332" s="71">
        <v>81</v>
      </c>
      <c r="R332" s="71">
        <v>184</v>
      </c>
      <c r="S332" s="71" t="s">
        <v>79</v>
      </c>
      <c r="T332" s="73">
        <v>45540</v>
      </c>
      <c r="U332" s="71" t="s">
        <v>3585</v>
      </c>
      <c r="V332" s="71" t="b">
        <v>0</v>
      </c>
    </row>
    <row r="333" spans="1:22" ht="17.25">
      <c r="A333" s="70">
        <v>226</v>
      </c>
      <c r="B333" s="70" t="s">
        <v>2878</v>
      </c>
      <c r="C333" s="70" t="s">
        <v>182</v>
      </c>
      <c r="D333" s="70" t="s">
        <v>2877</v>
      </c>
      <c r="E333" s="70" t="s">
        <v>349</v>
      </c>
      <c r="F333" s="71">
        <v>109</v>
      </c>
      <c r="G333" s="71">
        <v>1</v>
      </c>
      <c r="H333" s="72" t="s">
        <v>4322</v>
      </c>
      <c r="I333" s="71" t="b">
        <v>1</v>
      </c>
      <c r="J333" s="71">
        <v>72</v>
      </c>
      <c r="K333" s="71">
        <v>54</v>
      </c>
      <c r="L333" s="71">
        <v>71</v>
      </c>
      <c r="M333" s="71">
        <v>9</v>
      </c>
      <c r="N333" s="71">
        <v>39</v>
      </c>
      <c r="O333" s="71">
        <v>0</v>
      </c>
      <c r="P333" s="71">
        <v>10</v>
      </c>
      <c r="Q333" s="71">
        <v>44</v>
      </c>
      <c r="R333" s="71">
        <v>100</v>
      </c>
      <c r="S333" s="71" t="s">
        <v>26</v>
      </c>
      <c r="T333" s="73" t="s">
        <v>4385</v>
      </c>
      <c r="U333" s="71" t="s">
        <v>3586</v>
      </c>
      <c r="V333" s="71" t="b">
        <v>0</v>
      </c>
    </row>
    <row r="334" spans="1:22" ht="17.25">
      <c r="A334" s="70">
        <v>226</v>
      </c>
      <c r="B334" s="70" t="s">
        <v>2878</v>
      </c>
      <c r="C334" s="70" t="s">
        <v>1260</v>
      </c>
      <c r="D334" s="70" t="s">
        <v>2877</v>
      </c>
      <c r="E334" s="70" t="s">
        <v>349</v>
      </c>
      <c r="F334" s="71">
        <v>109</v>
      </c>
      <c r="G334" s="71">
        <v>1</v>
      </c>
      <c r="H334" s="72" t="s">
        <v>4322</v>
      </c>
      <c r="I334" s="71" t="b">
        <v>1</v>
      </c>
      <c r="J334" s="71">
        <v>72</v>
      </c>
      <c r="K334" s="71">
        <v>54</v>
      </c>
      <c r="L334" s="71">
        <v>71</v>
      </c>
      <c r="M334" s="71">
        <v>9</v>
      </c>
      <c r="N334" s="71">
        <v>39</v>
      </c>
      <c r="O334" s="71">
        <v>0</v>
      </c>
      <c r="P334" s="71">
        <v>10</v>
      </c>
      <c r="Q334" s="71">
        <v>44</v>
      </c>
      <c r="R334" s="71">
        <v>100</v>
      </c>
      <c r="S334" s="71" t="s">
        <v>26</v>
      </c>
      <c r="T334" s="73" t="s">
        <v>4385</v>
      </c>
      <c r="U334" s="71" t="s">
        <v>3586</v>
      </c>
      <c r="V334" s="71" t="b">
        <v>0</v>
      </c>
    </row>
    <row r="335" spans="1:22" ht="17.25">
      <c r="A335" s="70">
        <v>227</v>
      </c>
      <c r="B335" s="70" t="s">
        <v>2876</v>
      </c>
      <c r="C335" s="70" t="s">
        <v>780</v>
      </c>
      <c r="D335" s="70" t="s">
        <v>2875</v>
      </c>
      <c r="E335" s="70" t="s">
        <v>778</v>
      </c>
      <c r="F335" s="71">
        <v>83</v>
      </c>
      <c r="G335" s="71">
        <v>172</v>
      </c>
      <c r="H335" s="72">
        <v>0.18402777777777779</v>
      </c>
      <c r="I335" s="71" t="b">
        <v>0</v>
      </c>
      <c r="J335" s="71">
        <v>56</v>
      </c>
      <c r="K335" s="71">
        <v>65</v>
      </c>
      <c r="L335" s="71">
        <v>89</v>
      </c>
      <c r="M335" s="71">
        <v>3</v>
      </c>
      <c r="N335" s="71">
        <v>5</v>
      </c>
      <c r="O335" s="71">
        <v>0</v>
      </c>
      <c r="P335" s="71">
        <v>12</v>
      </c>
      <c r="Q335" s="71">
        <v>24</v>
      </c>
      <c r="R335" s="71">
        <v>112</v>
      </c>
      <c r="S335" s="71" t="s">
        <v>777</v>
      </c>
      <c r="T335" s="73">
        <v>41082</v>
      </c>
      <c r="U335" s="71" t="s">
        <v>3587</v>
      </c>
      <c r="V335" s="71" t="b">
        <v>0</v>
      </c>
    </row>
    <row r="336" spans="1:22" ht="17.25">
      <c r="A336" s="70">
        <v>228</v>
      </c>
      <c r="B336" s="70" t="s">
        <v>2874</v>
      </c>
      <c r="C336" s="70" t="s">
        <v>4623</v>
      </c>
      <c r="D336" s="70" t="s">
        <v>2873</v>
      </c>
      <c r="E336" s="70" t="s">
        <v>2872</v>
      </c>
      <c r="F336" s="71">
        <v>148</v>
      </c>
      <c r="G336" s="71">
        <v>2</v>
      </c>
      <c r="H336" s="72" t="s">
        <v>4317</v>
      </c>
      <c r="I336" s="71" t="b">
        <v>0</v>
      </c>
      <c r="J336" s="71">
        <v>73</v>
      </c>
      <c r="K336" s="71">
        <v>52</v>
      </c>
      <c r="L336" s="71">
        <v>71</v>
      </c>
      <c r="M336" s="71">
        <v>6</v>
      </c>
      <c r="N336" s="71">
        <v>48</v>
      </c>
      <c r="O336" s="71">
        <v>0</v>
      </c>
      <c r="P336" s="71">
        <v>12</v>
      </c>
      <c r="Q336" s="71">
        <v>54</v>
      </c>
      <c r="R336" s="71">
        <v>98</v>
      </c>
      <c r="S336" s="71" t="s">
        <v>96</v>
      </c>
      <c r="T336" s="73" t="s">
        <v>4327</v>
      </c>
      <c r="U336" s="71" t="s">
        <v>3588</v>
      </c>
      <c r="V336" s="71" t="b">
        <v>0</v>
      </c>
    </row>
    <row r="337" spans="1:22" ht="17.25">
      <c r="A337" s="70">
        <v>228</v>
      </c>
      <c r="B337" s="70" t="s">
        <v>2874</v>
      </c>
      <c r="C337" s="70" t="s">
        <v>4439</v>
      </c>
      <c r="D337" s="70" t="s">
        <v>2873</v>
      </c>
      <c r="E337" s="70" t="s">
        <v>2872</v>
      </c>
      <c r="F337" s="71">
        <v>148</v>
      </c>
      <c r="G337" s="71">
        <v>2</v>
      </c>
      <c r="H337" s="72" t="s">
        <v>4317</v>
      </c>
      <c r="I337" s="71" t="b">
        <v>0</v>
      </c>
      <c r="J337" s="71">
        <v>73</v>
      </c>
      <c r="K337" s="71">
        <v>52</v>
      </c>
      <c r="L337" s="71">
        <v>71</v>
      </c>
      <c r="M337" s="71">
        <v>6</v>
      </c>
      <c r="N337" s="71">
        <v>48</v>
      </c>
      <c r="O337" s="71">
        <v>0</v>
      </c>
      <c r="P337" s="71">
        <v>12</v>
      </c>
      <c r="Q337" s="71">
        <v>54</v>
      </c>
      <c r="R337" s="71">
        <v>98</v>
      </c>
      <c r="S337" s="71" t="s">
        <v>96</v>
      </c>
      <c r="T337" s="73" t="s">
        <v>4327</v>
      </c>
      <c r="U337" s="71" t="s">
        <v>3588</v>
      </c>
      <c r="V337" s="71" t="b">
        <v>0</v>
      </c>
    </row>
    <row r="338" spans="1:22" ht="17.25">
      <c r="A338" s="70">
        <v>228</v>
      </c>
      <c r="B338" s="70" t="s">
        <v>2874</v>
      </c>
      <c r="C338" s="70" t="s">
        <v>4624</v>
      </c>
      <c r="D338" s="70" t="s">
        <v>2873</v>
      </c>
      <c r="E338" s="70" t="s">
        <v>2872</v>
      </c>
      <c r="F338" s="71">
        <v>148</v>
      </c>
      <c r="G338" s="71">
        <v>2</v>
      </c>
      <c r="H338" s="72" t="s">
        <v>4317</v>
      </c>
      <c r="I338" s="71" t="b">
        <v>0</v>
      </c>
      <c r="J338" s="71">
        <v>73</v>
      </c>
      <c r="K338" s="71">
        <v>52</v>
      </c>
      <c r="L338" s="71">
        <v>71</v>
      </c>
      <c r="M338" s="71">
        <v>6</v>
      </c>
      <c r="N338" s="71">
        <v>48</v>
      </c>
      <c r="O338" s="71">
        <v>0</v>
      </c>
      <c r="P338" s="71">
        <v>12</v>
      </c>
      <c r="Q338" s="71">
        <v>54</v>
      </c>
      <c r="R338" s="71">
        <v>98</v>
      </c>
      <c r="S338" s="71" t="s">
        <v>96</v>
      </c>
      <c r="T338" s="73" t="s">
        <v>4327</v>
      </c>
      <c r="U338" s="71" t="s">
        <v>3588</v>
      </c>
      <c r="V338" s="71" t="b">
        <v>0</v>
      </c>
    </row>
    <row r="339" spans="1:22" ht="17.25">
      <c r="A339" s="70">
        <v>229</v>
      </c>
      <c r="B339" s="70" t="s">
        <v>2871</v>
      </c>
      <c r="C339" s="70" t="s">
        <v>565</v>
      </c>
      <c r="D339" s="70" t="s">
        <v>2130</v>
      </c>
      <c r="E339" s="70" t="s">
        <v>120</v>
      </c>
      <c r="F339" s="71">
        <v>194</v>
      </c>
      <c r="G339" s="71">
        <v>1</v>
      </c>
      <c r="H339" s="72">
        <v>0.14930555555555555</v>
      </c>
      <c r="I339" s="71" t="b">
        <v>0</v>
      </c>
      <c r="J339" s="71">
        <v>60</v>
      </c>
      <c r="K339" s="71">
        <v>72</v>
      </c>
      <c r="L339" s="71">
        <v>92</v>
      </c>
      <c r="M339" s="71">
        <v>3</v>
      </c>
      <c r="N339" s="71">
        <v>8</v>
      </c>
      <c r="O339" s="71">
        <v>0</v>
      </c>
      <c r="P339" s="71">
        <v>11</v>
      </c>
      <c r="Q339" s="71">
        <v>55</v>
      </c>
      <c r="R339" s="71">
        <v>89</v>
      </c>
      <c r="S339" s="71" t="s">
        <v>79</v>
      </c>
      <c r="T339" s="73">
        <v>36305</v>
      </c>
      <c r="U339" s="71" t="s">
        <v>3589</v>
      </c>
      <c r="V339" s="71" t="b">
        <v>0</v>
      </c>
    </row>
    <row r="340" spans="1:22" ht="17.25">
      <c r="A340" s="70">
        <v>230</v>
      </c>
      <c r="B340" s="70" t="s">
        <v>2870</v>
      </c>
      <c r="C340" s="70" t="s">
        <v>4625</v>
      </c>
      <c r="D340" s="70" t="s">
        <v>2869</v>
      </c>
      <c r="E340" s="70" t="s">
        <v>360</v>
      </c>
      <c r="F340" s="71">
        <v>100</v>
      </c>
      <c r="G340" s="71">
        <v>2</v>
      </c>
      <c r="H340" s="72" t="s">
        <v>4361</v>
      </c>
      <c r="I340" s="71" t="b">
        <v>0</v>
      </c>
      <c r="J340" s="71">
        <v>50</v>
      </c>
      <c r="K340" s="71">
        <v>42</v>
      </c>
      <c r="L340" s="71">
        <v>69</v>
      </c>
      <c r="M340" s="71">
        <v>4</v>
      </c>
      <c r="N340" s="71">
        <v>72</v>
      </c>
      <c r="O340" s="71">
        <v>0</v>
      </c>
      <c r="P340" s="71">
        <v>11</v>
      </c>
      <c r="Q340" s="71">
        <v>32</v>
      </c>
      <c r="R340" s="71">
        <v>82</v>
      </c>
      <c r="S340" s="71" t="s">
        <v>359</v>
      </c>
      <c r="T340" s="73" t="s">
        <v>4381</v>
      </c>
      <c r="U340" s="71" t="s">
        <v>3590</v>
      </c>
      <c r="V340" s="71" t="b">
        <v>0</v>
      </c>
    </row>
    <row r="341" spans="1:22" ht="17.25">
      <c r="A341" s="70">
        <v>230</v>
      </c>
      <c r="B341" s="70" t="s">
        <v>2870</v>
      </c>
      <c r="C341" s="70" t="s">
        <v>4440</v>
      </c>
      <c r="D341" s="70" t="s">
        <v>2869</v>
      </c>
      <c r="E341" s="70" t="s">
        <v>360</v>
      </c>
      <c r="F341" s="71">
        <v>100</v>
      </c>
      <c r="G341" s="71">
        <v>2</v>
      </c>
      <c r="H341" s="72" t="s">
        <v>4361</v>
      </c>
      <c r="I341" s="71" t="b">
        <v>0</v>
      </c>
      <c r="J341" s="71">
        <v>50</v>
      </c>
      <c r="K341" s="71">
        <v>42</v>
      </c>
      <c r="L341" s="71">
        <v>69</v>
      </c>
      <c r="M341" s="71">
        <v>4</v>
      </c>
      <c r="N341" s="71">
        <v>72</v>
      </c>
      <c r="O341" s="71">
        <v>0</v>
      </c>
      <c r="P341" s="71">
        <v>11</v>
      </c>
      <c r="Q341" s="71">
        <v>32</v>
      </c>
      <c r="R341" s="71">
        <v>82</v>
      </c>
      <c r="S341" s="71" t="s">
        <v>359</v>
      </c>
      <c r="T341" s="73" t="s">
        <v>4381</v>
      </c>
      <c r="U341" s="71" t="s">
        <v>3590</v>
      </c>
      <c r="V341" s="71" t="b">
        <v>0</v>
      </c>
    </row>
    <row r="342" spans="1:22" ht="17.25">
      <c r="A342" s="70">
        <v>231</v>
      </c>
      <c r="B342" s="70" t="s">
        <v>2868</v>
      </c>
      <c r="C342" s="70" t="s">
        <v>118</v>
      </c>
      <c r="D342" s="70" t="s">
        <v>2867</v>
      </c>
      <c r="E342" s="70" t="s">
        <v>116</v>
      </c>
      <c r="F342" s="71">
        <v>60</v>
      </c>
      <c r="G342" s="71">
        <v>2</v>
      </c>
      <c r="H342" s="72" t="s">
        <v>4315</v>
      </c>
      <c r="I342" s="71" t="b">
        <v>0</v>
      </c>
      <c r="J342" s="71">
        <v>78</v>
      </c>
      <c r="K342" s="71">
        <v>83</v>
      </c>
      <c r="L342" s="71">
        <v>76</v>
      </c>
      <c r="M342" s="71">
        <v>9</v>
      </c>
      <c r="N342" s="71">
        <v>10</v>
      </c>
      <c r="O342" s="71">
        <v>0</v>
      </c>
      <c r="P342" s="71">
        <v>18</v>
      </c>
      <c r="Q342" s="71">
        <v>74</v>
      </c>
      <c r="R342" s="71">
        <v>135</v>
      </c>
      <c r="S342" s="71" t="s">
        <v>115</v>
      </c>
      <c r="T342" s="73" t="s">
        <v>4375</v>
      </c>
      <c r="U342" s="71" t="s">
        <v>3591</v>
      </c>
      <c r="V342" s="71" t="b">
        <v>0</v>
      </c>
    </row>
    <row r="343" spans="1:22" ht="17.25">
      <c r="A343" s="70">
        <v>232</v>
      </c>
      <c r="B343" s="70" t="s">
        <v>2866</v>
      </c>
      <c r="C343" s="70" t="s">
        <v>1603</v>
      </c>
      <c r="D343" s="70" t="s">
        <v>2865</v>
      </c>
      <c r="E343" s="70" t="s">
        <v>153</v>
      </c>
      <c r="F343" s="71">
        <v>18</v>
      </c>
      <c r="G343" s="71">
        <v>43</v>
      </c>
      <c r="H343" s="72">
        <v>0.12152777777777778</v>
      </c>
      <c r="I343" s="71" t="b">
        <v>0</v>
      </c>
      <c r="J343" s="71">
        <v>67</v>
      </c>
      <c r="K343" s="71">
        <v>60</v>
      </c>
      <c r="L343" s="71">
        <v>87</v>
      </c>
      <c r="M343" s="71">
        <v>6</v>
      </c>
      <c r="N343" s="71">
        <v>9</v>
      </c>
      <c r="O343" s="71">
        <v>0</v>
      </c>
      <c r="P343" s="71">
        <v>12</v>
      </c>
      <c r="Q343" s="71">
        <v>50</v>
      </c>
      <c r="R343" s="71">
        <v>122</v>
      </c>
      <c r="S343" s="71" t="s">
        <v>128</v>
      </c>
      <c r="T343" s="73">
        <v>45555</v>
      </c>
      <c r="U343" s="71" t="s">
        <v>3575</v>
      </c>
      <c r="V343" s="71" t="b">
        <v>0</v>
      </c>
    </row>
    <row r="344" spans="1:22" ht="17.25">
      <c r="A344" s="70">
        <v>233</v>
      </c>
      <c r="B344" s="70" t="s">
        <v>2864</v>
      </c>
      <c r="C344" s="70" t="s">
        <v>4441</v>
      </c>
      <c r="D344" s="70" t="s">
        <v>2863</v>
      </c>
      <c r="E344" s="70" t="s">
        <v>2862</v>
      </c>
      <c r="F344" s="71">
        <v>166</v>
      </c>
      <c r="G344" s="71">
        <v>4</v>
      </c>
      <c r="H344" s="72">
        <v>0.10972222222222222</v>
      </c>
      <c r="I344" s="71" t="b">
        <v>0</v>
      </c>
      <c r="J344" s="71">
        <v>84</v>
      </c>
      <c r="K344" s="71">
        <v>92</v>
      </c>
      <c r="L344" s="71">
        <v>100</v>
      </c>
      <c r="M344" s="71">
        <v>10</v>
      </c>
      <c r="N344" s="71">
        <v>14</v>
      </c>
      <c r="O344" s="71">
        <v>0</v>
      </c>
      <c r="P344" s="71">
        <v>11</v>
      </c>
      <c r="Q344" s="71">
        <v>59</v>
      </c>
      <c r="R344" s="71">
        <v>160</v>
      </c>
      <c r="S344" s="71" t="s">
        <v>534</v>
      </c>
      <c r="T344" s="73">
        <v>45730</v>
      </c>
      <c r="U344" s="71" t="s">
        <v>3592</v>
      </c>
      <c r="V344" s="71" t="b">
        <v>0</v>
      </c>
    </row>
    <row r="345" spans="1:22" ht="17.25">
      <c r="A345" s="70">
        <v>233</v>
      </c>
      <c r="B345" s="70" t="s">
        <v>2864</v>
      </c>
      <c r="C345" s="70" t="s">
        <v>4626</v>
      </c>
      <c r="D345" s="70" t="s">
        <v>2863</v>
      </c>
      <c r="E345" s="70" t="s">
        <v>2862</v>
      </c>
      <c r="F345" s="71">
        <v>166</v>
      </c>
      <c r="G345" s="71">
        <v>4</v>
      </c>
      <c r="H345" s="72">
        <v>0.10972222222222222</v>
      </c>
      <c r="I345" s="71" t="b">
        <v>0</v>
      </c>
      <c r="J345" s="71">
        <v>84</v>
      </c>
      <c r="K345" s="71">
        <v>92</v>
      </c>
      <c r="L345" s="71">
        <v>100</v>
      </c>
      <c r="M345" s="71">
        <v>10</v>
      </c>
      <c r="N345" s="71">
        <v>14</v>
      </c>
      <c r="O345" s="71">
        <v>0</v>
      </c>
      <c r="P345" s="71">
        <v>11</v>
      </c>
      <c r="Q345" s="71">
        <v>59</v>
      </c>
      <c r="R345" s="71">
        <v>160</v>
      </c>
      <c r="S345" s="71" t="s">
        <v>534</v>
      </c>
      <c r="T345" s="73">
        <v>45730</v>
      </c>
      <c r="U345" s="71" t="s">
        <v>3592</v>
      </c>
      <c r="V345" s="71" t="b">
        <v>0</v>
      </c>
    </row>
    <row r="346" spans="1:22" ht="17.25">
      <c r="A346" s="70">
        <v>234</v>
      </c>
      <c r="B346" s="70" t="s">
        <v>2861</v>
      </c>
      <c r="C346" s="70" t="s">
        <v>131</v>
      </c>
      <c r="D346" s="70" t="s">
        <v>2860</v>
      </c>
      <c r="E346" s="70" t="s">
        <v>129</v>
      </c>
      <c r="F346" s="71">
        <v>51</v>
      </c>
      <c r="G346" s="71">
        <v>5</v>
      </c>
      <c r="H346" s="72">
        <v>0.13750000000000001</v>
      </c>
      <c r="I346" s="71" t="b">
        <v>0</v>
      </c>
      <c r="J346" s="71">
        <v>9</v>
      </c>
      <c r="K346" s="71">
        <v>0</v>
      </c>
      <c r="L346" s="71">
        <v>9</v>
      </c>
      <c r="M346" s="71">
        <v>6</v>
      </c>
      <c r="N346" s="71">
        <v>25</v>
      </c>
      <c r="O346" s="71">
        <v>0</v>
      </c>
      <c r="P346" s="71">
        <v>24</v>
      </c>
      <c r="Q346" s="71">
        <v>7</v>
      </c>
      <c r="R346" s="71">
        <v>83</v>
      </c>
      <c r="S346" s="71" t="s">
        <v>128</v>
      </c>
      <c r="T346" s="73">
        <v>45662</v>
      </c>
      <c r="U346" s="71" t="s">
        <v>3593</v>
      </c>
      <c r="V346" s="71" t="b">
        <v>0</v>
      </c>
    </row>
    <row r="347" spans="1:22" ht="17.25">
      <c r="A347" s="70">
        <v>235</v>
      </c>
      <c r="B347" s="70" t="s">
        <v>2859</v>
      </c>
      <c r="C347" s="70" t="s">
        <v>4556</v>
      </c>
      <c r="D347" s="70" t="s">
        <v>2858</v>
      </c>
      <c r="E347" s="70" t="s">
        <v>924</v>
      </c>
      <c r="F347" s="71">
        <v>4</v>
      </c>
      <c r="G347" s="71">
        <v>28</v>
      </c>
      <c r="H347" s="72" t="s">
        <v>4360</v>
      </c>
      <c r="I347" s="71" t="b">
        <v>0</v>
      </c>
      <c r="J347" s="71">
        <v>76</v>
      </c>
      <c r="K347" s="71">
        <v>70</v>
      </c>
      <c r="L347" s="71">
        <v>74</v>
      </c>
      <c r="M347" s="71">
        <v>8</v>
      </c>
      <c r="N347" s="71">
        <v>18</v>
      </c>
      <c r="O347" s="71">
        <v>0</v>
      </c>
      <c r="P347" s="71">
        <v>11</v>
      </c>
      <c r="Q347" s="71">
        <v>67</v>
      </c>
      <c r="R347" s="71">
        <v>118</v>
      </c>
      <c r="S347" s="71" t="s">
        <v>115</v>
      </c>
      <c r="T347" s="73" t="s">
        <v>4386</v>
      </c>
      <c r="U347" s="71" t="s">
        <v>3394</v>
      </c>
      <c r="V347" s="71" t="b">
        <v>0</v>
      </c>
    </row>
    <row r="348" spans="1:22" ht="17.25">
      <c r="A348" s="70">
        <v>235</v>
      </c>
      <c r="B348" s="70" t="s">
        <v>2859</v>
      </c>
      <c r="C348" s="70" t="s">
        <v>4558</v>
      </c>
      <c r="D348" s="70" t="s">
        <v>2858</v>
      </c>
      <c r="E348" s="70" t="s">
        <v>924</v>
      </c>
      <c r="F348" s="71">
        <v>4</v>
      </c>
      <c r="G348" s="71">
        <v>28</v>
      </c>
      <c r="H348" s="72" t="s">
        <v>4360</v>
      </c>
      <c r="I348" s="71" t="b">
        <v>0</v>
      </c>
      <c r="J348" s="71">
        <v>76</v>
      </c>
      <c r="K348" s="71">
        <v>70</v>
      </c>
      <c r="L348" s="71">
        <v>74</v>
      </c>
      <c r="M348" s="71">
        <v>8</v>
      </c>
      <c r="N348" s="71">
        <v>18</v>
      </c>
      <c r="O348" s="71">
        <v>0</v>
      </c>
      <c r="P348" s="71">
        <v>11</v>
      </c>
      <c r="Q348" s="71">
        <v>67</v>
      </c>
      <c r="R348" s="71">
        <v>118</v>
      </c>
      <c r="S348" s="71" t="s">
        <v>115</v>
      </c>
      <c r="T348" s="73" t="s">
        <v>4386</v>
      </c>
      <c r="U348" s="71" t="s">
        <v>3394</v>
      </c>
      <c r="V348" s="71" t="b">
        <v>0</v>
      </c>
    </row>
    <row r="349" spans="1:22" ht="17.25">
      <c r="A349" s="70">
        <v>235</v>
      </c>
      <c r="B349" s="70" t="s">
        <v>2859</v>
      </c>
      <c r="C349" s="70" t="s">
        <v>4559</v>
      </c>
      <c r="D349" s="70" t="s">
        <v>2858</v>
      </c>
      <c r="E349" s="70" t="s">
        <v>924</v>
      </c>
      <c r="F349" s="71">
        <v>4</v>
      </c>
      <c r="G349" s="71">
        <v>28</v>
      </c>
      <c r="H349" s="72" t="s">
        <v>4360</v>
      </c>
      <c r="I349" s="71" t="b">
        <v>0</v>
      </c>
      <c r="J349" s="71">
        <v>76</v>
      </c>
      <c r="K349" s="71">
        <v>70</v>
      </c>
      <c r="L349" s="71">
        <v>74</v>
      </c>
      <c r="M349" s="71">
        <v>8</v>
      </c>
      <c r="N349" s="71">
        <v>18</v>
      </c>
      <c r="O349" s="71">
        <v>0</v>
      </c>
      <c r="P349" s="71">
        <v>11</v>
      </c>
      <c r="Q349" s="71">
        <v>67</v>
      </c>
      <c r="R349" s="71">
        <v>118</v>
      </c>
      <c r="S349" s="71" t="s">
        <v>115</v>
      </c>
      <c r="T349" s="73" t="s">
        <v>4386</v>
      </c>
      <c r="U349" s="71" t="s">
        <v>3394</v>
      </c>
      <c r="V349" s="71" t="b">
        <v>0</v>
      </c>
    </row>
    <row r="350" spans="1:22" ht="17.25">
      <c r="A350" s="70">
        <v>235</v>
      </c>
      <c r="B350" s="70" t="s">
        <v>2859</v>
      </c>
      <c r="C350" s="70" t="s">
        <v>4561</v>
      </c>
      <c r="D350" s="70" t="s">
        <v>2858</v>
      </c>
      <c r="E350" s="70" t="s">
        <v>924</v>
      </c>
      <c r="F350" s="71">
        <v>4</v>
      </c>
      <c r="G350" s="71">
        <v>28</v>
      </c>
      <c r="H350" s="72" t="s">
        <v>4360</v>
      </c>
      <c r="I350" s="71" t="b">
        <v>0</v>
      </c>
      <c r="J350" s="71">
        <v>76</v>
      </c>
      <c r="K350" s="71">
        <v>70</v>
      </c>
      <c r="L350" s="71">
        <v>74</v>
      </c>
      <c r="M350" s="71">
        <v>8</v>
      </c>
      <c r="N350" s="71">
        <v>18</v>
      </c>
      <c r="O350" s="71">
        <v>0</v>
      </c>
      <c r="P350" s="71">
        <v>11</v>
      </c>
      <c r="Q350" s="71">
        <v>67</v>
      </c>
      <c r="R350" s="71">
        <v>118</v>
      </c>
      <c r="S350" s="71" t="s">
        <v>115</v>
      </c>
      <c r="T350" s="73" t="s">
        <v>4386</v>
      </c>
      <c r="U350" s="71" t="s">
        <v>3394</v>
      </c>
      <c r="V350" s="71" t="b">
        <v>0</v>
      </c>
    </row>
    <row r="351" spans="1:22" ht="17.25">
      <c r="A351" s="70">
        <v>235</v>
      </c>
      <c r="B351" s="70" t="s">
        <v>2859</v>
      </c>
      <c r="C351" s="70" t="s">
        <v>4557</v>
      </c>
      <c r="D351" s="70" t="s">
        <v>2858</v>
      </c>
      <c r="E351" s="70" t="s">
        <v>924</v>
      </c>
      <c r="F351" s="71">
        <v>4</v>
      </c>
      <c r="G351" s="71">
        <v>28</v>
      </c>
      <c r="H351" s="72" t="s">
        <v>4360</v>
      </c>
      <c r="I351" s="71" t="b">
        <v>0</v>
      </c>
      <c r="J351" s="71">
        <v>76</v>
      </c>
      <c r="K351" s="71">
        <v>70</v>
      </c>
      <c r="L351" s="71">
        <v>74</v>
      </c>
      <c r="M351" s="71">
        <v>8</v>
      </c>
      <c r="N351" s="71">
        <v>18</v>
      </c>
      <c r="O351" s="71">
        <v>0</v>
      </c>
      <c r="P351" s="71">
        <v>11</v>
      </c>
      <c r="Q351" s="71">
        <v>67</v>
      </c>
      <c r="R351" s="71">
        <v>118</v>
      </c>
      <c r="S351" s="71" t="s">
        <v>115</v>
      </c>
      <c r="T351" s="73" t="s">
        <v>4386</v>
      </c>
      <c r="U351" s="71" t="s">
        <v>3394</v>
      </c>
      <c r="V351" s="71" t="b">
        <v>0</v>
      </c>
    </row>
    <row r="352" spans="1:22" ht="17.25">
      <c r="A352" s="70">
        <v>235</v>
      </c>
      <c r="B352" s="70" t="s">
        <v>2859</v>
      </c>
      <c r="C352" s="70" t="s">
        <v>4406</v>
      </c>
      <c r="D352" s="70" t="s">
        <v>2858</v>
      </c>
      <c r="E352" s="70" t="s">
        <v>924</v>
      </c>
      <c r="F352" s="71">
        <v>4</v>
      </c>
      <c r="G352" s="71">
        <v>28</v>
      </c>
      <c r="H352" s="72" t="s">
        <v>4360</v>
      </c>
      <c r="I352" s="71" t="b">
        <v>0</v>
      </c>
      <c r="J352" s="71">
        <v>76</v>
      </c>
      <c r="K352" s="71">
        <v>70</v>
      </c>
      <c r="L352" s="71">
        <v>74</v>
      </c>
      <c r="M352" s="71">
        <v>8</v>
      </c>
      <c r="N352" s="71">
        <v>18</v>
      </c>
      <c r="O352" s="71">
        <v>0</v>
      </c>
      <c r="P352" s="71">
        <v>11</v>
      </c>
      <c r="Q352" s="71">
        <v>67</v>
      </c>
      <c r="R352" s="71">
        <v>118</v>
      </c>
      <c r="S352" s="71" t="s">
        <v>115</v>
      </c>
      <c r="T352" s="73" t="s">
        <v>4386</v>
      </c>
      <c r="U352" s="71" t="s">
        <v>3394</v>
      </c>
      <c r="V352" s="71" t="b">
        <v>0</v>
      </c>
    </row>
    <row r="353" spans="1:22" ht="17.25">
      <c r="A353" s="70">
        <v>235</v>
      </c>
      <c r="B353" s="70" t="s">
        <v>2859</v>
      </c>
      <c r="C353" s="70" t="s">
        <v>4560</v>
      </c>
      <c r="D353" s="70" t="s">
        <v>2858</v>
      </c>
      <c r="E353" s="70" t="s">
        <v>924</v>
      </c>
      <c r="F353" s="71">
        <v>4</v>
      </c>
      <c r="G353" s="71">
        <v>28</v>
      </c>
      <c r="H353" s="72" t="s">
        <v>4360</v>
      </c>
      <c r="I353" s="71" t="b">
        <v>0</v>
      </c>
      <c r="J353" s="71">
        <v>76</v>
      </c>
      <c r="K353" s="71">
        <v>70</v>
      </c>
      <c r="L353" s="71">
        <v>74</v>
      </c>
      <c r="M353" s="71">
        <v>8</v>
      </c>
      <c r="N353" s="71">
        <v>18</v>
      </c>
      <c r="O353" s="71">
        <v>0</v>
      </c>
      <c r="P353" s="71">
        <v>11</v>
      </c>
      <c r="Q353" s="71">
        <v>67</v>
      </c>
      <c r="R353" s="71">
        <v>118</v>
      </c>
      <c r="S353" s="71" t="s">
        <v>115</v>
      </c>
      <c r="T353" s="73" t="s">
        <v>4386</v>
      </c>
      <c r="U353" s="71" t="s">
        <v>3394</v>
      </c>
      <c r="V353" s="71" t="b">
        <v>0</v>
      </c>
    </row>
    <row r="354" spans="1:22" ht="17.25">
      <c r="A354" s="70">
        <v>236</v>
      </c>
      <c r="B354" s="70" t="s">
        <v>2857</v>
      </c>
      <c r="C354" s="70" t="s">
        <v>4906</v>
      </c>
      <c r="D354" s="70" t="s">
        <v>2856</v>
      </c>
      <c r="E354" s="70" t="s">
        <v>44</v>
      </c>
      <c r="F354" s="71">
        <v>107</v>
      </c>
      <c r="G354" s="71">
        <v>1</v>
      </c>
      <c r="H354" s="72" t="s">
        <v>4315</v>
      </c>
      <c r="I354" s="71" t="b">
        <v>1</v>
      </c>
      <c r="J354" s="71">
        <v>75</v>
      </c>
      <c r="K354" s="71">
        <v>65</v>
      </c>
      <c r="L354" s="71">
        <v>73</v>
      </c>
      <c r="M354" s="71">
        <v>24</v>
      </c>
      <c r="N354" s="71">
        <v>26</v>
      </c>
      <c r="O354" s="71">
        <v>0</v>
      </c>
      <c r="P354" s="71">
        <v>14</v>
      </c>
      <c r="Q354" s="71">
        <v>53</v>
      </c>
      <c r="R354" s="71">
        <v>95</v>
      </c>
      <c r="S354" s="71" t="s">
        <v>48</v>
      </c>
      <c r="T354" s="73" t="s">
        <v>4381</v>
      </c>
      <c r="U354" s="71" t="s">
        <v>3594</v>
      </c>
      <c r="V354" s="71" t="b">
        <v>0</v>
      </c>
    </row>
    <row r="355" spans="1:22" ht="17.25">
      <c r="A355" s="70">
        <v>237</v>
      </c>
      <c r="B355" s="70" t="s">
        <v>2855</v>
      </c>
      <c r="C355" s="70" t="s">
        <v>131</v>
      </c>
      <c r="D355" s="70" t="s">
        <v>2854</v>
      </c>
      <c r="E355" s="70" t="s">
        <v>129</v>
      </c>
      <c r="F355" s="71">
        <v>4</v>
      </c>
      <c r="G355" s="71">
        <v>91</v>
      </c>
      <c r="H355" s="72">
        <v>0.16875000000000001</v>
      </c>
      <c r="I355" s="71" t="b">
        <v>1</v>
      </c>
      <c r="J355" s="71">
        <v>65</v>
      </c>
      <c r="K355" s="71">
        <v>72</v>
      </c>
      <c r="L355" s="71">
        <v>91</v>
      </c>
      <c r="M355" s="71">
        <v>25</v>
      </c>
      <c r="N355" s="71">
        <v>10</v>
      </c>
      <c r="O355" s="71">
        <v>0</v>
      </c>
      <c r="P355" s="71">
        <v>13</v>
      </c>
      <c r="Q355" s="71">
        <v>19</v>
      </c>
      <c r="R355" s="71">
        <v>107</v>
      </c>
      <c r="S355" s="71" t="s">
        <v>128</v>
      </c>
      <c r="T355" s="73">
        <v>44687</v>
      </c>
      <c r="U355" s="71" t="s">
        <v>3595</v>
      </c>
      <c r="V355" s="71" t="b">
        <v>0</v>
      </c>
    </row>
    <row r="356" spans="1:22" ht="17.25">
      <c r="A356" s="70">
        <v>238</v>
      </c>
      <c r="B356" s="70" t="s">
        <v>2853</v>
      </c>
      <c r="C356" s="70" t="s">
        <v>2763</v>
      </c>
      <c r="D356" s="70" t="s">
        <v>2852</v>
      </c>
      <c r="E356" s="70" t="s">
        <v>44</v>
      </c>
      <c r="F356" s="71">
        <v>7</v>
      </c>
      <c r="G356" s="71">
        <v>52</v>
      </c>
      <c r="H356" s="72">
        <v>0.11527777777777778</v>
      </c>
      <c r="I356" s="71" t="b">
        <v>0</v>
      </c>
      <c r="J356" s="71">
        <v>60</v>
      </c>
      <c r="K356" s="71">
        <v>62</v>
      </c>
      <c r="L356" s="71">
        <v>77</v>
      </c>
      <c r="M356" s="71">
        <v>4</v>
      </c>
      <c r="N356" s="71">
        <v>40</v>
      </c>
      <c r="O356" s="71">
        <v>0</v>
      </c>
      <c r="P356" s="71">
        <v>15</v>
      </c>
      <c r="Q356" s="71">
        <v>82</v>
      </c>
      <c r="R356" s="71">
        <v>125</v>
      </c>
      <c r="S356" s="71" t="s">
        <v>29</v>
      </c>
      <c r="T356" s="73">
        <v>23298</v>
      </c>
      <c r="U356" s="71" t="s">
        <v>3596</v>
      </c>
      <c r="V356" s="71" t="b">
        <v>1</v>
      </c>
    </row>
    <row r="357" spans="1:22" ht="17.25">
      <c r="A357" s="70">
        <v>240</v>
      </c>
      <c r="B357" s="70" t="s">
        <v>2850</v>
      </c>
      <c r="C357" s="70" t="s">
        <v>2849</v>
      </c>
      <c r="D357" s="70" t="s">
        <v>2848</v>
      </c>
      <c r="E357" s="70" t="s">
        <v>778</v>
      </c>
      <c r="F357" s="71">
        <v>8</v>
      </c>
      <c r="G357" s="71">
        <v>251</v>
      </c>
      <c r="H357" s="72">
        <v>0.17569444444444443</v>
      </c>
      <c r="I357" s="71" t="b">
        <v>0</v>
      </c>
      <c r="J357" s="71">
        <v>82</v>
      </c>
      <c r="K357" s="71">
        <v>45</v>
      </c>
      <c r="L357" s="71">
        <v>84</v>
      </c>
      <c r="M357" s="71">
        <v>3</v>
      </c>
      <c r="N357" s="71">
        <v>54</v>
      </c>
      <c r="O357" s="71">
        <v>0</v>
      </c>
      <c r="P357" s="71">
        <v>7</v>
      </c>
      <c r="Q357" s="71">
        <v>74</v>
      </c>
      <c r="R357" s="71">
        <v>117</v>
      </c>
      <c r="S357" s="71" t="s">
        <v>1526</v>
      </c>
      <c r="T357" s="73">
        <v>30456</v>
      </c>
      <c r="U357" s="71" t="s">
        <v>3597</v>
      </c>
      <c r="V357" s="71" t="b">
        <v>0</v>
      </c>
    </row>
    <row r="358" spans="1:22" ht="17.25">
      <c r="A358" s="70">
        <v>241</v>
      </c>
      <c r="B358" s="70" t="s">
        <v>2847</v>
      </c>
      <c r="C358" s="70" t="s">
        <v>4627</v>
      </c>
      <c r="D358" s="70" t="s">
        <v>2846</v>
      </c>
      <c r="E358" s="70" t="s">
        <v>1344</v>
      </c>
      <c r="F358" s="71">
        <v>163</v>
      </c>
      <c r="G358" s="71">
        <v>7</v>
      </c>
      <c r="H358" s="72">
        <v>0.10277777777777777</v>
      </c>
      <c r="I358" s="71" t="b">
        <v>1</v>
      </c>
      <c r="J358" s="71">
        <v>85</v>
      </c>
      <c r="K358" s="71">
        <v>82</v>
      </c>
      <c r="L358" s="71">
        <v>82</v>
      </c>
      <c r="M358" s="71">
        <v>16</v>
      </c>
      <c r="N358" s="71">
        <v>5</v>
      </c>
      <c r="O358" s="71">
        <v>0</v>
      </c>
      <c r="P358" s="71">
        <v>15</v>
      </c>
      <c r="Q358" s="71">
        <v>72</v>
      </c>
      <c r="R358" s="71">
        <v>130</v>
      </c>
      <c r="S358" s="71" t="s">
        <v>534</v>
      </c>
      <c r="T358" s="73">
        <v>45758</v>
      </c>
      <c r="U358" s="71" t="s">
        <v>3598</v>
      </c>
      <c r="V358" s="71" t="b">
        <v>0</v>
      </c>
    </row>
    <row r="359" spans="1:22" ht="17.25">
      <c r="A359" s="70">
        <v>241</v>
      </c>
      <c r="B359" s="70" t="s">
        <v>2847</v>
      </c>
      <c r="C359" s="70" t="s">
        <v>4628</v>
      </c>
      <c r="D359" s="70" t="s">
        <v>2846</v>
      </c>
      <c r="E359" s="70" t="s">
        <v>1344</v>
      </c>
      <c r="F359" s="71">
        <v>163</v>
      </c>
      <c r="G359" s="71">
        <v>7</v>
      </c>
      <c r="H359" s="72">
        <v>0.10277777777777777</v>
      </c>
      <c r="I359" s="71" t="b">
        <v>1</v>
      </c>
      <c r="J359" s="71">
        <v>85</v>
      </c>
      <c r="K359" s="71">
        <v>82</v>
      </c>
      <c r="L359" s="71">
        <v>82</v>
      </c>
      <c r="M359" s="71">
        <v>16</v>
      </c>
      <c r="N359" s="71">
        <v>5</v>
      </c>
      <c r="O359" s="71">
        <v>0</v>
      </c>
      <c r="P359" s="71">
        <v>15</v>
      </c>
      <c r="Q359" s="71">
        <v>72</v>
      </c>
      <c r="R359" s="71">
        <v>130</v>
      </c>
      <c r="S359" s="71" t="s">
        <v>534</v>
      </c>
      <c r="T359" s="73">
        <v>45758</v>
      </c>
      <c r="U359" s="71" t="s">
        <v>3598</v>
      </c>
      <c r="V359" s="71" t="b">
        <v>0</v>
      </c>
    </row>
    <row r="360" spans="1:22" ht="17.25">
      <c r="A360" s="70">
        <v>241</v>
      </c>
      <c r="B360" s="70" t="s">
        <v>2847</v>
      </c>
      <c r="C360" s="70" t="s">
        <v>4629</v>
      </c>
      <c r="D360" s="70" t="s">
        <v>2846</v>
      </c>
      <c r="E360" s="70" t="s">
        <v>1344</v>
      </c>
      <c r="F360" s="71">
        <v>163</v>
      </c>
      <c r="G360" s="71">
        <v>7</v>
      </c>
      <c r="H360" s="72">
        <v>0.10277777777777777</v>
      </c>
      <c r="I360" s="71" t="b">
        <v>1</v>
      </c>
      <c r="J360" s="71">
        <v>85</v>
      </c>
      <c r="K360" s="71">
        <v>82</v>
      </c>
      <c r="L360" s="71">
        <v>82</v>
      </c>
      <c r="M360" s="71">
        <v>16</v>
      </c>
      <c r="N360" s="71">
        <v>5</v>
      </c>
      <c r="O360" s="71">
        <v>0</v>
      </c>
      <c r="P360" s="71">
        <v>15</v>
      </c>
      <c r="Q360" s="71">
        <v>72</v>
      </c>
      <c r="R360" s="71">
        <v>130</v>
      </c>
      <c r="S360" s="71" t="s">
        <v>534</v>
      </c>
      <c r="T360" s="73">
        <v>45758</v>
      </c>
      <c r="U360" s="71" t="s">
        <v>3598</v>
      </c>
      <c r="V360" s="71" t="b">
        <v>0</v>
      </c>
    </row>
    <row r="361" spans="1:22" ht="17.25">
      <c r="A361" s="70">
        <v>241</v>
      </c>
      <c r="B361" s="70" t="s">
        <v>2847</v>
      </c>
      <c r="C361" s="70" t="s">
        <v>4570</v>
      </c>
      <c r="D361" s="70" t="s">
        <v>2846</v>
      </c>
      <c r="E361" s="70" t="s">
        <v>1344</v>
      </c>
      <c r="F361" s="71">
        <v>163</v>
      </c>
      <c r="G361" s="71">
        <v>7</v>
      </c>
      <c r="H361" s="72">
        <v>0.10277777777777777</v>
      </c>
      <c r="I361" s="71" t="b">
        <v>1</v>
      </c>
      <c r="J361" s="71">
        <v>85</v>
      </c>
      <c r="K361" s="71">
        <v>82</v>
      </c>
      <c r="L361" s="71">
        <v>82</v>
      </c>
      <c r="M361" s="71">
        <v>16</v>
      </c>
      <c r="N361" s="71">
        <v>5</v>
      </c>
      <c r="O361" s="71">
        <v>0</v>
      </c>
      <c r="P361" s="71">
        <v>15</v>
      </c>
      <c r="Q361" s="71">
        <v>72</v>
      </c>
      <c r="R361" s="71">
        <v>130</v>
      </c>
      <c r="S361" s="71" t="s">
        <v>534</v>
      </c>
      <c r="T361" s="73">
        <v>45758</v>
      </c>
      <c r="U361" s="71" t="s">
        <v>3598</v>
      </c>
      <c r="V361" s="71" t="b">
        <v>0</v>
      </c>
    </row>
    <row r="362" spans="1:22" ht="17.25">
      <c r="A362" s="70">
        <v>241</v>
      </c>
      <c r="B362" s="70" t="s">
        <v>2847</v>
      </c>
      <c r="C362" s="70" t="s">
        <v>4442</v>
      </c>
      <c r="D362" s="70" t="s">
        <v>2846</v>
      </c>
      <c r="E362" s="70" t="s">
        <v>1344</v>
      </c>
      <c r="F362" s="71">
        <v>163</v>
      </c>
      <c r="G362" s="71">
        <v>7</v>
      </c>
      <c r="H362" s="72">
        <v>0.10277777777777777</v>
      </c>
      <c r="I362" s="71" t="b">
        <v>1</v>
      </c>
      <c r="J362" s="71">
        <v>85</v>
      </c>
      <c r="K362" s="71">
        <v>82</v>
      </c>
      <c r="L362" s="71">
        <v>82</v>
      </c>
      <c r="M362" s="71">
        <v>16</v>
      </c>
      <c r="N362" s="71">
        <v>5</v>
      </c>
      <c r="O362" s="71">
        <v>0</v>
      </c>
      <c r="P362" s="71">
        <v>15</v>
      </c>
      <c r="Q362" s="71">
        <v>72</v>
      </c>
      <c r="R362" s="71">
        <v>130</v>
      </c>
      <c r="S362" s="71" t="s">
        <v>534</v>
      </c>
      <c r="T362" s="73">
        <v>45758</v>
      </c>
      <c r="U362" s="71" t="s">
        <v>3598</v>
      </c>
      <c r="V362" s="71" t="b">
        <v>0</v>
      </c>
    </row>
    <row r="363" spans="1:22" ht="17.25">
      <c r="A363" s="70">
        <v>242</v>
      </c>
      <c r="B363" s="70" t="s">
        <v>2845</v>
      </c>
      <c r="C363" s="70" t="s">
        <v>4630</v>
      </c>
      <c r="D363" s="70" t="s">
        <v>2844</v>
      </c>
      <c r="E363" s="70" t="s">
        <v>2843</v>
      </c>
      <c r="F363" s="71">
        <v>160</v>
      </c>
      <c r="G363" s="71">
        <v>1</v>
      </c>
      <c r="H363" s="72">
        <v>0.12152777777777778</v>
      </c>
      <c r="I363" s="71" t="b">
        <v>1</v>
      </c>
      <c r="J363" s="71">
        <v>72</v>
      </c>
      <c r="K363" s="71">
        <v>75</v>
      </c>
      <c r="L363" s="71">
        <v>79</v>
      </c>
      <c r="M363" s="71">
        <v>14</v>
      </c>
      <c r="N363" s="71">
        <v>10</v>
      </c>
      <c r="O363" s="71">
        <v>0</v>
      </c>
      <c r="P363" s="71">
        <v>12</v>
      </c>
      <c r="Q363" s="71">
        <v>55</v>
      </c>
      <c r="R363" s="71">
        <v>120</v>
      </c>
      <c r="S363" s="71" t="s">
        <v>2842</v>
      </c>
      <c r="T363" s="73">
        <v>45793</v>
      </c>
      <c r="U363" s="71" t="s">
        <v>3599</v>
      </c>
      <c r="V363" s="71" t="b">
        <v>0</v>
      </c>
    </row>
    <row r="364" spans="1:22" ht="17.25">
      <c r="A364" s="70">
        <v>242</v>
      </c>
      <c r="B364" s="70" t="s">
        <v>2845</v>
      </c>
      <c r="C364" s="70" t="s">
        <v>4443</v>
      </c>
      <c r="D364" s="70" t="s">
        <v>2844</v>
      </c>
      <c r="E364" s="70" t="s">
        <v>2843</v>
      </c>
      <c r="F364" s="71">
        <v>160</v>
      </c>
      <c r="G364" s="71">
        <v>1</v>
      </c>
      <c r="H364" s="72">
        <v>0.12152777777777778</v>
      </c>
      <c r="I364" s="71" t="b">
        <v>1</v>
      </c>
      <c r="J364" s="71">
        <v>72</v>
      </c>
      <c r="K364" s="71">
        <v>75</v>
      </c>
      <c r="L364" s="71">
        <v>79</v>
      </c>
      <c r="M364" s="71">
        <v>14</v>
      </c>
      <c r="N364" s="71">
        <v>10</v>
      </c>
      <c r="O364" s="71">
        <v>0</v>
      </c>
      <c r="P364" s="71">
        <v>12</v>
      </c>
      <c r="Q364" s="71">
        <v>55</v>
      </c>
      <c r="R364" s="71">
        <v>120</v>
      </c>
      <c r="S364" s="71" t="s">
        <v>2842</v>
      </c>
      <c r="T364" s="73">
        <v>45793</v>
      </c>
      <c r="U364" s="71" t="s">
        <v>3599</v>
      </c>
      <c r="V364" s="71" t="b">
        <v>0</v>
      </c>
    </row>
    <row r="365" spans="1:22" ht="17.25">
      <c r="A365" s="70">
        <v>243</v>
      </c>
      <c r="B365" s="70" t="s">
        <v>2841</v>
      </c>
      <c r="C365" s="70" t="s">
        <v>37</v>
      </c>
      <c r="D365" s="70" t="s">
        <v>2840</v>
      </c>
      <c r="E365" s="70" t="s">
        <v>35</v>
      </c>
      <c r="F365" s="71">
        <v>60</v>
      </c>
      <c r="G365" s="71">
        <v>49</v>
      </c>
      <c r="H365" s="72">
        <v>0.18541666666666667</v>
      </c>
      <c r="I365" s="71" t="b">
        <v>0</v>
      </c>
      <c r="J365" s="71">
        <v>83</v>
      </c>
      <c r="K365" s="71">
        <v>67</v>
      </c>
      <c r="L365" s="71">
        <v>91</v>
      </c>
      <c r="M365" s="71">
        <v>6</v>
      </c>
      <c r="N365" s="71">
        <v>3</v>
      </c>
      <c r="O365" s="71">
        <v>0</v>
      </c>
      <c r="P365" s="71">
        <v>5</v>
      </c>
      <c r="Q365" s="71">
        <v>55</v>
      </c>
      <c r="R365" s="71">
        <v>123</v>
      </c>
      <c r="S365" s="71" t="s">
        <v>34</v>
      </c>
      <c r="T365" s="73">
        <v>39234</v>
      </c>
      <c r="U365" s="71" t="s">
        <v>3600</v>
      </c>
      <c r="V365" s="71" t="b">
        <v>0</v>
      </c>
    </row>
    <row r="366" spans="1:22" ht="17.25">
      <c r="A366" s="70">
        <v>244</v>
      </c>
      <c r="B366" s="70" t="s">
        <v>2839</v>
      </c>
      <c r="C366" s="70" t="s">
        <v>2838</v>
      </c>
      <c r="D366" s="70" t="s">
        <v>2837</v>
      </c>
      <c r="E366" s="70" t="s">
        <v>2836</v>
      </c>
      <c r="F366" s="71">
        <v>55</v>
      </c>
      <c r="G366" s="71">
        <v>4</v>
      </c>
      <c r="H366" s="72">
        <v>0.14861111111111111</v>
      </c>
      <c r="I366" s="71" t="b">
        <v>0</v>
      </c>
      <c r="J366" s="71">
        <v>74</v>
      </c>
      <c r="K366" s="71">
        <v>68</v>
      </c>
      <c r="L366" s="71">
        <v>93</v>
      </c>
      <c r="M366" s="71">
        <v>10</v>
      </c>
      <c r="N366" s="71">
        <v>3</v>
      </c>
      <c r="O366" s="71">
        <v>0</v>
      </c>
      <c r="P366" s="71">
        <v>7</v>
      </c>
      <c r="Q366" s="71">
        <v>59</v>
      </c>
      <c r="R366" s="71">
        <v>93</v>
      </c>
      <c r="S366" s="71" t="s">
        <v>26</v>
      </c>
      <c r="T366" s="73">
        <v>36193</v>
      </c>
      <c r="U366" s="71" t="s">
        <v>3601</v>
      </c>
      <c r="V366" s="71" t="b">
        <v>0</v>
      </c>
    </row>
    <row r="367" spans="1:22" ht="17.25">
      <c r="A367" s="70">
        <v>245</v>
      </c>
      <c r="B367" s="70" t="s">
        <v>2835</v>
      </c>
      <c r="C367" s="70" t="s">
        <v>4631</v>
      </c>
      <c r="D367" s="70" t="s">
        <v>2834</v>
      </c>
      <c r="E367" s="70" t="s">
        <v>2833</v>
      </c>
      <c r="F367" s="71">
        <v>168</v>
      </c>
      <c r="G367" s="71">
        <v>4</v>
      </c>
      <c r="H367" s="72">
        <v>0.12847222222222221</v>
      </c>
      <c r="I367" s="71" t="b">
        <v>0</v>
      </c>
      <c r="J367" s="71">
        <v>50</v>
      </c>
      <c r="K367" s="71">
        <v>33</v>
      </c>
      <c r="L367" s="71">
        <v>83</v>
      </c>
      <c r="M367" s="71">
        <v>3</v>
      </c>
      <c r="N367" s="71">
        <v>46</v>
      </c>
      <c r="O367" s="71">
        <v>0</v>
      </c>
      <c r="P367" s="71">
        <v>10</v>
      </c>
      <c r="Q367" s="71">
        <v>10</v>
      </c>
      <c r="R367" s="71">
        <v>83</v>
      </c>
      <c r="S367" s="71" t="s">
        <v>143</v>
      </c>
      <c r="T367" s="73">
        <v>45716</v>
      </c>
      <c r="U367" s="71" t="s">
        <v>3602</v>
      </c>
      <c r="V367" s="71" t="b">
        <v>0</v>
      </c>
    </row>
    <row r="368" spans="1:22" ht="17.25">
      <c r="A368" s="70">
        <v>245</v>
      </c>
      <c r="B368" s="70" t="s">
        <v>2835</v>
      </c>
      <c r="C368" s="70" t="s">
        <v>4444</v>
      </c>
      <c r="D368" s="70" t="s">
        <v>2834</v>
      </c>
      <c r="E368" s="70" t="s">
        <v>2833</v>
      </c>
      <c r="F368" s="71">
        <v>168</v>
      </c>
      <c r="G368" s="71">
        <v>4</v>
      </c>
      <c r="H368" s="72">
        <v>0.12847222222222221</v>
      </c>
      <c r="I368" s="71" t="b">
        <v>0</v>
      </c>
      <c r="J368" s="71">
        <v>50</v>
      </c>
      <c r="K368" s="71">
        <v>33</v>
      </c>
      <c r="L368" s="71">
        <v>83</v>
      </c>
      <c r="M368" s="71">
        <v>3</v>
      </c>
      <c r="N368" s="71">
        <v>46</v>
      </c>
      <c r="O368" s="71">
        <v>0</v>
      </c>
      <c r="P368" s="71">
        <v>10</v>
      </c>
      <c r="Q368" s="71">
        <v>10</v>
      </c>
      <c r="R368" s="71">
        <v>83</v>
      </c>
      <c r="S368" s="71" t="s">
        <v>143</v>
      </c>
      <c r="T368" s="73">
        <v>45716</v>
      </c>
      <c r="U368" s="71" t="s">
        <v>3602</v>
      </c>
      <c r="V368" s="71" t="b">
        <v>0</v>
      </c>
    </row>
    <row r="369" spans="1:22" ht="17.25">
      <c r="A369" s="70">
        <v>246</v>
      </c>
      <c r="B369" s="70" t="s">
        <v>2832</v>
      </c>
      <c r="C369" s="70" t="s">
        <v>301</v>
      </c>
      <c r="D369" s="70" t="s">
        <v>2831</v>
      </c>
      <c r="E369" s="70" t="s">
        <v>44</v>
      </c>
      <c r="F369" s="71">
        <v>143</v>
      </c>
      <c r="G369" s="71">
        <v>1</v>
      </c>
      <c r="H369" s="72" t="s">
        <v>4326</v>
      </c>
      <c r="I369" s="71" t="b">
        <v>0</v>
      </c>
      <c r="J369" s="71">
        <v>68</v>
      </c>
      <c r="K369" s="71">
        <v>58</v>
      </c>
      <c r="L369" s="71">
        <v>71</v>
      </c>
      <c r="M369" s="71">
        <v>6</v>
      </c>
      <c r="N369" s="71">
        <v>38</v>
      </c>
      <c r="O369" s="71">
        <v>0</v>
      </c>
      <c r="P369" s="71">
        <v>11</v>
      </c>
      <c r="Q369" s="71">
        <v>52</v>
      </c>
      <c r="R369" s="71">
        <v>110</v>
      </c>
      <c r="S369" s="71" t="s">
        <v>183</v>
      </c>
      <c r="T369" s="73" t="s">
        <v>4359</v>
      </c>
      <c r="U369" s="71" t="s">
        <v>3501</v>
      </c>
      <c r="V369" s="71" t="b">
        <v>0</v>
      </c>
    </row>
    <row r="370" spans="1:22" ht="17.25">
      <c r="A370" s="70">
        <v>247</v>
      </c>
      <c r="B370" s="70" t="s">
        <v>2830</v>
      </c>
      <c r="C370" s="70" t="s">
        <v>2829</v>
      </c>
      <c r="D370" s="70" t="s">
        <v>2828</v>
      </c>
      <c r="E370" s="70" t="s">
        <v>104</v>
      </c>
      <c r="F370" s="71">
        <v>105</v>
      </c>
      <c r="G370" s="71">
        <v>8</v>
      </c>
      <c r="H370" s="72">
        <v>0.2048611111111111</v>
      </c>
      <c r="I370" s="71" t="b">
        <v>0</v>
      </c>
      <c r="J370" s="71">
        <v>42</v>
      </c>
      <c r="K370" s="71">
        <v>33</v>
      </c>
      <c r="L370" s="71">
        <v>77</v>
      </c>
      <c r="M370" s="71">
        <v>3</v>
      </c>
      <c r="N370" s="71">
        <v>25</v>
      </c>
      <c r="O370" s="71">
        <v>0</v>
      </c>
      <c r="P370" s="71">
        <v>7</v>
      </c>
      <c r="Q370" s="71">
        <v>18</v>
      </c>
      <c r="R370" s="71">
        <v>157</v>
      </c>
      <c r="S370" s="71" t="s">
        <v>777</v>
      </c>
      <c r="T370" s="73">
        <v>34219</v>
      </c>
      <c r="U370" s="71" t="s">
        <v>3603</v>
      </c>
      <c r="V370" s="71" t="b">
        <v>0</v>
      </c>
    </row>
    <row r="371" spans="1:22" ht="17.25">
      <c r="A371" s="70">
        <v>248</v>
      </c>
      <c r="B371" s="70" t="s">
        <v>2827</v>
      </c>
      <c r="C371" s="70" t="s">
        <v>2826</v>
      </c>
      <c r="D371" s="70" t="s">
        <v>2825</v>
      </c>
      <c r="E371" s="70" t="s">
        <v>2824</v>
      </c>
      <c r="F371" s="71">
        <v>51</v>
      </c>
      <c r="G371" s="71">
        <v>4</v>
      </c>
      <c r="H371" s="72">
        <v>0.12152777777777778</v>
      </c>
      <c r="I371" s="71" t="b">
        <v>1</v>
      </c>
      <c r="J371" s="71">
        <v>78</v>
      </c>
      <c r="K371" s="71">
        <v>74</v>
      </c>
      <c r="L371" s="71">
        <v>80</v>
      </c>
      <c r="M371" s="71">
        <v>10</v>
      </c>
      <c r="N371" s="71">
        <v>15</v>
      </c>
      <c r="O371" s="71">
        <v>0</v>
      </c>
      <c r="P371" s="71">
        <v>12</v>
      </c>
      <c r="Q371" s="71">
        <v>58</v>
      </c>
      <c r="R371" s="71">
        <v>108</v>
      </c>
      <c r="S371" s="71" t="s">
        <v>61</v>
      </c>
      <c r="T371" s="73">
        <v>45786</v>
      </c>
      <c r="U371" s="71" t="s">
        <v>3604</v>
      </c>
      <c r="V371" s="71" t="b">
        <v>0</v>
      </c>
    </row>
    <row r="372" spans="1:22" ht="17.25">
      <c r="A372" s="70">
        <v>249</v>
      </c>
      <c r="B372" s="70" t="s">
        <v>2823</v>
      </c>
      <c r="C372" s="70" t="s">
        <v>2061</v>
      </c>
      <c r="D372" s="70" t="s">
        <v>2822</v>
      </c>
      <c r="E372" s="70" t="s">
        <v>2821</v>
      </c>
      <c r="F372" s="71">
        <v>45</v>
      </c>
      <c r="G372" s="71">
        <v>3</v>
      </c>
      <c r="H372" s="72">
        <v>0.14444444444444443</v>
      </c>
      <c r="I372" s="71" t="b">
        <v>1</v>
      </c>
      <c r="J372" s="71">
        <v>77</v>
      </c>
      <c r="K372" s="71">
        <v>53</v>
      </c>
      <c r="L372" s="71">
        <v>88</v>
      </c>
      <c r="M372" s="71">
        <v>3</v>
      </c>
      <c r="N372" s="71">
        <v>2</v>
      </c>
      <c r="O372" s="71">
        <v>0</v>
      </c>
      <c r="P372" s="71">
        <v>4</v>
      </c>
      <c r="Q372" s="71">
        <v>31</v>
      </c>
      <c r="R372" s="71">
        <v>122</v>
      </c>
      <c r="S372" s="71" t="s">
        <v>48</v>
      </c>
      <c r="T372" s="73">
        <v>45793</v>
      </c>
      <c r="U372" s="71" t="s">
        <v>3605</v>
      </c>
      <c r="V372" s="71" t="b">
        <v>0</v>
      </c>
    </row>
    <row r="373" spans="1:22" ht="17.25">
      <c r="A373" s="70">
        <v>249</v>
      </c>
      <c r="B373" s="70" t="s">
        <v>2823</v>
      </c>
      <c r="C373" s="70" t="s">
        <v>1158</v>
      </c>
      <c r="D373" s="70" t="s">
        <v>2822</v>
      </c>
      <c r="E373" s="70" t="s">
        <v>2821</v>
      </c>
      <c r="F373" s="71">
        <v>45</v>
      </c>
      <c r="G373" s="71">
        <v>3</v>
      </c>
      <c r="H373" s="72">
        <v>0.14444444444444443</v>
      </c>
      <c r="I373" s="71" t="b">
        <v>1</v>
      </c>
      <c r="J373" s="71">
        <v>77</v>
      </c>
      <c r="K373" s="71">
        <v>53</v>
      </c>
      <c r="L373" s="71">
        <v>88</v>
      </c>
      <c r="M373" s="71">
        <v>3</v>
      </c>
      <c r="N373" s="71">
        <v>2</v>
      </c>
      <c r="O373" s="71">
        <v>0</v>
      </c>
      <c r="P373" s="71">
        <v>4</v>
      </c>
      <c r="Q373" s="71">
        <v>31</v>
      </c>
      <c r="R373" s="71">
        <v>122</v>
      </c>
      <c r="S373" s="71" t="s">
        <v>48</v>
      </c>
      <c r="T373" s="73">
        <v>45793</v>
      </c>
      <c r="U373" s="71" t="s">
        <v>3605</v>
      </c>
      <c r="V373" s="71" t="b">
        <v>0</v>
      </c>
    </row>
    <row r="374" spans="1:22" ht="17.25">
      <c r="A374" s="70">
        <v>249</v>
      </c>
      <c r="B374" s="70" t="s">
        <v>2823</v>
      </c>
      <c r="C374" s="70" t="s">
        <v>4633</v>
      </c>
      <c r="D374" s="70" t="s">
        <v>2822</v>
      </c>
      <c r="E374" s="70" t="s">
        <v>2821</v>
      </c>
      <c r="F374" s="71">
        <v>45</v>
      </c>
      <c r="G374" s="71">
        <v>3</v>
      </c>
      <c r="H374" s="72">
        <v>0.14444444444444443</v>
      </c>
      <c r="I374" s="71" t="b">
        <v>1</v>
      </c>
      <c r="J374" s="71">
        <v>77</v>
      </c>
      <c r="K374" s="71">
        <v>53</v>
      </c>
      <c r="L374" s="71">
        <v>88</v>
      </c>
      <c r="M374" s="71">
        <v>3</v>
      </c>
      <c r="N374" s="71">
        <v>2</v>
      </c>
      <c r="O374" s="71">
        <v>0</v>
      </c>
      <c r="P374" s="71">
        <v>4</v>
      </c>
      <c r="Q374" s="71">
        <v>31</v>
      </c>
      <c r="R374" s="71">
        <v>122</v>
      </c>
      <c r="S374" s="71" t="s">
        <v>48</v>
      </c>
      <c r="T374" s="73">
        <v>45793</v>
      </c>
      <c r="U374" s="71" t="s">
        <v>3605</v>
      </c>
      <c r="V374" s="71" t="b">
        <v>0</v>
      </c>
    </row>
    <row r="375" spans="1:22" ht="17.25">
      <c r="A375" s="70">
        <v>249</v>
      </c>
      <c r="B375" s="70" t="s">
        <v>2823</v>
      </c>
      <c r="C375" s="70" t="s">
        <v>4632</v>
      </c>
      <c r="D375" s="70" t="s">
        <v>2822</v>
      </c>
      <c r="E375" s="70" t="s">
        <v>2821</v>
      </c>
      <c r="F375" s="71">
        <v>45</v>
      </c>
      <c r="G375" s="71">
        <v>3</v>
      </c>
      <c r="H375" s="72">
        <v>0.14444444444444443</v>
      </c>
      <c r="I375" s="71" t="b">
        <v>1</v>
      </c>
      <c r="J375" s="71">
        <v>77</v>
      </c>
      <c r="K375" s="71">
        <v>53</v>
      </c>
      <c r="L375" s="71">
        <v>88</v>
      </c>
      <c r="M375" s="71">
        <v>3</v>
      </c>
      <c r="N375" s="71">
        <v>2</v>
      </c>
      <c r="O375" s="71">
        <v>0</v>
      </c>
      <c r="P375" s="71">
        <v>4</v>
      </c>
      <c r="Q375" s="71">
        <v>31</v>
      </c>
      <c r="R375" s="71">
        <v>122</v>
      </c>
      <c r="S375" s="71" t="s">
        <v>48</v>
      </c>
      <c r="T375" s="73">
        <v>45793</v>
      </c>
      <c r="U375" s="71" t="s">
        <v>3605</v>
      </c>
      <c r="V375" s="71" t="b">
        <v>0</v>
      </c>
    </row>
    <row r="376" spans="1:22" ht="17.25">
      <c r="A376" s="70">
        <v>250</v>
      </c>
      <c r="B376" s="70" t="s">
        <v>2820</v>
      </c>
      <c r="C376" s="70" t="s">
        <v>102</v>
      </c>
      <c r="D376" s="70" t="s">
        <v>2819</v>
      </c>
      <c r="E376" s="70" t="s">
        <v>100</v>
      </c>
      <c r="F376" s="71">
        <v>71</v>
      </c>
      <c r="G376" s="71">
        <v>14</v>
      </c>
      <c r="H376" s="72">
        <v>0.1423611111111111</v>
      </c>
      <c r="I376" s="71" t="b">
        <v>0</v>
      </c>
      <c r="J376" s="71">
        <v>68</v>
      </c>
      <c r="K376" s="71">
        <v>72</v>
      </c>
      <c r="L376" s="71">
        <v>78</v>
      </c>
      <c r="M376" s="71">
        <v>5</v>
      </c>
      <c r="N376" s="71">
        <v>25</v>
      </c>
      <c r="O376" s="71">
        <v>0</v>
      </c>
      <c r="P376" s="71">
        <v>13</v>
      </c>
      <c r="Q376" s="71">
        <v>80</v>
      </c>
      <c r="R376" s="71">
        <v>122</v>
      </c>
      <c r="S376" s="71" t="s">
        <v>29</v>
      </c>
      <c r="T376" s="73">
        <v>43021</v>
      </c>
      <c r="U376" s="71" t="s">
        <v>3606</v>
      </c>
      <c r="V376" s="71" t="b">
        <v>1</v>
      </c>
    </row>
    <row r="377" spans="1:22" ht="17.25">
      <c r="A377" s="70">
        <v>251</v>
      </c>
      <c r="B377" s="70" t="s">
        <v>2818</v>
      </c>
      <c r="C377" s="70" t="s">
        <v>264</v>
      </c>
      <c r="D377" s="70" t="s">
        <v>2817</v>
      </c>
      <c r="E377" s="70" t="s">
        <v>44</v>
      </c>
      <c r="F377" s="71">
        <v>35</v>
      </c>
      <c r="G377" s="71">
        <v>45</v>
      </c>
      <c r="H377" s="72" t="s">
        <v>4373</v>
      </c>
      <c r="I377" s="71" t="b">
        <v>0</v>
      </c>
      <c r="J377" s="71">
        <v>73</v>
      </c>
      <c r="K377" s="71">
        <v>70</v>
      </c>
      <c r="L377" s="71">
        <v>73</v>
      </c>
      <c r="M377" s="71">
        <v>5</v>
      </c>
      <c r="N377" s="71">
        <v>22</v>
      </c>
      <c r="O377" s="71">
        <v>2</v>
      </c>
      <c r="P377" s="71">
        <v>11</v>
      </c>
      <c r="Q377" s="71">
        <v>63</v>
      </c>
      <c r="R377" s="71">
        <v>120</v>
      </c>
      <c r="S377" s="71" t="s">
        <v>262</v>
      </c>
      <c r="T377" s="73" t="s">
        <v>4375</v>
      </c>
      <c r="U377" s="71" t="s">
        <v>3607</v>
      </c>
      <c r="V377" s="71" t="b">
        <v>0</v>
      </c>
    </row>
    <row r="378" spans="1:22" ht="17.25">
      <c r="A378" s="70">
        <v>252</v>
      </c>
      <c r="B378" s="70" t="s">
        <v>2816</v>
      </c>
      <c r="C378" s="70" t="s">
        <v>2815</v>
      </c>
      <c r="D378" s="70" t="s">
        <v>2814</v>
      </c>
      <c r="E378" s="70" t="s">
        <v>84</v>
      </c>
      <c r="F378" s="71">
        <v>127</v>
      </c>
      <c r="G378" s="71">
        <v>2</v>
      </c>
      <c r="H378" s="72">
        <v>0.14930555555555555</v>
      </c>
      <c r="I378" s="71" t="b">
        <v>0</v>
      </c>
      <c r="J378" s="71">
        <v>55</v>
      </c>
      <c r="K378" s="71">
        <v>58</v>
      </c>
      <c r="L378" s="71">
        <v>87</v>
      </c>
      <c r="M378" s="71">
        <v>5</v>
      </c>
      <c r="N378" s="71">
        <v>5</v>
      </c>
      <c r="O378" s="71">
        <v>0</v>
      </c>
      <c r="P378" s="71">
        <v>30</v>
      </c>
      <c r="Q378" s="71">
        <v>40</v>
      </c>
      <c r="R378" s="71">
        <v>79</v>
      </c>
      <c r="S378" s="71" t="s">
        <v>26</v>
      </c>
      <c r="T378" s="73">
        <v>45772</v>
      </c>
      <c r="U378" s="71" t="s">
        <v>3608</v>
      </c>
      <c r="V378" s="71" t="b">
        <v>0</v>
      </c>
    </row>
    <row r="379" spans="1:22" ht="17.25">
      <c r="A379" s="70">
        <v>254</v>
      </c>
      <c r="B379" s="70" t="s">
        <v>2812</v>
      </c>
      <c r="C379" s="70" t="s">
        <v>4602</v>
      </c>
      <c r="D379" s="70" t="s">
        <v>1301</v>
      </c>
      <c r="E379" s="70" t="s">
        <v>147</v>
      </c>
      <c r="F379" s="71">
        <v>92</v>
      </c>
      <c r="G379" s="71">
        <v>4</v>
      </c>
      <c r="H379" s="72">
        <v>0.12847222222222221</v>
      </c>
      <c r="I379" s="71" t="b">
        <v>0</v>
      </c>
      <c r="J379" s="71">
        <v>79</v>
      </c>
      <c r="K379" s="71">
        <v>70</v>
      </c>
      <c r="L379" s="71">
        <v>92</v>
      </c>
      <c r="M379" s="71">
        <v>13</v>
      </c>
      <c r="N379" s="71">
        <v>37</v>
      </c>
      <c r="O379" s="71">
        <v>0</v>
      </c>
      <c r="P379" s="71">
        <v>5</v>
      </c>
      <c r="Q379" s="71">
        <v>85</v>
      </c>
      <c r="R379" s="71">
        <v>148</v>
      </c>
      <c r="S379" s="71" t="s">
        <v>96</v>
      </c>
      <c r="T379" s="73">
        <v>45737</v>
      </c>
      <c r="U379" s="71" t="s">
        <v>3581</v>
      </c>
      <c r="V379" s="71" t="b">
        <v>0</v>
      </c>
    </row>
    <row r="380" spans="1:22" ht="17.25">
      <c r="A380" s="70">
        <v>254</v>
      </c>
      <c r="B380" s="70" t="s">
        <v>2812</v>
      </c>
      <c r="C380" s="70" t="s">
        <v>193</v>
      </c>
      <c r="D380" s="70" t="s">
        <v>1301</v>
      </c>
      <c r="E380" s="70" t="s">
        <v>147</v>
      </c>
      <c r="F380" s="71">
        <v>92</v>
      </c>
      <c r="G380" s="71">
        <v>4</v>
      </c>
      <c r="H380" s="72">
        <v>0.12847222222222221</v>
      </c>
      <c r="I380" s="71" t="b">
        <v>0</v>
      </c>
      <c r="J380" s="71">
        <v>79</v>
      </c>
      <c r="K380" s="71">
        <v>70</v>
      </c>
      <c r="L380" s="71">
        <v>92</v>
      </c>
      <c r="M380" s="71">
        <v>13</v>
      </c>
      <c r="N380" s="71">
        <v>37</v>
      </c>
      <c r="O380" s="71">
        <v>0</v>
      </c>
      <c r="P380" s="71">
        <v>5</v>
      </c>
      <c r="Q380" s="71">
        <v>85</v>
      </c>
      <c r="R380" s="71">
        <v>148</v>
      </c>
      <c r="S380" s="71" t="s">
        <v>96</v>
      </c>
      <c r="T380" s="73">
        <v>45737</v>
      </c>
      <c r="U380" s="71" t="s">
        <v>3581</v>
      </c>
      <c r="V380" s="71" t="b">
        <v>0</v>
      </c>
    </row>
    <row r="381" spans="1:22" ht="17.25">
      <c r="A381" s="70">
        <v>254</v>
      </c>
      <c r="B381" s="70" t="s">
        <v>2812</v>
      </c>
      <c r="C381" s="70" t="s">
        <v>4438</v>
      </c>
      <c r="D381" s="70" t="s">
        <v>1301</v>
      </c>
      <c r="E381" s="70" t="s">
        <v>147</v>
      </c>
      <c r="F381" s="71">
        <v>92</v>
      </c>
      <c r="G381" s="71">
        <v>4</v>
      </c>
      <c r="H381" s="72">
        <v>0.12847222222222221</v>
      </c>
      <c r="I381" s="71" t="b">
        <v>0</v>
      </c>
      <c r="J381" s="71">
        <v>79</v>
      </c>
      <c r="K381" s="71">
        <v>70</v>
      </c>
      <c r="L381" s="71">
        <v>92</v>
      </c>
      <c r="M381" s="71">
        <v>13</v>
      </c>
      <c r="N381" s="71">
        <v>37</v>
      </c>
      <c r="O381" s="71">
        <v>0</v>
      </c>
      <c r="P381" s="71">
        <v>5</v>
      </c>
      <c r="Q381" s="71">
        <v>85</v>
      </c>
      <c r="R381" s="71">
        <v>148</v>
      </c>
      <c r="S381" s="71" t="s">
        <v>96</v>
      </c>
      <c r="T381" s="73">
        <v>45737</v>
      </c>
      <c r="U381" s="71" t="s">
        <v>3581</v>
      </c>
      <c r="V381" s="71" t="b">
        <v>0</v>
      </c>
    </row>
    <row r="382" spans="1:22" ht="17.25">
      <c r="A382" s="70">
        <v>255</v>
      </c>
      <c r="B382" s="70" t="s">
        <v>2811</v>
      </c>
      <c r="C382" s="70" t="s">
        <v>419</v>
      </c>
      <c r="D382" s="70" t="s">
        <v>2810</v>
      </c>
      <c r="E382" s="70" t="s">
        <v>2043</v>
      </c>
      <c r="F382" s="71">
        <v>88</v>
      </c>
      <c r="G382" s="71">
        <v>73</v>
      </c>
      <c r="H382" s="72">
        <v>0.13333333333333333</v>
      </c>
      <c r="I382" s="71" t="b">
        <v>0</v>
      </c>
      <c r="J382" s="71">
        <v>74</v>
      </c>
      <c r="K382" s="71">
        <v>82</v>
      </c>
      <c r="L382" s="71">
        <v>92</v>
      </c>
      <c r="M382" s="71">
        <v>9</v>
      </c>
      <c r="N382" s="71">
        <v>24</v>
      </c>
      <c r="O382" s="71">
        <v>0</v>
      </c>
      <c r="P382" s="71">
        <v>11</v>
      </c>
      <c r="Q382" s="71">
        <v>88</v>
      </c>
      <c r="R382" s="71">
        <v>79</v>
      </c>
      <c r="S382" s="71" t="s">
        <v>61</v>
      </c>
      <c r="T382" s="73">
        <v>45702</v>
      </c>
      <c r="U382" s="71" t="s">
        <v>3609</v>
      </c>
      <c r="V382" s="71" t="b">
        <v>0</v>
      </c>
    </row>
    <row r="383" spans="1:22" ht="17.25">
      <c r="A383" s="70">
        <v>255</v>
      </c>
      <c r="B383" s="70" t="s">
        <v>2811</v>
      </c>
      <c r="C383" s="70" t="s">
        <v>4414</v>
      </c>
      <c r="D383" s="70" t="s">
        <v>2810</v>
      </c>
      <c r="E383" s="70" t="s">
        <v>2043</v>
      </c>
      <c r="F383" s="71">
        <v>88</v>
      </c>
      <c r="G383" s="71">
        <v>73</v>
      </c>
      <c r="H383" s="72">
        <v>0.13333333333333333</v>
      </c>
      <c r="I383" s="71" t="b">
        <v>0</v>
      </c>
      <c r="J383" s="71">
        <v>74</v>
      </c>
      <c r="K383" s="71">
        <v>82</v>
      </c>
      <c r="L383" s="71">
        <v>92</v>
      </c>
      <c r="M383" s="71">
        <v>9</v>
      </c>
      <c r="N383" s="71">
        <v>24</v>
      </c>
      <c r="O383" s="71">
        <v>0</v>
      </c>
      <c r="P383" s="71">
        <v>11</v>
      </c>
      <c r="Q383" s="71">
        <v>88</v>
      </c>
      <c r="R383" s="71">
        <v>79</v>
      </c>
      <c r="S383" s="71" t="s">
        <v>61</v>
      </c>
      <c r="T383" s="73">
        <v>45702</v>
      </c>
      <c r="U383" s="71" t="s">
        <v>3609</v>
      </c>
      <c r="V383" s="71" t="b">
        <v>0</v>
      </c>
    </row>
    <row r="384" spans="1:22" ht="17.25">
      <c r="A384" s="70">
        <v>256</v>
      </c>
      <c r="B384" s="70" t="s">
        <v>2809</v>
      </c>
      <c r="C384" s="70" t="s">
        <v>32</v>
      </c>
      <c r="D384" s="70" t="s">
        <v>2808</v>
      </c>
      <c r="E384" s="70" t="s">
        <v>30</v>
      </c>
      <c r="F384" s="71">
        <v>31</v>
      </c>
      <c r="G384" s="71">
        <v>3</v>
      </c>
      <c r="H384" s="72" t="s">
        <v>4315</v>
      </c>
      <c r="I384" s="71" t="b">
        <v>0</v>
      </c>
      <c r="J384" s="71">
        <v>74</v>
      </c>
      <c r="K384" s="71">
        <v>58</v>
      </c>
      <c r="L384" s="71">
        <v>72</v>
      </c>
      <c r="M384" s="71">
        <v>6</v>
      </c>
      <c r="N384" s="71">
        <v>28</v>
      </c>
      <c r="O384" s="71">
        <v>0</v>
      </c>
      <c r="P384" s="71">
        <v>10</v>
      </c>
      <c r="Q384" s="71">
        <v>61</v>
      </c>
      <c r="R384" s="71">
        <v>110</v>
      </c>
      <c r="S384" s="71" t="s">
        <v>96</v>
      </c>
      <c r="T384" s="73" t="s">
        <v>4372</v>
      </c>
      <c r="U384" s="71" t="s">
        <v>3507</v>
      </c>
      <c r="V384" s="71" t="b">
        <v>0</v>
      </c>
    </row>
    <row r="385" spans="1:22" ht="17.25">
      <c r="A385" s="70">
        <v>257</v>
      </c>
      <c r="B385" s="70" t="s">
        <v>2807</v>
      </c>
      <c r="C385" s="70" t="s">
        <v>2806</v>
      </c>
      <c r="D385" s="70" t="s">
        <v>2805</v>
      </c>
      <c r="E385" s="70" t="s">
        <v>2804</v>
      </c>
      <c r="F385" s="71">
        <v>1</v>
      </c>
      <c r="G385" s="71">
        <v>47</v>
      </c>
      <c r="H385" s="72">
        <v>0.20694444444444443</v>
      </c>
      <c r="I385" s="71" t="b">
        <v>0</v>
      </c>
      <c r="J385" s="71">
        <v>63</v>
      </c>
      <c r="K385" s="71">
        <v>55</v>
      </c>
      <c r="L385" s="71">
        <v>78</v>
      </c>
      <c r="M385" s="71">
        <v>5</v>
      </c>
      <c r="N385" s="71">
        <v>72</v>
      </c>
      <c r="O385" s="71">
        <v>0</v>
      </c>
      <c r="P385" s="71">
        <v>6</v>
      </c>
      <c r="Q385" s="71">
        <v>19</v>
      </c>
      <c r="R385" s="71">
        <v>108</v>
      </c>
      <c r="S385" s="71" t="s">
        <v>2348</v>
      </c>
      <c r="T385" s="73">
        <v>31264</v>
      </c>
      <c r="U385" s="71" t="s">
        <v>3610</v>
      </c>
      <c r="V385" s="71" t="b">
        <v>0</v>
      </c>
    </row>
    <row r="386" spans="1:22" ht="17.25">
      <c r="A386" s="70">
        <v>258</v>
      </c>
      <c r="B386" s="70" t="s">
        <v>2803</v>
      </c>
      <c r="C386" s="70" t="s">
        <v>452</v>
      </c>
      <c r="D386" s="70" t="s">
        <v>2794</v>
      </c>
      <c r="E386" s="70" t="s">
        <v>27</v>
      </c>
      <c r="F386" s="71">
        <v>110</v>
      </c>
      <c r="G386" s="71">
        <v>35</v>
      </c>
      <c r="H386" s="72">
        <v>0.1451388888888889</v>
      </c>
      <c r="I386" s="71" t="b">
        <v>0</v>
      </c>
      <c r="J386" s="71">
        <v>52</v>
      </c>
      <c r="K386" s="71">
        <v>36</v>
      </c>
      <c r="L386" s="71">
        <v>83</v>
      </c>
      <c r="M386" s="71">
        <v>4</v>
      </c>
      <c r="N386" s="71">
        <v>81</v>
      </c>
      <c r="O386" s="71">
        <v>0</v>
      </c>
      <c r="P386" s="71">
        <v>10</v>
      </c>
      <c r="Q386" s="71">
        <v>44</v>
      </c>
      <c r="R386" s="71">
        <v>75</v>
      </c>
      <c r="S386" s="71" t="s">
        <v>26</v>
      </c>
      <c r="T386" s="73">
        <v>42972</v>
      </c>
      <c r="U386" s="71" t="s">
        <v>3611</v>
      </c>
      <c r="V386" s="71" t="b">
        <v>0</v>
      </c>
    </row>
    <row r="387" spans="1:22" ht="17.25">
      <c r="A387" s="70">
        <v>258</v>
      </c>
      <c r="B387" s="70" t="s">
        <v>2803</v>
      </c>
      <c r="C387" s="70" t="s">
        <v>4634</v>
      </c>
      <c r="D387" s="70" t="s">
        <v>2794</v>
      </c>
      <c r="E387" s="70" t="s">
        <v>27</v>
      </c>
      <c r="F387" s="71">
        <v>110</v>
      </c>
      <c r="G387" s="71">
        <v>35</v>
      </c>
      <c r="H387" s="72">
        <v>0.1451388888888889</v>
      </c>
      <c r="I387" s="71" t="b">
        <v>0</v>
      </c>
      <c r="J387" s="71">
        <v>52</v>
      </c>
      <c r="K387" s="71">
        <v>36</v>
      </c>
      <c r="L387" s="71">
        <v>83</v>
      </c>
      <c r="M387" s="71">
        <v>4</v>
      </c>
      <c r="N387" s="71">
        <v>81</v>
      </c>
      <c r="O387" s="71">
        <v>0</v>
      </c>
      <c r="P387" s="71">
        <v>10</v>
      </c>
      <c r="Q387" s="71">
        <v>44</v>
      </c>
      <c r="R387" s="71">
        <v>75</v>
      </c>
      <c r="S387" s="71" t="s">
        <v>26</v>
      </c>
      <c r="T387" s="73">
        <v>42972</v>
      </c>
      <c r="U387" s="71" t="s">
        <v>3611</v>
      </c>
      <c r="V387" s="71" t="b">
        <v>0</v>
      </c>
    </row>
    <row r="388" spans="1:22" ht="17.25">
      <c r="A388" s="70">
        <v>259</v>
      </c>
      <c r="B388" s="70" t="s">
        <v>2802</v>
      </c>
      <c r="C388" s="70" t="s">
        <v>131</v>
      </c>
      <c r="D388" s="70" t="s">
        <v>2801</v>
      </c>
      <c r="E388" s="70" t="s">
        <v>129</v>
      </c>
      <c r="F388" s="71">
        <v>14</v>
      </c>
      <c r="G388" s="71">
        <v>9</v>
      </c>
      <c r="H388" s="72">
        <v>0.12847222222222221</v>
      </c>
      <c r="I388" s="71" t="b">
        <v>1</v>
      </c>
      <c r="J388" s="71">
        <v>51</v>
      </c>
      <c r="K388" s="71">
        <v>3</v>
      </c>
      <c r="L388" s="71">
        <v>44</v>
      </c>
      <c r="M388" s="71">
        <v>7</v>
      </c>
      <c r="N388" s="71">
        <v>100</v>
      </c>
      <c r="O388" s="71">
        <v>98</v>
      </c>
      <c r="P388" s="71">
        <v>15</v>
      </c>
      <c r="Q388" s="71">
        <v>56</v>
      </c>
      <c r="R388" s="71">
        <v>120</v>
      </c>
      <c r="S388" s="71" t="s">
        <v>128</v>
      </c>
      <c r="T388" s="73">
        <v>45662</v>
      </c>
      <c r="U388" s="71" t="s">
        <v>3505</v>
      </c>
      <c r="V388" s="71" t="b">
        <v>0</v>
      </c>
    </row>
    <row r="389" spans="1:22" ht="17.25">
      <c r="A389" s="70">
        <v>259</v>
      </c>
      <c r="B389" s="70" t="s">
        <v>2802</v>
      </c>
      <c r="C389" s="70" t="s">
        <v>4635</v>
      </c>
      <c r="D389" s="70" t="s">
        <v>2801</v>
      </c>
      <c r="E389" s="70" t="s">
        <v>129</v>
      </c>
      <c r="F389" s="71">
        <v>14</v>
      </c>
      <c r="G389" s="71">
        <v>9</v>
      </c>
      <c r="H389" s="72">
        <v>0.12847222222222221</v>
      </c>
      <c r="I389" s="71" t="b">
        <v>1</v>
      </c>
      <c r="J389" s="71">
        <v>51</v>
      </c>
      <c r="K389" s="71">
        <v>3</v>
      </c>
      <c r="L389" s="71">
        <v>44</v>
      </c>
      <c r="M389" s="71">
        <v>7</v>
      </c>
      <c r="N389" s="71">
        <v>100</v>
      </c>
      <c r="O389" s="71">
        <v>98</v>
      </c>
      <c r="P389" s="71">
        <v>15</v>
      </c>
      <c r="Q389" s="71">
        <v>56</v>
      </c>
      <c r="R389" s="71">
        <v>120</v>
      </c>
      <c r="S389" s="71" t="s">
        <v>128</v>
      </c>
      <c r="T389" s="73">
        <v>45662</v>
      </c>
      <c r="U389" s="71" t="s">
        <v>3505</v>
      </c>
      <c r="V389" s="71" t="b">
        <v>0</v>
      </c>
    </row>
    <row r="390" spans="1:22" ht="17.25">
      <c r="A390" s="70">
        <v>260</v>
      </c>
      <c r="B390" s="70" t="s">
        <v>2800</v>
      </c>
      <c r="C390" s="70" t="s">
        <v>1458</v>
      </c>
      <c r="D390" s="70" t="s">
        <v>1457</v>
      </c>
      <c r="E390" s="70" t="s">
        <v>1456</v>
      </c>
      <c r="F390" s="71">
        <v>143</v>
      </c>
      <c r="G390" s="71">
        <v>9</v>
      </c>
      <c r="H390" s="72">
        <v>0.1076388888888889</v>
      </c>
      <c r="I390" s="71" t="b">
        <v>0</v>
      </c>
      <c r="J390" s="71">
        <v>46</v>
      </c>
      <c r="K390" s="71">
        <v>84</v>
      </c>
      <c r="L390" s="71">
        <v>90</v>
      </c>
      <c r="M390" s="71">
        <v>6</v>
      </c>
      <c r="N390" s="71">
        <v>1</v>
      </c>
      <c r="O390" s="71">
        <v>0</v>
      </c>
      <c r="P390" s="71">
        <v>18</v>
      </c>
      <c r="Q390" s="71">
        <v>67</v>
      </c>
      <c r="R390" s="71">
        <v>169</v>
      </c>
      <c r="S390" s="71" t="s">
        <v>1455</v>
      </c>
      <c r="T390" s="73">
        <v>29007</v>
      </c>
      <c r="U390" s="71" t="s">
        <v>3612</v>
      </c>
      <c r="V390" s="71" t="b">
        <v>0</v>
      </c>
    </row>
    <row r="391" spans="1:22" ht="17.25">
      <c r="A391" s="70">
        <v>261</v>
      </c>
      <c r="B391" s="70" t="s">
        <v>2799</v>
      </c>
      <c r="C391" s="70" t="s">
        <v>705</v>
      </c>
      <c r="D391" s="70" t="s">
        <v>2798</v>
      </c>
      <c r="E391" s="70" t="s">
        <v>2716</v>
      </c>
      <c r="F391" s="71">
        <v>37</v>
      </c>
      <c r="G391" s="71">
        <v>76</v>
      </c>
      <c r="H391" s="72">
        <v>0.16458333333333333</v>
      </c>
      <c r="I391" s="71" t="b">
        <v>1</v>
      </c>
      <c r="J391" s="71">
        <v>85</v>
      </c>
      <c r="K391" s="71">
        <v>81</v>
      </c>
      <c r="L391" s="71">
        <v>92</v>
      </c>
      <c r="M391" s="71">
        <v>8</v>
      </c>
      <c r="N391" s="71">
        <v>12</v>
      </c>
      <c r="O391" s="71">
        <v>0</v>
      </c>
      <c r="P391" s="71">
        <v>12</v>
      </c>
      <c r="Q391" s="71">
        <v>77</v>
      </c>
      <c r="R391" s="71">
        <v>119</v>
      </c>
      <c r="S391" s="71" t="s">
        <v>34</v>
      </c>
      <c r="T391" s="73">
        <v>39717</v>
      </c>
      <c r="U391" s="71" t="s">
        <v>3613</v>
      </c>
      <c r="V391" s="71" t="b">
        <v>0</v>
      </c>
    </row>
    <row r="392" spans="1:22" ht="17.25">
      <c r="A392" s="70">
        <v>262</v>
      </c>
      <c r="B392" s="70" t="s">
        <v>2797</v>
      </c>
      <c r="C392" s="70" t="s">
        <v>1112</v>
      </c>
      <c r="D392" s="70" t="s">
        <v>2068</v>
      </c>
      <c r="E392" s="70" t="s">
        <v>1110</v>
      </c>
      <c r="F392" s="71">
        <v>67</v>
      </c>
      <c r="G392" s="71">
        <v>2</v>
      </c>
      <c r="H392" s="72" t="s">
        <v>4361</v>
      </c>
      <c r="I392" s="71" t="b">
        <v>0</v>
      </c>
      <c r="J392" s="71">
        <v>50</v>
      </c>
      <c r="K392" s="71">
        <v>45</v>
      </c>
      <c r="L392" s="71">
        <v>69</v>
      </c>
      <c r="M392" s="71">
        <v>4</v>
      </c>
      <c r="N392" s="71">
        <v>66</v>
      </c>
      <c r="O392" s="71">
        <v>4</v>
      </c>
      <c r="P392" s="71">
        <v>11</v>
      </c>
      <c r="Q392" s="71">
        <v>28</v>
      </c>
      <c r="R392" s="71">
        <v>86</v>
      </c>
      <c r="S392" s="71" t="s">
        <v>1109</v>
      </c>
      <c r="T392" s="73" t="s">
        <v>4392</v>
      </c>
      <c r="U392" s="71" t="s">
        <v>3542</v>
      </c>
      <c r="V392" s="71" t="b">
        <v>0</v>
      </c>
    </row>
    <row r="393" spans="1:22" ht="17.25">
      <c r="A393" s="70">
        <v>263</v>
      </c>
      <c r="B393" s="70" t="s">
        <v>2796</v>
      </c>
      <c r="C393" s="70" t="s">
        <v>1026</v>
      </c>
      <c r="D393" s="70" t="s">
        <v>2795</v>
      </c>
      <c r="E393" s="70" t="s">
        <v>579</v>
      </c>
      <c r="F393" s="71">
        <v>1</v>
      </c>
      <c r="G393" s="71">
        <v>121</v>
      </c>
      <c r="H393" s="72">
        <v>0.10625</v>
      </c>
      <c r="I393" s="71" t="b">
        <v>0</v>
      </c>
      <c r="J393" s="71">
        <v>64</v>
      </c>
      <c r="K393" s="71">
        <v>74</v>
      </c>
      <c r="L393" s="71">
        <v>90</v>
      </c>
      <c r="M393" s="71">
        <v>4</v>
      </c>
      <c r="N393" s="71">
        <v>5</v>
      </c>
      <c r="O393" s="71">
        <v>14</v>
      </c>
      <c r="P393" s="71">
        <v>16</v>
      </c>
      <c r="Q393" s="71">
        <v>42</v>
      </c>
      <c r="R393" s="71">
        <v>89</v>
      </c>
      <c r="S393" s="71" t="s">
        <v>26</v>
      </c>
      <c r="T393" s="73">
        <v>44904</v>
      </c>
      <c r="U393" s="71" t="s">
        <v>3614</v>
      </c>
      <c r="V393" s="71" t="b">
        <v>0</v>
      </c>
    </row>
    <row r="394" spans="1:22" ht="17.25">
      <c r="A394" s="70">
        <v>265</v>
      </c>
      <c r="B394" s="70" t="s">
        <v>2793</v>
      </c>
      <c r="C394" s="70" t="s">
        <v>1364</v>
      </c>
      <c r="D394" s="70" t="s">
        <v>2792</v>
      </c>
      <c r="E394" s="70" t="s">
        <v>2791</v>
      </c>
      <c r="F394" s="71">
        <v>171</v>
      </c>
      <c r="G394" s="71">
        <v>3</v>
      </c>
      <c r="H394" s="72">
        <v>0.10277777777777777</v>
      </c>
      <c r="I394" s="71" t="b">
        <v>1</v>
      </c>
      <c r="J394" s="71">
        <v>85</v>
      </c>
      <c r="K394" s="71">
        <v>82</v>
      </c>
      <c r="L394" s="71">
        <v>82</v>
      </c>
      <c r="M394" s="71">
        <v>14</v>
      </c>
      <c r="N394" s="71">
        <v>5</v>
      </c>
      <c r="O394" s="71">
        <v>0</v>
      </c>
      <c r="P394" s="71">
        <v>15</v>
      </c>
      <c r="Q394" s="71">
        <v>72</v>
      </c>
      <c r="R394" s="71">
        <v>130</v>
      </c>
      <c r="S394" s="71" t="s">
        <v>88</v>
      </c>
      <c r="T394" s="73">
        <v>45702</v>
      </c>
      <c r="U394" s="71" t="s">
        <v>3615</v>
      </c>
      <c r="V394" s="71" t="b">
        <v>0</v>
      </c>
    </row>
    <row r="395" spans="1:22" ht="17.25">
      <c r="A395" s="70">
        <v>265</v>
      </c>
      <c r="B395" s="70" t="s">
        <v>2793</v>
      </c>
      <c r="C395" s="70" t="s">
        <v>4628</v>
      </c>
      <c r="D395" s="70" t="s">
        <v>2792</v>
      </c>
      <c r="E395" s="70" t="s">
        <v>2791</v>
      </c>
      <c r="F395" s="71">
        <v>171</v>
      </c>
      <c r="G395" s="71">
        <v>3</v>
      </c>
      <c r="H395" s="72">
        <v>0.10277777777777777</v>
      </c>
      <c r="I395" s="71" t="b">
        <v>1</v>
      </c>
      <c r="J395" s="71">
        <v>85</v>
      </c>
      <c r="K395" s="71">
        <v>82</v>
      </c>
      <c r="L395" s="71">
        <v>82</v>
      </c>
      <c r="M395" s="71">
        <v>14</v>
      </c>
      <c r="N395" s="71">
        <v>5</v>
      </c>
      <c r="O395" s="71">
        <v>0</v>
      </c>
      <c r="P395" s="71">
        <v>15</v>
      </c>
      <c r="Q395" s="71">
        <v>72</v>
      </c>
      <c r="R395" s="71">
        <v>130</v>
      </c>
      <c r="S395" s="71" t="s">
        <v>88</v>
      </c>
      <c r="T395" s="73">
        <v>45702</v>
      </c>
      <c r="U395" s="71" t="s">
        <v>3615</v>
      </c>
      <c r="V395" s="71" t="b">
        <v>0</v>
      </c>
    </row>
    <row r="396" spans="1:22" ht="17.25">
      <c r="A396" s="70">
        <v>265</v>
      </c>
      <c r="B396" s="70" t="s">
        <v>2793</v>
      </c>
      <c r="C396" s="70" t="s">
        <v>2439</v>
      </c>
      <c r="D396" s="70" t="s">
        <v>2792</v>
      </c>
      <c r="E396" s="70" t="s">
        <v>2791</v>
      </c>
      <c r="F396" s="71">
        <v>171</v>
      </c>
      <c r="G396" s="71">
        <v>3</v>
      </c>
      <c r="H396" s="72">
        <v>0.10277777777777777</v>
      </c>
      <c r="I396" s="71" t="b">
        <v>1</v>
      </c>
      <c r="J396" s="71">
        <v>85</v>
      </c>
      <c r="K396" s="71">
        <v>82</v>
      </c>
      <c r="L396" s="71">
        <v>82</v>
      </c>
      <c r="M396" s="71">
        <v>14</v>
      </c>
      <c r="N396" s="71">
        <v>5</v>
      </c>
      <c r="O396" s="71">
        <v>0</v>
      </c>
      <c r="P396" s="71">
        <v>15</v>
      </c>
      <c r="Q396" s="71">
        <v>72</v>
      </c>
      <c r="R396" s="71">
        <v>130</v>
      </c>
      <c r="S396" s="71" t="s">
        <v>88</v>
      </c>
      <c r="T396" s="73">
        <v>45702</v>
      </c>
      <c r="U396" s="71" t="s">
        <v>3615</v>
      </c>
      <c r="V396" s="71" t="b">
        <v>0</v>
      </c>
    </row>
    <row r="397" spans="1:22" ht="17.25">
      <c r="A397" s="70">
        <v>265</v>
      </c>
      <c r="B397" s="70" t="s">
        <v>2793</v>
      </c>
      <c r="C397" s="70" t="s">
        <v>4445</v>
      </c>
      <c r="D397" s="70" t="s">
        <v>2792</v>
      </c>
      <c r="E397" s="70" t="s">
        <v>2791</v>
      </c>
      <c r="F397" s="71">
        <v>171</v>
      </c>
      <c r="G397" s="71">
        <v>3</v>
      </c>
      <c r="H397" s="72">
        <v>0.10277777777777777</v>
      </c>
      <c r="I397" s="71" t="b">
        <v>1</v>
      </c>
      <c r="J397" s="71">
        <v>85</v>
      </c>
      <c r="K397" s="71">
        <v>82</v>
      </c>
      <c r="L397" s="71">
        <v>82</v>
      </c>
      <c r="M397" s="71">
        <v>14</v>
      </c>
      <c r="N397" s="71">
        <v>5</v>
      </c>
      <c r="O397" s="71">
        <v>0</v>
      </c>
      <c r="P397" s="71">
        <v>15</v>
      </c>
      <c r="Q397" s="71">
        <v>72</v>
      </c>
      <c r="R397" s="71">
        <v>130</v>
      </c>
      <c r="S397" s="71" t="s">
        <v>88</v>
      </c>
      <c r="T397" s="73">
        <v>45702</v>
      </c>
      <c r="U397" s="71" t="s">
        <v>3615</v>
      </c>
      <c r="V397" s="71" t="b">
        <v>0</v>
      </c>
    </row>
    <row r="398" spans="1:22" ht="17.25">
      <c r="A398" s="70">
        <v>266</v>
      </c>
      <c r="B398" s="70" t="s">
        <v>2790</v>
      </c>
      <c r="C398" s="70" t="s">
        <v>2656</v>
      </c>
      <c r="D398" s="70" t="s">
        <v>2789</v>
      </c>
      <c r="E398" s="70" t="s">
        <v>2654</v>
      </c>
      <c r="F398" s="71">
        <v>184</v>
      </c>
      <c r="G398" s="71">
        <v>1</v>
      </c>
      <c r="H398" s="72">
        <v>0.1125</v>
      </c>
      <c r="I398" s="71" t="b">
        <v>1</v>
      </c>
      <c r="J398" s="71">
        <v>72</v>
      </c>
      <c r="K398" s="71">
        <v>75</v>
      </c>
      <c r="L398" s="71">
        <v>79</v>
      </c>
      <c r="M398" s="71">
        <v>14</v>
      </c>
      <c r="N398" s="71">
        <v>12</v>
      </c>
      <c r="O398" s="71">
        <v>0</v>
      </c>
      <c r="P398" s="71">
        <v>11</v>
      </c>
      <c r="Q398" s="71">
        <v>52</v>
      </c>
      <c r="R398" s="71">
        <v>120</v>
      </c>
      <c r="S398" s="71" t="s">
        <v>56</v>
      </c>
      <c r="T398" s="73">
        <v>45765</v>
      </c>
      <c r="U398" s="71" t="s">
        <v>3616</v>
      </c>
      <c r="V398" s="71" t="b">
        <v>0</v>
      </c>
    </row>
    <row r="399" spans="1:22" ht="17.25">
      <c r="A399" s="70">
        <v>267</v>
      </c>
      <c r="B399" s="70" t="s">
        <v>2788</v>
      </c>
      <c r="C399" s="70" t="s">
        <v>2787</v>
      </c>
      <c r="D399" s="70" t="s">
        <v>2786</v>
      </c>
      <c r="E399" s="70" t="s">
        <v>2785</v>
      </c>
      <c r="F399" s="71">
        <v>15</v>
      </c>
      <c r="G399" s="71">
        <v>43</v>
      </c>
      <c r="H399" s="72">
        <v>0.15763888888888888</v>
      </c>
      <c r="I399" s="71" t="b">
        <v>0</v>
      </c>
      <c r="J399" s="71">
        <v>65</v>
      </c>
      <c r="K399" s="71">
        <v>62</v>
      </c>
      <c r="L399" s="71">
        <v>77</v>
      </c>
      <c r="M399" s="71">
        <v>5</v>
      </c>
      <c r="N399" s="71">
        <v>35</v>
      </c>
      <c r="O399" s="71">
        <v>0</v>
      </c>
      <c r="P399" s="71">
        <v>14</v>
      </c>
      <c r="Q399" s="71">
        <v>78</v>
      </c>
      <c r="R399" s="71">
        <v>122</v>
      </c>
      <c r="S399" s="71" t="s">
        <v>29</v>
      </c>
      <c r="T399" s="73">
        <v>29175</v>
      </c>
      <c r="U399" s="71" t="s">
        <v>3617</v>
      </c>
      <c r="V399" s="71" t="b">
        <v>1</v>
      </c>
    </row>
    <row r="400" spans="1:22" ht="17.25">
      <c r="A400" s="70">
        <v>268</v>
      </c>
      <c r="B400" s="70" t="s">
        <v>2784</v>
      </c>
      <c r="C400" s="70" t="s">
        <v>1063</v>
      </c>
      <c r="D400" s="70" t="s">
        <v>2783</v>
      </c>
      <c r="E400" s="70" t="s">
        <v>2782</v>
      </c>
      <c r="F400" s="71">
        <v>187</v>
      </c>
      <c r="G400" s="71">
        <v>1</v>
      </c>
      <c r="H400" s="72" t="s">
        <v>4315</v>
      </c>
      <c r="I400" s="71" t="b">
        <v>1</v>
      </c>
      <c r="J400" s="71">
        <v>80</v>
      </c>
      <c r="K400" s="71">
        <v>65</v>
      </c>
      <c r="L400" s="71">
        <v>73</v>
      </c>
      <c r="M400" s="71">
        <v>11</v>
      </c>
      <c r="N400" s="71">
        <v>22</v>
      </c>
      <c r="O400" s="71">
        <v>0</v>
      </c>
      <c r="P400" s="71">
        <v>13</v>
      </c>
      <c r="Q400" s="71">
        <v>59</v>
      </c>
      <c r="R400" s="71">
        <v>116</v>
      </c>
      <c r="S400" s="71" t="s">
        <v>48</v>
      </c>
      <c r="T400" s="73" t="s">
        <v>4385</v>
      </c>
      <c r="U400" s="71" t="s">
        <v>3618</v>
      </c>
      <c r="V400" s="71" t="b">
        <v>0</v>
      </c>
    </row>
    <row r="401" spans="1:22" ht="17.25">
      <c r="A401" s="70">
        <v>268</v>
      </c>
      <c r="B401" s="70" t="s">
        <v>2784</v>
      </c>
      <c r="C401" s="70" t="s">
        <v>4446</v>
      </c>
      <c r="D401" s="70" t="s">
        <v>2783</v>
      </c>
      <c r="E401" s="70" t="s">
        <v>2782</v>
      </c>
      <c r="F401" s="71">
        <v>187</v>
      </c>
      <c r="G401" s="71">
        <v>1</v>
      </c>
      <c r="H401" s="72" t="s">
        <v>4315</v>
      </c>
      <c r="I401" s="71" t="b">
        <v>1</v>
      </c>
      <c r="J401" s="71">
        <v>80</v>
      </c>
      <c r="K401" s="71">
        <v>65</v>
      </c>
      <c r="L401" s="71">
        <v>73</v>
      </c>
      <c r="M401" s="71">
        <v>11</v>
      </c>
      <c r="N401" s="71">
        <v>22</v>
      </c>
      <c r="O401" s="71">
        <v>0</v>
      </c>
      <c r="P401" s="71">
        <v>13</v>
      </c>
      <c r="Q401" s="71">
        <v>59</v>
      </c>
      <c r="R401" s="71">
        <v>116</v>
      </c>
      <c r="S401" s="71" t="s">
        <v>48</v>
      </c>
      <c r="T401" s="73" t="s">
        <v>4385</v>
      </c>
      <c r="U401" s="71" t="s">
        <v>3618</v>
      </c>
      <c r="V401" s="71" t="b">
        <v>0</v>
      </c>
    </row>
    <row r="402" spans="1:22" ht="17.25">
      <c r="A402" s="70">
        <v>269</v>
      </c>
      <c r="B402" s="70" t="s">
        <v>2781</v>
      </c>
      <c r="C402" s="70" t="s">
        <v>4636</v>
      </c>
      <c r="D402" s="70" t="s">
        <v>2780</v>
      </c>
      <c r="E402" s="70" t="s">
        <v>381</v>
      </c>
      <c r="F402" s="71">
        <v>181</v>
      </c>
      <c r="G402" s="71">
        <v>4</v>
      </c>
      <c r="H402" s="72">
        <v>0.15</v>
      </c>
      <c r="I402" s="71" t="b">
        <v>0</v>
      </c>
      <c r="J402" s="71">
        <v>69</v>
      </c>
      <c r="K402" s="71">
        <v>71</v>
      </c>
      <c r="L402" s="71">
        <v>88</v>
      </c>
      <c r="M402" s="71">
        <v>3</v>
      </c>
      <c r="N402" s="71">
        <v>22</v>
      </c>
      <c r="O402" s="71">
        <v>0</v>
      </c>
      <c r="P402" s="71">
        <v>12</v>
      </c>
      <c r="Q402" s="71">
        <v>88</v>
      </c>
      <c r="R402" s="71">
        <v>125</v>
      </c>
      <c r="S402" s="71" t="s">
        <v>2330</v>
      </c>
      <c r="T402" s="73">
        <v>30337</v>
      </c>
      <c r="U402" s="71" t="s">
        <v>3619</v>
      </c>
      <c r="V402" s="71" t="b">
        <v>0</v>
      </c>
    </row>
    <row r="403" spans="1:22" ht="17.25">
      <c r="A403" s="70">
        <v>269</v>
      </c>
      <c r="B403" s="70" t="s">
        <v>2781</v>
      </c>
      <c r="C403" s="70" t="s">
        <v>4637</v>
      </c>
      <c r="D403" s="70" t="s">
        <v>2780</v>
      </c>
      <c r="E403" s="70" t="s">
        <v>381</v>
      </c>
      <c r="F403" s="71">
        <v>181</v>
      </c>
      <c r="G403" s="71">
        <v>4</v>
      </c>
      <c r="H403" s="72">
        <v>0.15</v>
      </c>
      <c r="I403" s="71" t="b">
        <v>0</v>
      </c>
      <c r="J403" s="71">
        <v>69</v>
      </c>
      <c r="K403" s="71">
        <v>71</v>
      </c>
      <c r="L403" s="71">
        <v>88</v>
      </c>
      <c r="M403" s="71">
        <v>3</v>
      </c>
      <c r="N403" s="71">
        <v>22</v>
      </c>
      <c r="O403" s="71">
        <v>0</v>
      </c>
      <c r="P403" s="71">
        <v>12</v>
      </c>
      <c r="Q403" s="71">
        <v>88</v>
      </c>
      <c r="R403" s="71">
        <v>125</v>
      </c>
      <c r="S403" s="71" t="s">
        <v>2330</v>
      </c>
      <c r="T403" s="73">
        <v>30337</v>
      </c>
      <c r="U403" s="71" t="s">
        <v>3619</v>
      </c>
      <c r="V403" s="71" t="b">
        <v>0</v>
      </c>
    </row>
    <row r="404" spans="1:22" ht="17.25">
      <c r="A404" s="70">
        <v>269</v>
      </c>
      <c r="B404" s="70" t="s">
        <v>2781</v>
      </c>
      <c r="C404" s="70" t="s">
        <v>4447</v>
      </c>
      <c r="D404" s="70" t="s">
        <v>2780</v>
      </c>
      <c r="E404" s="70" t="s">
        <v>381</v>
      </c>
      <c r="F404" s="71">
        <v>181</v>
      </c>
      <c r="G404" s="71">
        <v>4</v>
      </c>
      <c r="H404" s="72">
        <v>0.15</v>
      </c>
      <c r="I404" s="71" t="b">
        <v>0</v>
      </c>
      <c r="J404" s="71">
        <v>69</v>
      </c>
      <c r="K404" s="71">
        <v>71</v>
      </c>
      <c r="L404" s="71">
        <v>88</v>
      </c>
      <c r="M404" s="71">
        <v>3</v>
      </c>
      <c r="N404" s="71">
        <v>22</v>
      </c>
      <c r="O404" s="71">
        <v>0</v>
      </c>
      <c r="P404" s="71">
        <v>12</v>
      </c>
      <c r="Q404" s="71">
        <v>88</v>
      </c>
      <c r="R404" s="71">
        <v>125</v>
      </c>
      <c r="S404" s="71" t="s">
        <v>2330</v>
      </c>
      <c r="T404" s="73">
        <v>30337</v>
      </c>
      <c r="U404" s="71" t="s">
        <v>3619</v>
      </c>
      <c r="V404" s="71" t="b">
        <v>0</v>
      </c>
    </row>
    <row r="405" spans="1:22" ht="17.25">
      <c r="A405" s="70">
        <v>270</v>
      </c>
      <c r="B405" s="70" t="s">
        <v>2779</v>
      </c>
      <c r="C405" s="70" t="s">
        <v>193</v>
      </c>
      <c r="D405" s="70" t="s">
        <v>2778</v>
      </c>
      <c r="E405" s="70" t="s">
        <v>191</v>
      </c>
      <c r="F405" s="71">
        <v>67</v>
      </c>
      <c r="G405" s="71">
        <v>3</v>
      </c>
      <c r="H405" s="72" t="s">
        <v>4320</v>
      </c>
      <c r="I405" s="71" t="b">
        <v>0</v>
      </c>
      <c r="J405" s="71">
        <v>58</v>
      </c>
      <c r="K405" s="71">
        <v>41</v>
      </c>
      <c r="L405" s="71">
        <v>70</v>
      </c>
      <c r="M405" s="71">
        <v>4</v>
      </c>
      <c r="N405" s="71">
        <v>67</v>
      </c>
      <c r="O405" s="71">
        <v>0</v>
      </c>
      <c r="P405" s="71">
        <v>10</v>
      </c>
      <c r="Q405" s="71">
        <v>35</v>
      </c>
      <c r="R405" s="71">
        <v>116</v>
      </c>
      <c r="S405" s="71" t="s">
        <v>74</v>
      </c>
      <c r="T405" s="73" t="s">
        <v>4325</v>
      </c>
      <c r="U405" s="71" t="s">
        <v>3620</v>
      </c>
      <c r="V405" s="71" t="b">
        <v>0</v>
      </c>
    </row>
    <row r="406" spans="1:22" ht="17.25">
      <c r="A406" s="70">
        <v>271</v>
      </c>
      <c r="B406" s="70" t="s">
        <v>2777</v>
      </c>
      <c r="C406" s="70" t="s">
        <v>32</v>
      </c>
      <c r="D406" s="70" t="s">
        <v>2776</v>
      </c>
      <c r="E406" s="70" t="s">
        <v>30</v>
      </c>
      <c r="F406" s="71">
        <v>9</v>
      </c>
      <c r="G406" s="71">
        <v>35</v>
      </c>
      <c r="H406" s="72">
        <v>0.11666666666666667</v>
      </c>
      <c r="I406" s="71" t="b">
        <v>0</v>
      </c>
      <c r="J406" s="71">
        <v>74</v>
      </c>
      <c r="K406" s="71">
        <v>73</v>
      </c>
      <c r="L406" s="71">
        <v>90</v>
      </c>
      <c r="M406" s="71">
        <v>4</v>
      </c>
      <c r="N406" s="71">
        <v>7</v>
      </c>
      <c r="O406" s="71">
        <v>0</v>
      </c>
      <c r="P406" s="71">
        <v>10</v>
      </c>
      <c r="Q406" s="71">
        <v>68</v>
      </c>
      <c r="R406" s="71">
        <v>95</v>
      </c>
      <c r="S406" s="71" t="s">
        <v>96</v>
      </c>
      <c r="T406" s="73">
        <v>45527</v>
      </c>
      <c r="U406" s="71" t="s">
        <v>3621</v>
      </c>
      <c r="V406" s="71" t="b">
        <v>0</v>
      </c>
    </row>
    <row r="407" spans="1:22" ht="17.25">
      <c r="A407" s="70">
        <v>272</v>
      </c>
      <c r="B407" s="70" t="s">
        <v>2775</v>
      </c>
      <c r="C407" s="70" t="s">
        <v>2774</v>
      </c>
      <c r="D407" s="70" t="s">
        <v>2773</v>
      </c>
      <c r="E407" s="70" t="s">
        <v>540</v>
      </c>
      <c r="F407" s="71">
        <v>19</v>
      </c>
      <c r="G407" s="71">
        <v>23</v>
      </c>
      <c r="H407" s="72">
        <v>0.15138888888888888</v>
      </c>
      <c r="I407" s="71" t="b">
        <v>0</v>
      </c>
      <c r="J407" s="71">
        <v>58</v>
      </c>
      <c r="K407" s="71">
        <v>55</v>
      </c>
      <c r="L407" s="71">
        <v>74</v>
      </c>
      <c r="M407" s="71">
        <v>5</v>
      </c>
      <c r="N407" s="71">
        <v>45</v>
      </c>
      <c r="O407" s="71">
        <v>0</v>
      </c>
      <c r="P407" s="71">
        <v>10</v>
      </c>
      <c r="Q407" s="71">
        <v>55</v>
      </c>
      <c r="R407" s="71">
        <v>95</v>
      </c>
      <c r="S407" s="71" t="s">
        <v>96</v>
      </c>
      <c r="T407" s="73">
        <v>45702</v>
      </c>
      <c r="U407" s="71" t="s">
        <v>3622</v>
      </c>
      <c r="V407" s="71" t="b">
        <v>0</v>
      </c>
    </row>
    <row r="408" spans="1:22" ht="17.25">
      <c r="A408" s="70">
        <v>273</v>
      </c>
      <c r="B408" s="70" t="s">
        <v>2772</v>
      </c>
      <c r="C408" s="70" t="s">
        <v>2771</v>
      </c>
      <c r="D408" s="70" t="s">
        <v>2770</v>
      </c>
      <c r="E408" s="70" t="s">
        <v>294</v>
      </c>
      <c r="F408" s="71">
        <v>28</v>
      </c>
      <c r="G408" s="71">
        <v>4</v>
      </c>
      <c r="H408" s="72">
        <v>0.11666666666666667</v>
      </c>
      <c r="I408" s="71" t="b">
        <v>0</v>
      </c>
      <c r="J408" s="71">
        <v>80</v>
      </c>
      <c r="K408" s="71">
        <v>78</v>
      </c>
      <c r="L408" s="71">
        <v>81</v>
      </c>
      <c r="M408" s="71">
        <v>10</v>
      </c>
      <c r="N408" s="71">
        <v>8</v>
      </c>
      <c r="O408" s="71">
        <v>0</v>
      </c>
      <c r="P408" s="71">
        <v>13</v>
      </c>
      <c r="Q408" s="71">
        <v>62</v>
      </c>
      <c r="R408" s="71">
        <v>120</v>
      </c>
      <c r="S408" s="71" t="s">
        <v>115</v>
      </c>
      <c r="T408" s="73">
        <v>45758</v>
      </c>
      <c r="U408" s="71" t="s">
        <v>3623</v>
      </c>
      <c r="V408" s="71" t="b">
        <v>0</v>
      </c>
    </row>
    <row r="409" spans="1:22" ht="17.25">
      <c r="A409" s="70">
        <v>274</v>
      </c>
      <c r="B409" s="70" t="s">
        <v>2769</v>
      </c>
      <c r="C409" s="70" t="s">
        <v>971</v>
      </c>
      <c r="D409" s="70" t="s">
        <v>2768</v>
      </c>
      <c r="E409" s="70" t="s">
        <v>2767</v>
      </c>
      <c r="F409" s="71">
        <v>97</v>
      </c>
      <c r="G409" s="71">
        <v>10</v>
      </c>
      <c r="H409" s="72">
        <v>7.7777777777777779E-2</v>
      </c>
      <c r="I409" s="71" t="b">
        <v>0</v>
      </c>
      <c r="J409" s="71">
        <v>55</v>
      </c>
      <c r="K409" s="71">
        <v>50</v>
      </c>
      <c r="L409" s="71">
        <v>72</v>
      </c>
      <c r="M409" s="71">
        <v>4</v>
      </c>
      <c r="N409" s="71">
        <v>55</v>
      </c>
      <c r="O409" s="71">
        <v>0</v>
      </c>
      <c r="P409" s="71">
        <v>15</v>
      </c>
      <c r="Q409" s="71">
        <v>75</v>
      </c>
      <c r="R409" s="71">
        <v>130</v>
      </c>
      <c r="S409" s="71" t="s">
        <v>29</v>
      </c>
      <c r="T409" s="73">
        <v>22221</v>
      </c>
      <c r="U409" s="71" t="s">
        <v>3528</v>
      </c>
      <c r="V409" s="71" t="b">
        <v>1</v>
      </c>
    </row>
    <row r="410" spans="1:22" ht="17.25">
      <c r="A410" s="70">
        <v>275</v>
      </c>
      <c r="B410" s="70" t="s">
        <v>2766</v>
      </c>
      <c r="C410" s="70" t="s">
        <v>1835</v>
      </c>
      <c r="D410" s="70" t="s">
        <v>2765</v>
      </c>
      <c r="E410" s="70" t="s">
        <v>30</v>
      </c>
      <c r="F410" s="71">
        <v>93</v>
      </c>
      <c r="G410" s="71">
        <v>8</v>
      </c>
      <c r="H410" s="72">
        <v>0.18958333333333333</v>
      </c>
      <c r="I410" s="71" t="b">
        <v>0</v>
      </c>
      <c r="J410" s="71">
        <v>44</v>
      </c>
      <c r="K410" s="71">
        <v>43</v>
      </c>
      <c r="L410" s="71">
        <v>75</v>
      </c>
      <c r="M410" s="71">
        <v>3</v>
      </c>
      <c r="N410" s="71">
        <v>8</v>
      </c>
      <c r="O410" s="71">
        <v>0</v>
      </c>
      <c r="P410" s="71">
        <v>14</v>
      </c>
      <c r="Q410" s="71">
        <v>20</v>
      </c>
      <c r="R410" s="71">
        <v>95</v>
      </c>
      <c r="S410" s="71" t="s">
        <v>79</v>
      </c>
      <c r="T410" s="73">
        <v>34022</v>
      </c>
      <c r="U410" s="71" t="s">
        <v>3624</v>
      </c>
      <c r="V410" s="71" t="b">
        <v>0</v>
      </c>
    </row>
    <row r="411" spans="1:22" ht="17.25">
      <c r="A411" s="70">
        <v>276</v>
      </c>
      <c r="B411" s="70" t="s">
        <v>2764</v>
      </c>
      <c r="C411" s="70" t="s">
        <v>2763</v>
      </c>
      <c r="D411" s="70" t="s">
        <v>2762</v>
      </c>
      <c r="E411" s="70" t="s">
        <v>44</v>
      </c>
      <c r="F411" s="71">
        <v>126</v>
      </c>
      <c r="G411" s="71">
        <v>3</v>
      </c>
      <c r="H411" s="72">
        <v>0.10972222222222222</v>
      </c>
      <c r="I411" s="71" t="b">
        <v>0</v>
      </c>
      <c r="J411" s="71">
        <v>58</v>
      </c>
      <c r="K411" s="71">
        <v>55</v>
      </c>
      <c r="L411" s="71">
        <v>74</v>
      </c>
      <c r="M411" s="71">
        <v>4</v>
      </c>
      <c r="N411" s="71">
        <v>50</v>
      </c>
      <c r="O411" s="71">
        <v>0</v>
      </c>
      <c r="P411" s="71">
        <v>15</v>
      </c>
      <c r="Q411" s="71">
        <v>78</v>
      </c>
      <c r="R411" s="71">
        <v>130</v>
      </c>
      <c r="S411" s="71" t="s">
        <v>29</v>
      </c>
      <c r="T411" s="73">
        <v>23298</v>
      </c>
      <c r="U411" s="71" t="s">
        <v>3596</v>
      </c>
      <c r="V411" s="71" t="b">
        <v>1</v>
      </c>
    </row>
    <row r="412" spans="1:22" ht="17.25">
      <c r="A412" s="70">
        <v>277</v>
      </c>
      <c r="B412" s="70" t="s">
        <v>2761</v>
      </c>
      <c r="C412" s="70" t="s">
        <v>914</v>
      </c>
      <c r="D412" s="70" t="s">
        <v>708</v>
      </c>
      <c r="E412" s="70" t="s">
        <v>707</v>
      </c>
      <c r="F412" s="71">
        <v>18</v>
      </c>
      <c r="G412" s="71">
        <v>29</v>
      </c>
      <c r="H412" s="72">
        <v>0.12847222222222221</v>
      </c>
      <c r="I412" s="71" t="b">
        <v>1</v>
      </c>
      <c r="J412" s="71">
        <v>74</v>
      </c>
      <c r="K412" s="71">
        <v>80</v>
      </c>
      <c r="L412" s="71">
        <v>91</v>
      </c>
      <c r="M412" s="71">
        <v>5</v>
      </c>
      <c r="N412" s="71">
        <v>23</v>
      </c>
      <c r="O412" s="71">
        <v>0</v>
      </c>
      <c r="P412" s="71">
        <v>6</v>
      </c>
      <c r="Q412" s="71">
        <v>76</v>
      </c>
      <c r="R412" s="71">
        <v>166</v>
      </c>
      <c r="S412" s="71" t="s">
        <v>128</v>
      </c>
      <c r="T412" s="73">
        <v>45632</v>
      </c>
      <c r="U412" s="71" t="s">
        <v>3625</v>
      </c>
      <c r="V412" s="71" t="b">
        <v>0</v>
      </c>
    </row>
    <row r="413" spans="1:22" ht="17.25">
      <c r="A413" s="70">
        <v>277</v>
      </c>
      <c r="B413" s="70" t="s">
        <v>2761</v>
      </c>
      <c r="C413" s="70" t="s">
        <v>4638</v>
      </c>
      <c r="D413" s="70" t="s">
        <v>708</v>
      </c>
      <c r="E413" s="70" t="s">
        <v>707</v>
      </c>
      <c r="F413" s="71">
        <v>18</v>
      </c>
      <c r="G413" s="71">
        <v>29</v>
      </c>
      <c r="H413" s="72">
        <v>0.12847222222222221</v>
      </c>
      <c r="I413" s="71" t="b">
        <v>1</v>
      </c>
      <c r="J413" s="71">
        <v>74</v>
      </c>
      <c r="K413" s="71">
        <v>80</v>
      </c>
      <c r="L413" s="71">
        <v>91</v>
      </c>
      <c r="M413" s="71">
        <v>5</v>
      </c>
      <c r="N413" s="71">
        <v>23</v>
      </c>
      <c r="O413" s="71">
        <v>0</v>
      </c>
      <c r="P413" s="71">
        <v>6</v>
      </c>
      <c r="Q413" s="71">
        <v>76</v>
      </c>
      <c r="R413" s="71">
        <v>166</v>
      </c>
      <c r="S413" s="71" t="s">
        <v>128</v>
      </c>
      <c r="T413" s="73">
        <v>45632</v>
      </c>
      <c r="U413" s="71" t="s">
        <v>3625</v>
      </c>
      <c r="V413" s="71" t="b">
        <v>0</v>
      </c>
    </row>
    <row r="414" spans="1:22" ht="17.25">
      <c r="A414" s="70">
        <v>278</v>
      </c>
      <c r="B414" s="70" t="s">
        <v>2760</v>
      </c>
      <c r="C414" s="70" t="s">
        <v>2759</v>
      </c>
      <c r="D414" s="70" t="s">
        <v>2758</v>
      </c>
      <c r="E414" s="70" t="s">
        <v>120</v>
      </c>
      <c r="F414" s="71">
        <v>91</v>
      </c>
      <c r="G414" s="71">
        <v>6</v>
      </c>
      <c r="H414" s="72">
        <v>0.10277777777777777</v>
      </c>
      <c r="I414" s="71" t="b">
        <v>0</v>
      </c>
      <c r="J414" s="71">
        <v>72</v>
      </c>
      <c r="K414" s="71">
        <v>68</v>
      </c>
      <c r="L414" s="71">
        <v>78</v>
      </c>
      <c r="M414" s="71">
        <v>8</v>
      </c>
      <c r="N414" s="71">
        <v>20</v>
      </c>
      <c r="O414" s="71">
        <v>0</v>
      </c>
      <c r="P414" s="71">
        <v>11</v>
      </c>
      <c r="Q414" s="71">
        <v>55</v>
      </c>
      <c r="R414" s="71">
        <v>125</v>
      </c>
      <c r="S414" s="71" t="s">
        <v>96</v>
      </c>
      <c r="T414" s="73">
        <v>45702</v>
      </c>
      <c r="U414" s="71" t="s">
        <v>3626</v>
      </c>
      <c r="V414" s="71" t="b">
        <v>0</v>
      </c>
    </row>
    <row r="415" spans="1:22" ht="17.25">
      <c r="A415" s="70">
        <v>279</v>
      </c>
      <c r="B415" s="70" t="s">
        <v>2757</v>
      </c>
      <c r="C415" s="70" t="s">
        <v>4448</v>
      </c>
      <c r="D415" s="70" t="s">
        <v>2756</v>
      </c>
      <c r="E415" s="70" t="s">
        <v>2755</v>
      </c>
      <c r="F415" s="71">
        <v>101</v>
      </c>
      <c r="G415" s="71">
        <v>8</v>
      </c>
      <c r="H415" s="72" t="s">
        <v>4326</v>
      </c>
      <c r="I415" s="71" t="b">
        <v>0</v>
      </c>
      <c r="J415" s="71">
        <v>66</v>
      </c>
      <c r="K415" s="71">
        <v>52</v>
      </c>
      <c r="L415" s="71">
        <v>70</v>
      </c>
      <c r="M415" s="71">
        <v>5</v>
      </c>
      <c r="N415" s="71">
        <v>50</v>
      </c>
      <c r="O415" s="71">
        <v>0</v>
      </c>
      <c r="P415" s="71">
        <v>12</v>
      </c>
      <c r="Q415" s="71">
        <v>41</v>
      </c>
      <c r="R415" s="71">
        <v>125</v>
      </c>
      <c r="S415" s="71" t="s">
        <v>74</v>
      </c>
      <c r="T415" s="73" t="s">
        <v>4392</v>
      </c>
      <c r="U415" s="71" t="s">
        <v>3627</v>
      </c>
      <c r="V415" s="71" t="b">
        <v>0</v>
      </c>
    </row>
    <row r="416" spans="1:22" ht="17.25">
      <c r="A416" s="70">
        <v>279</v>
      </c>
      <c r="B416" s="70" t="s">
        <v>2757</v>
      </c>
      <c r="C416" s="70" t="s">
        <v>4639</v>
      </c>
      <c r="D416" s="70" t="s">
        <v>2756</v>
      </c>
      <c r="E416" s="70" t="s">
        <v>2755</v>
      </c>
      <c r="F416" s="71">
        <v>101</v>
      </c>
      <c r="G416" s="71">
        <v>8</v>
      </c>
      <c r="H416" s="72" t="s">
        <v>4326</v>
      </c>
      <c r="I416" s="71" t="b">
        <v>0</v>
      </c>
      <c r="J416" s="71">
        <v>66</v>
      </c>
      <c r="K416" s="71">
        <v>52</v>
      </c>
      <c r="L416" s="71">
        <v>70</v>
      </c>
      <c r="M416" s="71">
        <v>5</v>
      </c>
      <c r="N416" s="71">
        <v>50</v>
      </c>
      <c r="O416" s="71">
        <v>0</v>
      </c>
      <c r="P416" s="71">
        <v>12</v>
      </c>
      <c r="Q416" s="71">
        <v>41</v>
      </c>
      <c r="R416" s="71">
        <v>125</v>
      </c>
      <c r="S416" s="71" t="s">
        <v>74</v>
      </c>
      <c r="T416" s="73" t="s">
        <v>4392</v>
      </c>
      <c r="U416" s="71" t="s">
        <v>3627</v>
      </c>
      <c r="V416" s="71" t="b">
        <v>0</v>
      </c>
    </row>
    <row r="417" spans="1:22" ht="17.25">
      <c r="A417" s="70">
        <v>280</v>
      </c>
      <c r="B417" s="70" t="s">
        <v>2754</v>
      </c>
      <c r="C417" s="70" t="s">
        <v>661</v>
      </c>
      <c r="D417" s="70" t="s">
        <v>2753</v>
      </c>
      <c r="E417" s="70" t="s">
        <v>44</v>
      </c>
      <c r="F417" s="71">
        <v>41</v>
      </c>
      <c r="G417" s="71">
        <v>63</v>
      </c>
      <c r="H417" s="72">
        <v>0.11666666666666667</v>
      </c>
      <c r="I417" s="71" t="b">
        <v>0</v>
      </c>
      <c r="J417" s="71">
        <v>48</v>
      </c>
      <c r="K417" s="71">
        <v>76</v>
      </c>
      <c r="L417" s="71">
        <v>92</v>
      </c>
      <c r="M417" s="71">
        <v>4</v>
      </c>
      <c r="N417" s="71">
        <v>1</v>
      </c>
      <c r="O417" s="71">
        <v>0</v>
      </c>
      <c r="P417" s="71">
        <v>14</v>
      </c>
      <c r="Q417" s="71">
        <v>12</v>
      </c>
      <c r="R417" s="71">
        <v>143</v>
      </c>
      <c r="S417" s="71" t="s">
        <v>96</v>
      </c>
      <c r="T417" s="73">
        <v>45464</v>
      </c>
      <c r="U417" s="71" t="s">
        <v>3628</v>
      </c>
      <c r="V417" s="71" t="b">
        <v>0</v>
      </c>
    </row>
    <row r="418" spans="1:22" ht="17.25">
      <c r="A418" s="70">
        <v>281</v>
      </c>
      <c r="B418" s="70" t="s">
        <v>2752</v>
      </c>
      <c r="C418" s="70" t="s">
        <v>2313</v>
      </c>
      <c r="D418" s="70" t="s">
        <v>2751</v>
      </c>
      <c r="E418" s="70" t="s">
        <v>2311</v>
      </c>
      <c r="F418" s="71">
        <v>61</v>
      </c>
      <c r="G418" s="71">
        <v>123</v>
      </c>
      <c r="H418" s="72">
        <v>0.16041666666666668</v>
      </c>
      <c r="I418" s="71" t="b">
        <v>1</v>
      </c>
      <c r="J418" s="71">
        <v>74</v>
      </c>
      <c r="K418" s="71">
        <v>75</v>
      </c>
      <c r="L418" s="71">
        <v>92</v>
      </c>
      <c r="M418" s="71">
        <v>4</v>
      </c>
      <c r="N418" s="71">
        <v>2</v>
      </c>
      <c r="O418" s="71">
        <v>0</v>
      </c>
      <c r="P418" s="71">
        <v>29</v>
      </c>
      <c r="Q418" s="71">
        <v>55</v>
      </c>
      <c r="R418" s="71">
        <v>110</v>
      </c>
      <c r="S418" s="71" t="s">
        <v>96</v>
      </c>
      <c r="T418" s="73">
        <v>41079</v>
      </c>
      <c r="U418" s="71" t="s">
        <v>3629</v>
      </c>
      <c r="V418" s="71" t="b">
        <v>0</v>
      </c>
    </row>
    <row r="419" spans="1:22" ht="17.25">
      <c r="A419" s="70">
        <v>281</v>
      </c>
      <c r="B419" s="70" t="s">
        <v>2752</v>
      </c>
      <c r="C419" s="70" t="s">
        <v>4640</v>
      </c>
      <c r="D419" s="70" t="s">
        <v>2751</v>
      </c>
      <c r="E419" s="70" t="s">
        <v>2311</v>
      </c>
      <c r="F419" s="71">
        <v>61</v>
      </c>
      <c r="G419" s="71">
        <v>123</v>
      </c>
      <c r="H419" s="72">
        <v>0.16041666666666668</v>
      </c>
      <c r="I419" s="71" t="b">
        <v>1</v>
      </c>
      <c r="J419" s="71">
        <v>74</v>
      </c>
      <c r="K419" s="71">
        <v>75</v>
      </c>
      <c r="L419" s="71">
        <v>92</v>
      </c>
      <c r="M419" s="71">
        <v>4</v>
      </c>
      <c r="N419" s="71">
        <v>2</v>
      </c>
      <c r="O419" s="71">
        <v>0</v>
      </c>
      <c r="P419" s="71">
        <v>29</v>
      </c>
      <c r="Q419" s="71">
        <v>55</v>
      </c>
      <c r="R419" s="71">
        <v>110</v>
      </c>
      <c r="S419" s="71" t="s">
        <v>96</v>
      </c>
      <c r="T419" s="73">
        <v>41079</v>
      </c>
      <c r="U419" s="71" t="s">
        <v>3629</v>
      </c>
      <c r="V419" s="71" t="b">
        <v>0</v>
      </c>
    </row>
    <row r="420" spans="1:22" ht="17.25">
      <c r="A420" s="70">
        <v>282</v>
      </c>
      <c r="B420" s="70" t="s">
        <v>2750</v>
      </c>
      <c r="C420" s="70" t="s">
        <v>511</v>
      </c>
      <c r="D420" s="70" t="s">
        <v>2749</v>
      </c>
      <c r="E420" s="70" t="s">
        <v>124</v>
      </c>
      <c r="F420" s="71">
        <v>16</v>
      </c>
      <c r="G420" s="71">
        <v>12</v>
      </c>
      <c r="H420" s="72" t="s">
        <v>4320</v>
      </c>
      <c r="I420" s="71" t="b">
        <v>0</v>
      </c>
      <c r="J420" s="71">
        <v>68</v>
      </c>
      <c r="K420" s="71">
        <v>54</v>
      </c>
      <c r="L420" s="71">
        <v>71</v>
      </c>
      <c r="M420" s="71">
        <v>5</v>
      </c>
      <c r="N420" s="71">
        <v>42</v>
      </c>
      <c r="O420" s="71">
        <v>0</v>
      </c>
      <c r="P420" s="71">
        <v>11</v>
      </c>
      <c r="Q420" s="71">
        <v>48</v>
      </c>
      <c r="R420" s="71">
        <v>92</v>
      </c>
      <c r="S420" s="71" t="s">
        <v>115</v>
      </c>
      <c r="T420" s="73" t="s">
        <v>4341</v>
      </c>
      <c r="U420" s="71" t="s">
        <v>3435</v>
      </c>
      <c r="V420" s="71" t="b">
        <v>0</v>
      </c>
    </row>
    <row r="421" spans="1:22" ht="17.25">
      <c r="A421" s="70">
        <v>283</v>
      </c>
      <c r="B421" s="70" t="s">
        <v>2748</v>
      </c>
      <c r="C421" s="70" t="s">
        <v>2005</v>
      </c>
      <c r="D421" s="70" t="s">
        <v>2747</v>
      </c>
      <c r="E421" s="70" t="s">
        <v>2003</v>
      </c>
      <c r="F421" s="71">
        <v>33</v>
      </c>
      <c r="G421" s="71">
        <v>4</v>
      </c>
      <c r="H421" s="72">
        <v>0.11666666666666667</v>
      </c>
      <c r="I421" s="71" t="b">
        <v>0</v>
      </c>
      <c r="J421" s="71">
        <v>42</v>
      </c>
      <c r="K421" s="71">
        <v>68</v>
      </c>
      <c r="L421" s="71">
        <v>84</v>
      </c>
      <c r="M421" s="71">
        <v>8</v>
      </c>
      <c r="N421" s="71">
        <v>0</v>
      </c>
      <c r="O421" s="71">
        <v>1</v>
      </c>
      <c r="P421" s="71">
        <v>13</v>
      </c>
      <c r="Q421" s="71">
        <v>33</v>
      </c>
      <c r="R421" s="71">
        <v>163</v>
      </c>
      <c r="S421" s="71" t="s">
        <v>83</v>
      </c>
      <c r="T421" s="73">
        <v>25829</v>
      </c>
      <c r="U421" s="71" t="s">
        <v>3630</v>
      </c>
      <c r="V421" s="71" t="b">
        <v>0</v>
      </c>
    </row>
    <row r="422" spans="1:22" ht="17.25">
      <c r="A422" s="70">
        <v>284</v>
      </c>
      <c r="B422" s="70" t="s">
        <v>2746</v>
      </c>
      <c r="C422" s="70" t="s">
        <v>32</v>
      </c>
      <c r="D422" s="70" t="s">
        <v>2745</v>
      </c>
      <c r="E422" s="70" t="s">
        <v>30</v>
      </c>
      <c r="F422" s="71">
        <v>196</v>
      </c>
      <c r="G422" s="71">
        <v>1</v>
      </c>
      <c r="H422" s="72" t="s">
        <v>4315</v>
      </c>
      <c r="I422" s="71" t="b">
        <v>0</v>
      </c>
      <c r="J422" s="71">
        <v>71</v>
      </c>
      <c r="K422" s="71">
        <v>63</v>
      </c>
      <c r="L422" s="71">
        <v>73</v>
      </c>
      <c r="M422" s="71">
        <v>5</v>
      </c>
      <c r="N422" s="71">
        <v>22</v>
      </c>
      <c r="O422" s="71">
        <v>0</v>
      </c>
      <c r="P422" s="71">
        <v>12</v>
      </c>
      <c r="Q422" s="71">
        <v>56</v>
      </c>
      <c r="R422" s="71">
        <v>124</v>
      </c>
      <c r="S422" s="71" t="s">
        <v>96</v>
      </c>
      <c r="T422" s="73" t="s">
        <v>4372</v>
      </c>
      <c r="U422" s="71" t="s">
        <v>3479</v>
      </c>
      <c r="V422" s="71" t="b">
        <v>0</v>
      </c>
    </row>
    <row r="423" spans="1:22" ht="17.25">
      <c r="A423" s="70">
        <v>285</v>
      </c>
      <c r="B423" s="70" t="s">
        <v>2744</v>
      </c>
      <c r="C423" s="70" t="s">
        <v>4641</v>
      </c>
      <c r="D423" s="70" t="s">
        <v>2743</v>
      </c>
      <c r="E423" s="70" t="s">
        <v>129</v>
      </c>
      <c r="F423" s="71">
        <v>134</v>
      </c>
      <c r="G423" s="71">
        <v>3</v>
      </c>
      <c r="H423" s="72">
        <v>0.13333333333333333</v>
      </c>
      <c r="I423" s="71" t="b">
        <v>1</v>
      </c>
      <c r="J423" s="71">
        <v>82</v>
      </c>
      <c r="K423" s="71">
        <v>78</v>
      </c>
      <c r="L423" s="71">
        <v>81</v>
      </c>
      <c r="M423" s="71">
        <v>12</v>
      </c>
      <c r="N423" s="71">
        <v>8</v>
      </c>
      <c r="O423" s="71">
        <v>0</v>
      </c>
      <c r="P423" s="71">
        <v>13</v>
      </c>
      <c r="Q423" s="71">
        <v>62</v>
      </c>
      <c r="R423" s="71">
        <v>96</v>
      </c>
      <c r="S423" s="71" t="s">
        <v>128</v>
      </c>
      <c r="T423" s="73">
        <v>45786</v>
      </c>
      <c r="U423" s="71" t="s">
        <v>3631</v>
      </c>
      <c r="V423" s="71" t="b">
        <v>0</v>
      </c>
    </row>
    <row r="424" spans="1:22" ht="17.25">
      <c r="A424" s="70">
        <v>285</v>
      </c>
      <c r="B424" s="70" t="s">
        <v>2744</v>
      </c>
      <c r="C424" s="70" t="s">
        <v>2616</v>
      </c>
      <c r="D424" s="70" t="s">
        <v>2743</v>
      </c>
      <c r="E424" s="70" t="s">
        <v>129</v>
      </c>
      <c r="F424" s="71">
        <v>134</v>
      </c>
      <c r="G424" s="71">
        <v>3</v>
      </c>
      <c r="H424" s="72">
        <v>0.13333333333333333</v>
      </c>
      <c r="I424" s="71" t="b">
        <v>1</v>
      </c>
      <c r="J424" s="71">
        <v>82</v>
      </c>
      <c r="K424" s="71">
        <v>78</v>
      </c>
      <c r="L424" s="71">
        <v>81</v>
      </c>
      <c r="M424" s="71">
        <v>12</v>
      </c>
      <c r="N424" s="71">
        <v>8</v>
      </c>
      <c r="O424" s="71">
        <v>0</v>
      </c>
      <c r="P424" s="71">
        <v>13</v>
      </c>
      <c r="Q424" s="71">
        <v>62</v>
      </c>
      <c r="R424" s="71">
        <v>96</v>
      </c>
      <c r="S424" s="71" t="s">
        <v>128</v>
      </c>
      <c r="T424" s="73">
        <v>45786</v>
      </c>
      <c r="U424" s="71" t="s">
        <v>3631</v>
      </c>
      <c r="V424" s="71" t="b">
        <v>0</v>
      </c>
    </row>
    <row r="425" spans="1:22" ht="17.25">
      <c r="A425" s="70">
        <v>286</v>
      </c>
      <c r="B425" s="70" t="s">
        <v>2742</v>
      </c>
      <c r="C425" s="70" t="s">
        <v>182</v>
      </c>
      <c r="D425" s="70" t="s">
        <v>2741</v>
      </c>
      <c r="E425" s="70" t="s">
        <v>349</v>
      </c>
      <c r="F425" s="71">
        <v>166</v>
      </c>
      <c r="G425" s="71">
        <v>1</v>
      </c>
      <c r="H425" s="72" t="s">
        <v>4322</v>
      </c>
      <c r="I425" s="71" t="b">
        <v>1</v>
      </c>
      <c r="J425" s="71">
        <v>68</v>
      </c>
      <c r="K425" s="71">
        <v>48</v>
      </c>
      <c r="L425" s="71">
        <v>70</v>
      </c>
      <c r="M425" s="71">
        <v>32</v>
      </c>
      <c r="N425" s="71">
        <v>56</v>
      </c>
      <c r="O425" s="71">
        <v>0</v>
      </c>
      <c r="P425" s="71">
        <v>10</v>
      </c>
      <c r="Q425" s="71">
        <v>30</v>
      </c>
      <c r="R425" s="71">
        <v>90</v>
      </c>
      <c r="S425" s="71" t="s">
        <v>48</v>
      </c>
      <c r="T425" s="73" t="s">
        <v>4386</v>
      </c>
      <c r="U425" s="71" t="s">
        <v>3442</v>
      </c>
      <c r="V425" s="71" t="b">
        <v>0</v>
      </c>
    </row>
    <row r="426" spans="1:22" ht="17.25">
      <c r="A426" s="70">
        <v>287</v>
      </c>
      <c r="B426" s="70" t="s">
        <v>2740</v>
      </c>
      <c r="C426" s="70" t="s">
        <v>4426</v>
      </c>
      <c r="D426" s="70" t="s">
        <v>2739</v>
      </c>
      <c r="E426" s="70" t="s">
        <v>2738</v>
      </c>
      <c r="F426" s="71">
        <v>22</v>
      </c>
      <c r="G426" s="71">
        <v>28</v>
      </c>
      <c r="H426" s="72">
        <v>0.15138888888888888</v>
      </c>
      <c r="I426" s="71" t="b">
        <v>0</v>
      </c>
      <c r="J426" s="71">
        <v>69</v>
      </c>
      <c r="K426" s="71">
        <v>63</v>
      </c>
      <c r="L426" s="71">
        <v>92</v>
      </c>
      <c r="M426" s="71">
        <v>18</v>
      </c>
      <c r="N426" s="71">
        <v>33</v>
      </c>
      <c r="O426" s="71">
        <v>0</v>
      </c>
      <c r="P426" s="71">
        <v>9</v>
      </c>
      <c r="Q426" s="71">
        <v>47</v>
      </c>
      <c r="R426" s="71">
        <v>156</v>
      </c>
      <c r="S426" s="71" t="s">
        <v>128</v>
      </c>
      <c r="T426" s="73">
        <v>45611</v>
      </c>
      <c r="U426" s="71" t="s">
        <v>3509</v>
      </c>
      <c r="V426" s="71" t="b">
        <v>0</v>
      </c>
    </row>
    <row r="427" spans="1:22" ht="17.25">
      <c r="A427" s="70">
        <v>287</v>
      </c>
      <c r="B427" s="70" t="s">
        <v>2740</v>
      </c>
      <c r="C427" s="70" t="s">
        <v>4527</v>
      </c>
      <c r="D427" s="70" t="s">
        <v>2739</v>
      </c>
      <c r="E427" s="70" t="s">
        <v>2738</v>
      </c>
      <c r="F427" s="71">
        <v>22</v>
      </c>
      <c r="G427" s="71">
        <v>28</v>
      </c>
      <c r="H427" s="72">
        <v>0.15138888888888888</v>
      </c>
      <c r="I427" s="71" t="b">
        <v>0</v>
      </c>
      <c r="J427" s="71">
        <v>69</v>
      </c>
      <c r="K427" s="71">
        <v>63</v>
      </c>
      <c r="L427" s="71">
        <v>92</v>
      </c>
      <c r="M427" s="71">
        <v>18</v>
      </c>
      <c r="N427" s="71">
        <v>33</v>
      </c>
      <c r="O427" s="71">
        <v>0</v>
      </c>
      <c r="P427" s="71">
        <v>9</v>
      </c>
      <c r="Q427" s="71">
        <v>47</v>
      </c>
      <c r="R427" s="71">
        <v>156</v>
      </c>
      <c r="S427" s="71" t="s">
        <v>128</v>
      </c>
      <c r="T427" s="73">
        <v>45611</v>
      </c>
      <c r="U427" s="71" t="s">
        <v>3509</v>
      </c>
      <c r="V427" s="71" t="b">
        <v>0</v>
      </c>
    </row>
    <row r="428" spans="1:22" ht="17.25">
      <c r="A428" s="70">
        <v>288</v>
      </c>
      <c r="B428" s="70" t="s">
        <v>2737</v>
      </c>
      <c r="C428" s="70" t="s">
        <v>511</v>
      </c>
      <c r="D428" s="70" t="s">
        <v>2736</v>
      </c>
      <c r="E428" s="70" t="s">
        <v>124</v>
      </c>
      <c r="F428" s="71">
        <v>20</v>
      </c>
      <c r="G428" s="71">
        <v>13</v>
      </c>
      <c r="H428" s="72" t="s">
        <v>4343</v>
      </c>
      <c r="I428" s="71" t="b">
        <v>0</v>
      </c>
      <c r="J428" s="71">
        <v>74</v>
      </c>
      <c r="K428" s="71">
        <v>70</v>
      </c>
      <c r="L428" s="71">
        <v>74</v>
      </c>
      <c r="M428" s="71">
        <v>6</v>
      </c>
      <c r="N428" s="71">
        <v>19</v>
      </c>
      <c r="O428" s="71">
        <v>0</v>
      </c>
      <c r="P428" s="71">
        <v>15</v>
      </c>
      <c r="Q428" s="71">
        <v>66</v>
      </c>
      <c r="R428" s="71">
        <v>115</v>
      </c>
      <c r="S428" s="71" t="s">
        <v>115</v>
      </c>
      <c r="T428" s="73" t="s">
        <v>4341</v>
      </c>
      <c r="U428" s="71" t="s">
        <v>3435</v>
      </c>
      <c r="V428" s="71" t="b">
        <v>0</v>
      </c>
    </row>
    <row r="429" spans="1:22" ht="17.25">
      <c r="A429" s="70">
        <v>289</v>
      </c>
      <c r="B429" s="70" t="s">
        <v>2735</v>
      </c>
      <c r="C429" s="70" t="s">
        <v>419</v>
      </c>
      <c r="D429" s="70" t="s">
        <v>2734</v>
      </c>
      <c r="E429" s="70" t="s">
        <v>417</v>
      </c>
      <c r="F429" s="71">
        <v>97</v>
      </c>
      <c r="G429" s="71">
        <v>18</v>
      </c>
      <c r="H429" s="72">
        <v>0.12847222222222221</v>
      </c>
      <c r="I429" s="71" t="b">
        <v>1</v>
      </c>
      <c r="J429" s="71">
        <v>78</v>
      </c>
      <c r="K429" s="71">
        <v>74</v>
      </c>
      <c r="L429" s="71">
        <v>80</v>
      </c>
      <c r="M429" s="71">
        <v>10</v>
      </c>
      <c r="N429" s="71">
        <v>15</v>
      </c>
      <c r="O429" s="71">
        <v>0</v>
      </c>
      <c r="P429" s="71">
        <v>12</v>
      </c>
      <c r="Q429" s="71">
        <v>55</v>
      </c>
      <c r="R429" s="71">
        <v>108</v>
      </c>
      <c r="S429" s="71" t="s">
        <v>61</v>
      </c>
      <c r="T429" s="73">
        <v>45730</v>
      </c>
      <c r="U429" s="71" t="s">
        <v>3632</v>
      </c>
      <c r="V429" s="71" t="b">
        <v>0</v>
      </c>
    </row>
    <row r="430" spans="1:22" ht="17.25">
      <c r="A430" s="70">
        <v>290</v>
      </c>
      <c r="B430" s="70" t="s">
        <v>2733</v>
      </c>
      <c r="C430" s="70" t="s">
        <v>356</v>
      </c>
      <c r="D430" s="70" t="s">
        <v>2073</v>
      </c>
      <c r="E430" s="70" t="s">
        <v>200</v>
      </c>
      <c r="F430" s="71">
        <v>19</v>
      </c>
      <c r="G430" s="71">
        <v>283</v>
      </c>
      <c r="H430" s="72">
        <v>0.18680555555555556</v>
      </c>
      <c r="I430" s="71" t="b">
        <v>0</v>
      </c>
      <c r="J430" s="71">
        <v>43</v>
      </c>
      <c r="K430" s="71">
        <v>66</v>
      </c>
      <c r="L430" s="71">
        <v>88</v>
      </c>
      <c r="M430" s="71">
        <v>3</v>
      </c>
      <c r="N430" s="71">
        <v>0</v>
      </c>
      <c r="O430" s="71">
        <v>0</v>
      </c>
      <c r="P430" s="71">
        <v>23</v>
      </c>
      <c r="Q430" s="71">
        <v>28</v>
      </c>
      <c r="R430" s="71">
        <v>173</v>
      </c>
      <c r="S430" s="71" t="s">
        <v>354</v>
      </c>
      <c r="T430" s="73">
        <v>36703</v>
      </c>
      <c r="U430" s="71" t="s">
        <v>3633</v>
      </c>
      <c r="V430" s="71" t="b">
        <v>0</v>
      </c>
    </row>
    <row r="431" spans="1:22" ht="17.25">
      <c r="A431" s="70">
        <v>291</v>
      </c>
      <c r="B431" s="70" t="s">
        <v>2732</v>
      </c>
      <c r="C431" s="70" t="s">
        <v>97</v>
      </c>
      <c r="D431" s="70" t="s">
        <v>2731</v>
      </c>
      <c r="E431" s="70" t="s">
        <v>97</v>
      </c>
      <c r="F431" s="71">
        <v>7</v>
      </c>
      <c r="G431" s="71">
        <v>6</v>
      </c>
      <c r="H431" s="72" t="s">
        <v>4334</v>
      </c>
      <c r="I431" s="71" t="b">
        <v>0</v>
      </c>
      <c r="J431" s="71">
        <v>74</v>
      </c>
      <c r="K431" s="71">
        <v>72</v>
      </c>
      <c r="L431" s="71">
        <v>75</v>
      </c>
      <c r="M431" s="71">
        <v>8</v>
      </c>
      <c r="N431" s="71">
        <v>18</v>
      </c>
      <c r="O431" s="71">
        <v>0</v>
      </c>
      <c r="P431" s="71">
        <v>15</v>
      </c>
      <c r="Q431" s="71">
        <v>66</v>
      </c>
      <c r="R431" s="71">
        <v>126</v>
      </c>
      <c r="S431" s="71" t="s">
        <v>96</v>
      </c>
      <c r="T431" s="73" t="s">
        <v>4364</v>
      </c>
      <c r="U431" s="71" t="s">
        <v>3397</v>
      </c>
      <c r="V431" s="71" t="b">
        <v>0</v>
      </c>
    </row>
    <row r="432" spans="1:22" ht="17.25">
      <c r="A432" s="70">
        <v>292</v>
      </c>
      <c r="B432" s="70" t="s">
        <v>2730</v>
      </c>
      <c r="C432" s="70" t="s">
        <v>2729</v>
      </c>
      <c r="D432" s="70" t="s">
        <v>2728</v>
      </c>
      <c r="E432" s="70" t="s">
        <v>2162</v>
      </c>
      <c r="F432" s="71">
        <v>90</v>
      </c>
      <c r="G432" s="71">
        <v>13</v>
      </c>
      <c r="H432" s="72">
        <v>0.17499999999999999</v>
      </c>
      <c r="I432" s="71" t="b">
        <v>0</v>
      </c>
      <c r="J432" s="71">
        <v>52</v>
      </c>
      <c r="K432" s="71">
        <v>55</v>
      </c>
      <c r="L432" s="71">
        <v>73</v>
      </c>
      <c r="M432" s="71">
        <v>4</v>
      </c>
      <c r="N432" s="71">
        <v>50</v>
      </c>
      <c r="O432" s="71">
        <v>0</v>
      </c>
      <c r="P432" s="71">
        <v>10</v>
      </c>
      <c r="Q432" s="71">
        <v>50</v>
      </c>
      <c r="R432" s="71">
        <v>88</v>
      </c>
      <c r="S432" s="71" t="s">
        <v>359</v>
      </c>
      <c r="T432" s="73">
        <v>45632</v>
      </c>
      <c r="U432" s="71" t="s">
        <v>3634</v>
      </c>
      <c r="V432" s="71" t="b">
        <v>0</v>
      </c>
    </row>
    <row r="433" spans="1:22" ht="17.25">
      <c r="A433" s="70">
        <v>293</v>
      </c>
      <c r="B433" s="70" t="s">
        <v>2727</v>
      </c>
      <c r="C433" s="70" t="s">
        <v>419</v>
      </c>
      <c r="D433" s="70" t="s">
        <v>952</v>
      </c>
      <c r="E433" s="70" t="s">
        <v>222</v>
      </c>
      <c r="F433" s="71">
        <v>5</v>
      </c>
      <c r="G433" s="71">
        <v>35</v>
      </c>
      <c r="H433" s="72">
        <v>0.14027777777777778</v>
      </c>
      <c r="I433" s="71" t="b">
        <v>1</v>
      </c>
      <c r="J433" s="71">
        <v>69</v>
      </c>
      <c r="K433" s="71">
        <v>65</v>
      </c>
      <c r="L433" s="71">
        <v>88</v>
      </c>
      <c r="M433" s="71">
        <v>8</v>
      </c>
      <c r="N433" s="71">
        <v>50</v>
      </c>
      <c r="O433" s="71">
        <v>0</v>
      </c>
      <c r="P433" s="71">
        <v>8</v>
      </c>
      <c r="Q433" s="71">
        <v>47</v>
      </c>
      <c r="R433" s="71">
        <v>113</v>
      </c>
      <c r="S433" s="71" t="s">
        <v>61</v>
      </c>
      <c r="T433" s="73">
        <v>45548</v>
      </c>
      <c r="U433" s="71" t="s">
        <v>3635</v>
      </c>
      <c r="V433" s="71" t="b">
        <v>0</v>
      </c>
    </row>
    <row r="434" spans="1:22" ht="17.25">
      <c r="A434" s="70">
        <v>293</v>
      </c>
      <c r="B434" s="70" t="s">
        <v>2727</v>
      </c>
      <c r="C434" s="70" t="s">
        <v>4449</v>
      </c>
      <c r="D434" s="70" t="s">
        <v>952</v>
      </c>
      <c r="E434" s="70" t="s">
        <v>222</v>
      </c>
      <c r="F434" s="71">
        <v>5</v>
      </c>
      <c r="G434" s="71">
        <v>35</v>
      </c>
      <c r="H434" s="72">
        <v>0.14027777777777778</v>
      </c>
      <c r="I434" s="71" t="b">
        <v>1</v>
      </c>
      <c r="J434" s="71">
        <v>69</v>
      </c>
      <c r="K434" s="71">
        <v>65</v>
      </c>
      <c r="L434" s="71">
        <v>88</v>
      </c>
      <c r="M434" s="71">
        <v>8</v>
      </c>
      <c r="N434" s="71">
        <v>50</v>
      </c>
      <c r="O434" s="71">
        <v>0</v>
      </c>
      <c r="P434" s="71">
        <v>8</v>
      </c>
      <c r="Q434" s="71">
        <v>47</v>
      </c>
      <c r="R434" s="71">
        <v>113</v>
      </c>
      <c r="S434" s="71" t="s">
        <v>61</v>
      </c>
      <c r="T434" s="73">
        <v>45548</v>
      </c>
      <c r="U434" s="71" t="s">
        <v>3635</v>
      </c>
      <c r="V434" s="71" t="b">
        <v>0</v>
      </c>
    </row>
    <row r="435" spans="1:22" ht="17.25">
      <c r="A435" s="70">
        <v>294</v>
      </c>
      <c r="B435" s="70" t="s">
        <v>2726</v>
      </c>
      <c r="C435" s="70" t="s">
        <v>4642</v>
      </c>
      <c r="D435" s="70" t="s">
        <v>2725</v>
      </c>
      <c r="E435" s="70" t="s">
        <v>129</v>
      </c>
      <c r="F435" s="71">
        <v>127</v>
      </c>
      <c r="G435" s="71">
        <v>1</v>
      </c>
      <c r="H435" s="72">
        <v>0.12152777777777778</v>
      </c>
      <c r="I435" s="71" t="b">
        <v>1</v>
      </c>
      <c r="J435" s="71">
        <v>80</v>
      </c>
      <c r="K435" s="71">
        <v>75</v>
      </c>
      <c r="L435" s="71">
        <v>80</v>
      </c>
      <c r="M435" s="71">
        <v>12</v>
      </c>
      <c r="N435" s="71">
        <v>12</v>
      </c>
      <c r="O435" s="71">
        <v>0</v>
      </c>
      <c r="P435" s="71">
        <v>11</v>
      </c>
      <c r="Q435" s="71">
        <v>55</v>
      </c>
      <c r="R435" s="71">
        <v>105</v>
      </c>
      <c r="S435" s="71" t="s">
        <v>128</v>
      </c>
      <c r="T435" s="73">
        <v>45793</v>
      </c>
      <c r="U435" s="71" t="s">
        <v>3636</v>
      </c>
      <c r="V435" s="71" t="b">
        <v>0</v>
      </c>
    </row>
    <row r="436" spans="1:22" ht="17.25">
      <c r="A436" s="70">
        <v>294</v>
      </c>
      <c r="B436" s="70" t="s">
        <v>2726</v>
      </c>
      <c r="C436" s="70" t="s">
        <v>4450</v>
      </c>
      <c r="D436" s="70" t="s">
        <v>2725</v>
      </c>
      <c r="E436" s="70" t="s">
        <v>129</v>
      </c>
      <c r="F436" s="71">
        <v>127</v>
      </c>
      <c r="G436" s="71">
        <v>1</v>
      </c>
      <c r="H436" s="72">
        <v>0.12152777777777778</v>
      </c>
      <c r="I436" s="71" t="b">
        <v>1</v>
      </c>
      <c r="J436" s="71">
        <v>80</v>
      </c>
      <c r="K436" s="71">
        <v>75</v>
      </c>
      <c r="L436" s="71">
        <v>80</v>
      </c>
      <c r="M436" s="71">
        <v>12</v>
      </c>
      <c r="N436" s="71">
        <v>12</v>
      </c>
      <c r="O436" s="71">
        <v>0</v>
      </c>
      <c r="P436" s="71">
        <v>11</v>
      </c>
      <c r="Q436" s="71">
        <v>55</v>
      </c>
      <c r="R436" s="71">
        <v>105</v>
      </c>
      <c r="S436" s="71" t="s">
        <v>128</v>
      </c>
      <c r="T436" s="73">
        <v>45793</v>
      </c>
      <c r="U436" s="71" t="s">
        <v>3636</v>
      </c>
      <c r="V436" s="71" t="b">
        <v>0</v>
      </c>
    </row>
    <row r="437" spans="1:22" ht="17.25">
      <c r="A437" s="70">
        <v>295</v>
      </c>
      <c r="B437" s="70" t="s">
        <v>2724</v>
      </c>
      <c r="C437" s="70" t="s">
        <v>383</v>
      </c>
      <c r="D437" s="70" t="s">
        <v>2723</v>
      </c>
      <c r="E437" s="70" t="s">
        <v>381</v>
      </c>
      <c r="F437" s="71">
        <v>5</v>
      </c>
      <c r="G437" s="71">
        <v>13</v>
      </c>
      <c r="H437" s="72">
        <v>0.11666666666666667</v>
      </c>
      <c r="I437" s="71" t="b">
        <v>0</v>
      </c>
      <c r="J437" s="71">
        <v>75</v>
      </c>
      <c r="K437" s="71">
        <v>78</v>
      </c>
      <c r="L437" s="71">
        <v>80</v>
      </c>
      <c r="M437" s="71">
        <v>8</v>
      </c>
      <c r="N437" s="71">
        <v>12</v>
      </c>
      <c r="O437" s="71">
        <v>0</v>
      </c>
      <c r="P437" s="71">
        <v>12</v>
      </c>
      <c r="Q437" s="71">
        <v>60</v>
      </c>
      <c r="R437" s="71">
        <v>115</v>
      </c>
      <c r="S437" s="71" t="s">
        <v>96</v>
      </c>
      <c r="T437" s="73">
        <v>45709</v>
      </c>
      <c r="U437" s="71" t="s">
        <v>3637</v>
      </c>
      <c r="V437" s="71" t="b">
        <v>0</v>
      </c>
    </row>
    <row r="438" spans="1:22" ht="17.25">
      <c r="A438" s="70">
        <v>296</v>
      </c>
      <c r="B438" s="70" t="s">
        <v>2722</v>
      </c>
      <c r="C438" s="70" t="s">
        <v>97</v>
      </c>
      <c r="D438" s="70" t="s">
        <v>2721</v>
      </c>
      <c r="E438" s="70" t="s">
        <v>97</v>
      </c>
      <c r="F438" s="71">
        <v>2</v>
      </c>
      <c r="G438" s="71">
        <v>73</v>
      </c>
      <c r="H438" s="72">
        <v>0.15347222222222223</v>
      </c>
      <c r="I438" s="71" t="b">
        <v>0</v>
      </c>
      <c r="J438" s="71">
        <v>36</v>
      </c>
      <c r="K438" s="71">
        <v>54</v>
      </c>
      <c r="L438" s="71">
        <v>87</v>
      </c>
      <c r="M438" s="71">
        <v>9</v>
      </c>
      <c r="N438" s="71">
        <v>49</v>
      </c>
      <c r="O438" s="71">
        <v>0</v>
      </c>
      <c r="P438" s="71">
        <v>12</v>
      </c>
      <c r="Q438" s="71">
        <v>45</v>
      </c>
      <c r="R438" s="71">
        <v>69</v>
      </c>
      <c r="S438" s="71" t="s">
        <v>96</v>
      </c>
      <c r="T438" s="73">
        <v>43693</v>
      </c>
      <c r="U438" s="71" t="s">
        <v>3574</v>
      </c>
      <c r="V438" s="71" t="b">
        <v>0</v>
      </c>
    </row>
    <row r="439" spans="1:22" ht="17.25">
      <c r="A439" s="70">
        <v>297</v>
      </c>
      <c r="B439" s="70" t="s">
        <v>2720</v>
      </c>
      <c r="C439" s="70" t="s">
        <v>301</v>
      </c>
      <c r="D439" s="70" t="s">
        <v>2719</v>
      </c>
      <c r="E439" s="70" t="s">
        <v>44</v>
      </c>
      <c r="F439" s="71">
        <v>38</v>
      </c>
      <c r="G439" s="71">
        <v>2</v>
      </c>
      <c r="H439" s="72" t="s">
        <v>4360</v>
      </c>
      <c r="I439" s="71" t="b">
        <v>0</v>
      </c>
      <c r="J439" s="71">
        <v>72</v>
      </c>
      <c r="K439" s="71">
        <v>70</v>
      </c>
      <c r="L439" s="71">
        <v>74</v>
      </c>
      <c r="M439" s="71">
        <v>11</v>
      </c>
      <c r="N439" s="71">
        <v>20</v>
      </c>
      <c r="O439" s="71">
        <v>0</v>
      </c>
      <c r="P439" s="71">
        <v>16</v>
      </c>
      <c r="Q439" s="71">
        <v>61</v>
      </c>
      <c r="R439" s="71">
        <v>135</v>
      </c>
      <c r="S439" s="71" t="s">
        <v>183</v>
      </c>
      <c r="T439" s="73" t="s">
        <v>4359</v>
      </c>
      <c r="U439" s="71" t="s">
        <v>3638</v>
      </c>
      <c r="V439" s="71" t="b">
        <v>0</v>
      </c>
    </row>
    <row r="440" spans="1:22" ht="17.25">
      <c r="A440" s="70">
        <v>298</v>
      </c>
      <c r="B440" s="70" t="s">
        <v>2718</v>
      </c>
      <c r="C440" s="70" t="s">
        <v>4643</v>
      </c>
      <c r="D440" s="70" t="s">
        <v>2717</v>
      </c>
      <c r="E440" s="70" t="s">
        <v>2716</v>
      </c>
      <c r="F440" s="71">
        <v>93</v>
      </c>
      <c r="G440" s="71">
        <v>11</v>
      </c>
      <c r="H440" s="72">
        <v>0.16805555555555557</v>
      </c>
      <c r="I440" s="71" t="b">
        <v>0</v>
      </c>
      <c r="J440" s="71">
        <v>82</v>
      </c>
      <c r="K440" s="71">
        <v>74</v>
      </c>
      <c r="L440" s="71">
        <v>92</v>
      </c>
      <c r="M440" s="71">
        <v>3</v>
      </c>
      <c r="N440" s="71">
        <v>3</v>
      </c>
      <c r="O440" s="71">
        <v>0</v>
      </c>
      <c r="P440" s="71">
        <v>18</v>
      </c>
      <c r="Q440" s="71">
        <v>74</v>
      </c>
      <c r="R440" s="71">
        <v>119</v>
      </c>
      <c r="S440" s="71" t="s">
        <v>34</v>
      </c>
      <c r="T440" s="73">
        <v>39546</v>
      </c>
      <c r="U440" s="71" t="s">
        <v>3613</v>
      </c>
      <c r="V440" s="71" t="b">
        <v>0</v>
      </c>
    </row>
    <row r="441" spans="1:22" ht="17.25">
      <c r="A441" s="70">
        <v>298</v>
      </c>
      <c r="B441" s="70" t="s">
        <v>2718</v>
      </c>
      <c r="C441" s="70" t="s">
        <v>705</v>
      </c>
      <c r="D441" s="70" t="s">
        <v>2717</v>
      </c>
      <c r="E441" s="70" t="s">
        <v>2716</v>
      </c>
      <c r="F441" s="71">
        <v>93</v>
      </c>
      <c r="G441" s="71">
        <v>11</v>
      </c>
      <c r="H441" s="72">
        <v>0.16805555555555557</v>
      </c>
      <c r="I441" s="71" t="b">
        <v>0</v>
      </c>
      <c r="J441" s="71">
        <v>82</v>
      </c>
      <c r="K441" s="71">
        <v>74</v>
      </c>
      <c r="L441" s="71">
        <v>92</v>
      </c>
      <c r="M441" s="71">
        <v>3</v>
      </c>
      <c r="N441" s="71">
        <v>3</v>
      </c>
      <c r="O441" s="71">
        <v>0</v>
      </c>
      <c r="P441" s="71">
        <v>18</v>
      </c>
      <c r="Q441" s="71">
        <v>74</v>
      </c>
      <c r="R441" s="71">
        <v>119</v>
      </c>
      <c r="S441" s="71" t="s">
        <v>34</v>
      </c>
      <c r="T441" s="73">
        <v>39546</v>
      </c>
      <c r="U441" s="71" t="s">
        <v>3613</v>
      </c>
      <c r="V441" s="71" t="b">
        <v>0</v>
      </c>
    </row>
    <row r="442" spans="1:22" ht="17.25">
      <c r="A442" s="70">
        <v>299</v>
      </c>
      <c r="B442" s="70" t="s">
        <v>2715</v>
      </c>
      <c r="C442" s="70" t="s">
        <v>1982</v>
      </c>
      <c r="D442" s="70" t="s">
        <v>2714</v>
      </c>
      <c r="E442" s="70" t="s">
        <v>1980</v>
      </c>
      <c r="F442" s="71">
        <v>21</v>
      </c>
      <c r="G442" s="71">
        <v>16</v>
      </c>
      <c r="H442" s="72">
        <v>0.14722222222222223</v>
      </c>
      <c r="I442" s="71" t="b">
        <v>1</v>
      </c>
      <c r="J442" s="71">
        <v>82</v>
      </c>
      <c r="K442" s="71">
        <v>64</v>
      </c>
      <c r="L442" s="71">
        <v>95</v>
      </c>
      <c r="M442" s="71">
        <v>33</v>
      </c>
      <c r="N442" s="71">
        <v>9</v>
      </c>
      <c r="O442" s="71">
        <v>0</v>
      </c>
      <c r="P442" s="71">
        <v>8</v>
      </c>
      <c r="Q442" s="71">
        <v>62</v>
      </c>
      <c r="R442" s="71">
        <v>93</v>
      </c>
      <c r="S442" s="71" t="s">
        <v>48</v>
      </c>
      <c r="T442" s="73">
        <v>45534</v>
      </c>
      <c r="U442" s="71" t="s">
        <v>3639</v>
      </c>
      <c r="V442" s="71" t="b">
        <v>0</v>
      </c>
    </row>
    <row r="443" spans="1:22" ht="17.25">
      <c r="A443" s="70">
        <v>300</v>
      </c>
      <c r="B443" s="70" t="s">
        <v>2713</v>
      </c>
      <c r="C443" s="70" t="s">
        <v>430</v>
      </c>
      <c r="D443" s="70" t="s">
        <v>2712</v>
      </c>
      <c r="E443" s="70" t="s">
        <v>75</v>
      </c>
      <c r="F443" s="71">
        <v>9</v>
      </c>
      <c r="G443" s="71">
        <v>7</v>
      </c>
      <c r="H443" s="72" t="s">
        <v>4315</v>
      </c>
      <c r="I443" s="71" t="b">
        <v>0</v>
      </c>
      <c r="J443" s="71">
        <v>65</v>
      </c>
      <c r="K443" s="71">
        <v>48</v>
      </c>
      <c r="L443" s="71">
        <v>72</v>
      </c>
      <c r="M443" s="71">
        <v>4</v>
      </c>
      <c r="N443" s="71">
        <v>52</v>
      </c>
      <c r="O443" s="71">
        <v>0</v>
      </c>
      <c r="P443" s="71">
        <v>10</v>
      </c>
      <c r="Q443" s="71">
        <v>44</v>
      </c>
      <c r="R443" s="71">
        <v>110</v>
      </c>
      <c r="S443" s="71" t="s">
        <v>96</v>
      </c>
      <c r="T443" s="73" t="s">
        <v>4319</v>
      </c>
      <c r="U443" s="71" t="s">
        <v>3640</v>
      </c>
      <c r="V443" s="71" t="b">
        <v>0</v>
      </c>
    </row>
    <row r="444" spans="1:22" ht="17.25">
      <c r="A444" s="70">
        <v>301</v>
      </c>
      <c r="B444" s="70" t="s">
        <v>2711</v>
      </c>
      <c r="C444" s="70" t="s">
        <v>379</v>
      </c>
      <c r="D444" s="70" t="s">
        <v>2710</v>
      </c>
      <c r="E444" s="70" t="s">
        <v>44</v>
      </c>
      <c r="F444" s="71">
        <v>153</v>
      </c>
      <c r="G444" s="71">
        <v>1</v>
      </c>
      <c r="H444" s="72" t="s">
        <v>4317</v>
      </c>
      <c r="I444" s="71" t="b">
        <v>0</v>
      </c>
      <c r="J444" s="71">
        <v>82</v>
      </c>
      <c r="K444" s="71">
        <v>76</v>
      </c>
      <c r="L444" s="71">
        <v>74</v>
      </c>
      <c r="M444" s="71">
        <v>6</v>
      </c>
      <c r="N444" s="71">
        <v>14</v>
      </c>
      <c r="O444" s="71">
        <v>0</v>
      </c>
      <c r="P444" s="71">
        <v>12</v>
      </c>
      <c r="Q444" s="71">
        <v>80</v>
      </c>
      <c r="R444" s="71">
        <v>125</v>
      </c>
      <c r="S444" s="71" t="s">
        <v>96</v>
      </c>
      <c r="T444" s="73" t="s">
        <v>4386</v>
      </c>
      <c r="U444" s="71" t="s">
        <v>3641</v>
      </c>
      <c r="V444" s="71" t="b">
        <v>0</v>
      </c>
    </row>
    <row r="445" spans="1:22" ht="17.25">
      <c r="A445" s="70">
        <v>302</v>
      </c>
      <c r="B445" s="70" t="s">
        <v>2709</v>
      </c>
      <c r="C445" s="70" t="s">
        <v>141</v>
      </c>
      <c r="D445" s="70" t="s">
        <v>2708</v>
      </c>
      <c r="E445" s="70" t="s">
        <v>62</v>
      </c>
      <c r="F445" s="71">
        <v>28</v>
      </c>
      <c r="G445" s="71">
        <v>16</v>
      </c>
      <c r="H445" s="72">
        <v>0.12152777777777778</v>
      </c>
      <c r="I445" s="71" t="b">
        <v>1</v>
      </c>
      <c r="J445" s="71">
        <v>80</v>
      </c>
      <c r="K445" s="71">
        <v>75</v>
      </c>
      <c r="L445" s="71">
        <v>80</v>
      </c>
      <c r="M445" s="71">
        <v>10</v>
      </c>
      <c r="N445" s="71">
        <v>12</v>
      </c>
      <c r="O445" s="71">
        <v>0</v>
      </c>
      <c r="P445" s="71">
        <v>12</v>
      </c>
      <c r="Q445" s="71">
        <v>62</v>
      </c>
      <c r="R445" s="71">
        <v>108</v>
      </c>
      <c r="S445" s="71" t="s">
        <v>61</v>
      </c>
      <c r="T445" s="73">
        <v>45765</v>
      </c>
      <c r="U445" s="71" t="s">
        <v>3642</v>
      </c>
      <c r="V445" s="71" t="b">
        <v>0</v>
      </c>
    </row>
    <row r="446" spans="1:22" ht="17.25">
      <c r="A446" s="70">
        <v>303</v>
      </c>
      <c r="B446" s="70" t="s">
        <v>2707</v>
      </c>
      <c r="C446" s="70" t="s">
        <v>1825</v>
      </c>
      <c r="D446" s="70" t="s">
        <v>1824</v>
      </c>
      <c r="E446" s="70" t="s">
        <v>1823</v>
      </c>
      <c r="F446" s="71">
        <v>173</v>
      </c>
      <c r="G446" s="71">
        <v>2</v>
      </c>
      <c r="H446" s="72">
        <v>0.22361111111111112</v>
      </c>
      <c r="I446" s="71" t="b">
        <v>0</v>
      </c>
      <c r="J446" s="71">
        <v>42</v>
      </c>
      <c r="K446" s="71">
        <v>76</v>
      </c>
      <c r="L446" s="71">
        <v>88</v>
      </c>
      <c r="M446" s="71">
        <v>3</v>
      </c>
      <c r="N446" s="71">
        <v>31</v>
      </c>
      <c r="O446" s="71">
        <v>80</v>
      </c>
      <c r="P446" s="71">
        <v>6</v>
      </c>
      <c r="Q446" s="71">
        <v>46</v>
      </c>
      <c r="R446" s="71">
        <v>96</v>
      </c>
      <c r="S446" s="71" t="s">
        <v>74</v>
      </c>
      <c r="T446" s="73">
        <v>44848</v>
      </c>
      <c r="U446" s="71" t="s">
        <v>3643</v>
      </c>
      <c r="V446" s="71" t="b">
        <v>0</v>
      </c>
    </row>
    <row r="447" spans="1:22" ht="17.25">
      <c r="A447" s="70">
        <v>304</v>
      </c>
      <c r="B447" s="70" t="s">
        <v>2706</v>
      </c>
      <c r="C447" s="70" t="s">
        <v>4451</v>
      </c>
      <c r="D447" s="70" t="s">
        <v>2705</v>
      </c>
      <c r="E447" s="70" t="s">
        <v>2704</v>
      </c>
      <c r="F447" s="71">
        <v>48</v>
      </c>
      <c r="G447" s="71">
        <v>22</v>
      </c>
      <c r="H447" s="72">
        <v>0.14166666666666666</v>
      </c>
      <c r="I447" s="71" t="b">
        <v>0</v>
      </c>
      <c r="J447" s="71">
        <v>60</v>
      </c>
      <c r="K447" s="71">
        <v>55</v>
      </c>
      <c r="L447" s="71">
        <v>74</v>
      </c>
      <c r="M447" s="71">
        <v>4</v>
      </c>
      <c r="N447" s="71">
        <v>50</v>
      </c>
      <c r="O447" s="71">
        <v>0</v>
      </c>
      <c r="P447" s="71">
        <v>15</v>
      </c>
      <c r="Q447" s="71">
        <v>72</v>
      </c>
      <c r="R447" s="71">
        <v>120</v>
      </c>
      <c r="S447" s="71" t="s">
        <v>29</v>
      </c>
      <c r="T447" s="73">
        <v>19678</v>
      </c>
      <c r="U447" s="71" t="s">
        <v>3644</v>
      </c>
      <c r="V447" s="71" t="b">
        <v>1</v>
      </c>
    </row>
    <row r="448" spans="1:22" ht="17.25">
      <c r="A448" s="70">
        <v>304</v>
      </c>
      <c r="B448" s="70" t="s">
        <v>2706</v>
      </c>
      <c r="C448" s="70" t="s">
        <v>4644</v>
      </c>
      <c r="D448" s="70" t="s">
        <v>2705</v>
      </c>
      <c r="E448" s="70" t="s">
        <v>2704</v>
      </c>
      <c r="F448" s="71">
        <v>48</v>
      </c>
      <c r="G448" s="71">
        <v>22</v>
      </c>
      <c r="H448" s="72">
        <v>0.14166666666666666</v>
      </c>
      <c r="I448" s="71" t="b">
        <v>0</v>
      </c>
      <c r="J448" s="71">
        <v>60</v>
      </c>
      <c r="K448" s="71">
        <v>55</v>
      </c>
      <c r="L448" s="71">
        <v>74</v>
      </c>
      <c r="M448" s="71">
        <v>4</v>
      </c>
      <c r="N448" s="71">
        <v>50</v>
      </c>
      <c r="O448" s="71">
        <v>0</v>
      </c>
      <c r="P448" s="71">
        <v>15</v>
      </c>
      <c r="Q448" s="71">
        <v>72</v>
      </c>
      <c r="R448" s="71">
        <v>120</v>
      </c>
      <c r="S448" s="71" t="s">
        <v>29</v>
      </c>
      <c r="T448" s="73">
        <v>19678</v>
      </c>
      <c r="U448" s="71" t="s">
        <v>3644</v>
      </c>
      <c r="V448" s="71" t="b">
        <v>1</v>
      </c>
    </row>
    <row r="449" spans="1:22" ht="17.25">
      <c r="A449" s="70">
        <v>305</v>
      </c>
      <c r="B449" s="70" t="s">
        <v>2703</v>
      </c>
      <c r="C449" s="70" t="s">
        <v>4645</v>
      </c>
      <c r="D449" s="70" t="s">
        <v>2702</v>
      </c>
      <c r="E449" s="70" t="s">
        <v>2701</v>
      </c>
      <c r="F449" s="71">
        <v>111</v>
      </c>
      <c r="G449" s="71">
        <v>7</v>
      </c>
      <c r="H449" s="72">
        <v>0.12847222222222221</v>
      </c>
      <c r="I449" s="71" t="b">
        <v>0</v>
      </c>
      <c r="J449" s="71">
        <v>92</v>
      </c>
      <c r="K449" s="71">
        <v>78</v>
      </c>
      <c r="L449" s="71">
        <v>91</v>
      </c>
      <c r="M449" s="71">
        <v>5</v>
      </c>
      <c r="N449" s="71">
        <v>35</v>
      </c>
      <c r="O449" s="71">
        <v>0</v>
      </c>
      <c r="P449" s="71">
        <v>21</v>
      </c>
      <c r="Q449" s="71">
        <v>46</v>
      </c>
      <c r="R449" s="71">
        <v>125</v>
      </c>
      <c r="S449" s="71" t="s">
        <v>74</v>
      </c>
      <c r="T449" s="73">
        <v>45702</v>
      </c>
      <c r="U449" s="71" t="s">
        <v>3645</v>
      </c>
      <c r="V449" s="71" t="b">
        <v>0</v>
      </c>
    </row>
    <row r="450" spans="1:22" ht="17.25">
      <c r="A450" s="70">
        <v>305</v>
      </c>
      <c r="B450" s="70" t="s">
        <v>2703</v>
      </c>
      <c r="C450" s="70" t="s">
        <v>4646</v>
      </c>
      <c r="D450" s="70" t="s">
        <v>2702</v>
      </c>
      <c r="E450" s="70" t="s">
        <v>2701</v>
      </c>
      <c r="F450" s="71">
        <v>111</v>
      </c>
      <c r="G450" s="71">
        <v>7</v>
      </c>
      <c r="H450" s="72">
        <v>0.12847222222222221</v>
      </c>
      <c r="I450" s="71" t="b">
        <v>0</v>
      </c>
      <c r="J450" s="71">
        <v>92</v>
      </c>
      <c r="K450" s="71">
        <v>78</v>
      </c>
      <c r="L450" s="71">
        <v>91</v>
      </c>
      <c r="M450" s="71">
        <v>5</v>
      </c>
      <c r="N450" s="71">
        <v>35</v>
      </c>
      <c r="O450" s="71">
        <v>0</v>
      </c>
      <c r="P450" s="71">
        <v>21</v>
      </c>
      <c r="Q450" s="71">
        <v>46</v>
      </c>
      <c r="R450" s="71">
        <v>125</v>
      </c>
      <c r="S450" s="71" t="s">
        <v>74</v>
      </c>
      <c r="T450" s="73">
        <v>45702</v>
      </c>
      <c r="U450" s="71" t="s">
        <v>3645</v>
      </c>
      <c r="V450" s="71" t="b">
        <v>0</v>
      </c>
    </row>
    <row r="451" spans="1:22" ht="17.25">
      <c r="A451" s="70">
        <v>305</v>
      </c>
      <c r="B451" s="70" t="s">
        <v>2703</v>
      </c>
      <c r="C451" s="70" t="s">
        <v>4452</v>
      </c>
      <c r="D451" s="70" t="s">
        <v>2702</v>
      </c>
      <c r="E451" s="70" t="s">
        <v>2701</v>
      </c>
      <c r="F451" s="71">
        <v>111</v>
      </c>
      <c r="G451" s="71">
        <v>7</v>
      </c>
      <c r="H451" s="72">
        <v>0.12847222222222221</v>
      </c>
      <c r="I451" s="71" t="b">
        <v>0</v>
      </c>
      <c r="J451" s="71">
        <v>92</v>
      </c>
      <c r="K451" s="71">
        <v>78</v>
      </c>
      <c r="L451" s="71">
        <v>91</v>
      </c>
      <c r="M451" s="71">
        <v>5</v>
      </c>
      <c r="N451" s="71">
        <v>35</v>
      </c>
      <c r="O451" s="71">
        <v>0</v>
      </c>
      <c r="P451" s="71">
        <v>21</v>
      </c>
      <c r="Q451" s="71">
        <v>46</v>
      </c>
      <c r="R451" s="71">
        <v>125</v>
      </c>
      <c r="S451" s="71" t="s">
        <v>74</v>
      </c>
      <c r="T451" s="73">
        <v>45702</v>
      </c>
      <c r="U451" s="71" t="s">
        <v>3645</v>
      </c>
      <c r="V451" s="71" t="b">
        <v>0</v>
      </c>
    </row>
    <row r="452" spans="1:22" ht="17.25">
      <c r="A452" s="70">
        <v>306</v>
      </c>
      <c r="B452" s="70" t="s">
        <v>2700</v>
      </c>
      <c r="C452" s="70" t="s">
        <v>4647</v>
      </c>
      <c r="D452" s="70" t="s">
        <v>2699</v>
      </c>
      <c r="E452" s="70" t="s">
        <v>2698</v>
      </c>
      <c r="F452" s="71">
        <v>116</v>
      </c>
      <c r="G452" s="71">
        <v>2</v>
      </c>
      <c r="H452" s="72">
        <v>0.11666666666666667</v>
      </c>
      <c r="I452" s="71" t="b">
        <v>1</v>
      </c>
      <c r="J452" s="71">
        <v>72</v>
      </c>
      <c r="K452" s="71">
        <v>75</v>
      </c>
      <c r="L452" s="71">
        <v>79</v>
      </c>
      <c r="M452" s="71">
        <v>14</v>
      </c>
      <c r="N452" s="71">
        <v>12</v>
      </c>
      <c r="O452" s="71">
        <v>0</v>
      </c>
      <c r="P452" s="71">
        <v>11</v>
      </c>
      <c r="Q452" s="71">
        <v>52</v>
      </c>
      <c r="R452" s="71">
        <v>120</v>
      </c>
      <c r="S452" s="71" t="s">
        <v>56</v>
      </c>
      <c r="T452" s="73">
        <v>45730</v>
      </c>
      <c r="U452" s="71" t="s">
        <v>3646</v>
      </c>
      <c r="V452" s="71" t="b">
        <v>0</v>
      </c>
    </row>
    <row r="453" spans="1:22" ht="17.25">
      <c r="A453" s="70">
        <v>306</v>
      </c>
      <c r="B453" s="70" t="s">
        <v>2700</v>
      </c>
      <c r="C453" s="70" t="s">
        <v>2656</v>
      </c>
      <c r="D453" s="70" t="s">
        <v>2699</v>
      </c>
      <c r="E453" s="70" t="s">
        <v>2698</v>
      </c>
      <c r="F453" s="71">
        <v>116</v>
      </c>
      <c r="G453" s="71">
        <v>2</v>
      </c>
      <c r="H453" s="72">
        <v>0.11666666666666667</v>
      </c>
      <c r="I453" s="71" t="b">
        <v>1</v>
      </c>
      <c r="J453" s="71">
        <v>72</v>
      </c>
      <c r="K453" s="71">
        <v>75</v>
      </c>
      <c r="L453" s="71">
        <v>79</v>
      </c>
      <c r="M453" s="71">
        <v>14</v>
      </c>
      <c r="N453" s="71">
        <v>12</v>
      </c>
      <c r="O453" s="71">
        <v>0</v>
      </c>
      <c r="P453" s="71">
        <v>11</v>
      </c>
      <c r="Q453" s="71">
        <v>52</v>
      </c>
      <c r="R453" s="71">
        <v>120</v>
      </c>
      <c r="S453" s="71" t="s">
        <v>56</v>
      </c>
      <c r="T453" s="73">
        <v>45730</v>
      </c>
      <c r="U453" s="71" t="s">
        <v>3646</v>
      </c>
      <c r="V453" s="71" t="b">
        <v>0</v>
      </c>
    </row>
    <row r="454" spans="1:22" ht="17.25">
      <c r="A454" s="70">
        <v>307</v>
      </c>
      <c r="B454" s="70" t="s">
        <v>2697</v>
      </c>
      <c r="C454" s="70" t="s">
        <v>178</v>
      </c>
      <c r="D454" s="70" t="s">
        <v>2696</v>
      </c>
      <c r="E454" s="70" t="s">
        <v>84</v>
      </c>
      <c r="F454" s="71">
        <v>196</v>
      </c>
      <c r="G454" s="71">
        <v>2</v>
      </c>
      <c r="H454" s="72">
        <v>0.25208333333333333</v>
      </c>
      <c r="I454" s="71" t="b">
        <v>0</v>
      </c>
      <c r="J454" s="71">
        <v>75</v>
      </c>
      <c r="K454" s="71">
        <v>78</v>
      </c>
      <c r="L454" s="71">
        <v>81</v>
      </c>
      <c r="M454" s="71">
        <v>5</v>
      </c>
      <c r="N454" s="71">
        <v>10</v>
      </c>
      <c r="O454" s="71">
        <v>0</v>
      </c>
      <c r="P454" s="71">
        <v>13</v>
      </c>
      <c r="Q454" s="71">
        <v>78</v>
      </c>
      <c r="R454" s="71">
        <v>122</v>
      </c>
      <c r="S454" s="71" t="s">
        <v>96</v>
      </c>
      <c r="T454" s="73">
        <v>30285</v>
      </c>
      <c r="U454" s="71" t="s">
        <v>3647</v>
      </c>
      <c r="V454" s="71" t="b">
        <v>0</v>
      </c>
    </row>
    <row r="455" spans="1:22" ht="17.25">
      <c r="A455" s="70">
        <v>308</v>
      </c>
      <c r="B455" s="70" t="s">
        <v>2695</v>
      </c>
      <c r="C455" s="70" t="s">
        <v>272</v>
      </c>
      <c r="D455" s="70" t="s">
        <v>2694</v>
      </c>
      <c r="E455" s="70" t="s">
        <v>272</v>
      </c>
      <c r="F455" s="71">
        <v>107</v>
      </c>
      <c r="G455" s="71">
        <v>1</v>
      </c>
      <c r="H455" s="72" t="s">
        <v>4317</v>
      </c>
      <c r="I455" s="71" t="b">
        <v>0</v>
      </c>
      <c r="J455" s="71">
        <v>78</v>
      </c>
      <c r="K455" s="71">
        <v>80</v>
      </c>
      <c r="L455" s="71">
        <v>76</v>
      </c>
      <c r="M455" s="71">
        <v>7</v>
      </c>
      <c r="N455" s="71">
        <v>11</v>
      </c>
      <c r="O455" s="71">
        <v>0</v>
      </c>
      <c r="P455" s="71">
        <v>17</v>
      </c>
      <c r="Q455" s="71">
        <v>73</v>
      </c>
      <c r="R455" s="71">
        <v>125</v>
      </c>
      <c r="S455" s="71" t="s">
        <v>115</v>
      </c>
      <c r="T455" s="73" t="s">
        <v>4385</v>
      </c>
      <c r="U455" s="71" t="s">
        <v>3648</v>
      </c>
      <c r="V455" s="71" t="b">
        <v>0</v>
      </c>
    </row>
    <row r="456" spans="1:22" ht="17.25">
      <c r="A456" s="70">
        <v>309</v>
      </c>
      <c r="B456" s="70" t="s">
        <v>2693</v>
      </c>
      <c r="C456" s="70" t="s">
        <v>182</v>
      </c>
      <c r="D456" s="70" t="s">
        <v>2692</v>
      </c>
      <c r="E456" s="70" t="s">
        <v>180</v>
      </c>
      <c r="F456" s="71">
        <v>29</v>
      </c>
      <c r="G456" s="71">
        <v>2</v>
      </c>
      <c r="H456" s="72" t="s">
        <v>4320</v>
      </c>
      <c r="I456" s="71" t="b">
        <v>1</v>
      </c>
      <c r="J456" s="71">
        <v>70</v>
      </c>
      <c r="K456" s="71">
        <v>54</v>
      </c>
      <c r="L456" s="71">
        <v>71</v>
      </c>
      <c r="M456" s="71">
        <v>18</v>
      </c>
      <c r="N456" s="71">
        <v>41</v>
      </c>
      <c r="O456" s="71">
        <v>0</v>
      </c>
      <c r="P456" s="71">
        <v>14</v>
      </c>
      <c r="Q456" s="71">
        <v>36</v>
      </c>
      <c r="R456" s="71">
        <v>102</v>
      </c>
      <c r="S456" s="71" t="s">
        <v>48</v>
      </c>
      <c r="T456" s="73" t="s">
        <v>4386</v>
      </c>
      <c r="U456" s="71" t="s">
        <v>3649</v>
      </c>
      <c r="V456" s="71" t="b">
        <v>0</v>
      </c>
    </row>
    <row r="457" spans="1:22" ht="17.25">
      <c r="A457" s="70">
        <v>310</v>
      </c>
      <c r="B457" s="70" t="s">
        <v>2691</v>
      </c>
      <c r="C457" s="70" t="s">
        <v>570</v>
      </c>
      <c r="D457" s="70" t="s">
        <v>2690</v>
      </c>
      <c r="E457" s="70" t="s">
        <v>568</v>
      </c>
      <c r="F457" s="71">
        <v>46</v>
      </c>
      <c r="G457" s="71">
        <v>33</v>
      </c>
      <c r="H457" s="72">
        <v>0.11666666666666667</v>
      </c>
      <c r="I457" s="71" t="b">
        <v>0</v>
      </c>
      <c r="J457" s="71">
        <v>80</v>
      </c>
      <c r="K457" s="71">
        <v>82</v>
      </c>
      <c r="L457" s="71">
        <v>82</v>
      </c>
      <c r="M457" s="71">
        <v>12</v>
      </c>
      <c r="N457" s="71">
        <v>6</v>
      </c>
      <c r="O457" s="71">
        <v>0</v>
      </c>
      <c r="P457" s="71">
        <v>13</v>
      </c>
      <c r="Q457" s="71">
        <v>65</v>
      </c>
      <c r="R457" s="71">
        <v>125</v>
      </c>
      <c r="S457" s="71" t="s">
        <v>115</v>
      </c>
      <c r="T457" s="73">
        <v>45765</v>
      </c>
      <c r="U457" s="71" t="s">
        <v>3650</v>
      </c>
      <c r="V457" s="71" t="b">
        <v>0</v>
      </c>
    </row>
    <row r="458" spans="1:22" ht="17.25">
      <c r="A458" s="70">
        <v>311</v>
      </c>
      <c r="B458" s="70" t="s">
        <v>2689</v>
      </c>
      <c r="C458" s="70" t="s">
        <v>54</v>
      </c>
      <c r="D458" s="70" t="s">
        <v>2688</v>
      </c>
      <c r="E458" s="70" t="s">
        <v>324</v>
      </c>
      <c r="F458" s="71">
        <v>36</v>
      </c>
      <c r="G458" s="71">
        <v>1</v>
      </c>
      <c r="H458" s="72" t="s">
        <v>4315</v>
      </c>
      <c r="I458" s="71" t="b">
        <v>0</v>
      </c>
      <c r="J458" s="71">
        <v>76</v>
      </c>
      <c r="K458" s="71">
        <v>63</v>
      </c>
      <c r="L458" s="71">
        <v>73</v>
      </c>
      <c r="M458" s="71">
        <v>7</v>
      </c>
      <c r="N458" s="71">
        <v>22</v>
      </c>
      <c r="O458" s="71">
        <v>0</v>
      </c>
      <c r="P458" s="71">
        <v>10</v>
      </c>
      <c r="Q458" s="71">
        <v>66</v>
      </c>
      <c r="R458" s="71">
        <v>112</v>
      </c>
      <c r="S458" s="71" t="s">
        <v>96</v>
      </c>
      <c r="T458" s="73" t="s">
        <v>4368</v>
      </c>
      <c r="U458" s="71" t="s">
        <v>3387</v>
      </c>
      <c r="V458" s="71" t="b">
        <v>0</v>
      </c>
    </row>
    <row r="459" spans="1:22" ht="17.25">
      <c r="A459" s="70">
        <v>312</v>
      </c>
      <c r="B459" s="70" t="s">
        <v>2687</v>
      </c>
      <c r="C459" s="70" t="s">
        <v>97</v>
      </c>
      <c r="D459" s="70" t="s">
        <v>2686</v>
      </c>
      <c r="E459" s="70" t="s">
        <v>97</v>
      </c>
      <c r="F459" s="71">
        <v>3</v>
      </c>
      <c r="G459" s="71">
        <v>9</v>
      </c>
      <c r="H459" s="72" t="s">
        <v>4346</v>
      </c>
      <c r="I459" s="71" t="b">
        <v>0</v>
      </c>
      <c r="J459" s="71">
        <v>61</v>
      </c>
      <c r="K459" s="71">
        <v>44</v>
      </c>
      <c r="L459" s="71">
        <v>71</v>
      </c>
      <c r="M459" s="71">
        <v>4</v>
      </c>
      <c r="N459" s="71">
        <v>64</v>
      </c>
      <c r="O459" s="71">
        <v>0</v>
      </c>
      <c r="P459" s="71">
        <v>11</v>
      </c>
      <c r="Q459" s="71">
        <v>38</v>
      </c>
      <c r="R459" s="71">
        <v>92</v>
      </c>
      <c r="S459" s="71" t="s">
        <v>96</v>
      </c>
      <c r="T459" s="73" t="s">
        <v>4364</v>
      </c>
      <c r="U459" s="71" t="s">
        <v>3397</v>
      </c>
      <c r="V459" s="71" t="b">
        <v>0</v>
      </c>
    </row>
    <row r="460" spans="1:22" ht="17.25">
      <c r="A460" s="70">
        <v>313</v>
      </c>
      <c r="B460" s="70" t="s">
        <v>2685</v>
      </c>
      <c r="C460" s="70" t="s">
        <v>477</v>
      </c>
      <c r="D460" s="70" t="s">
        <v>2684</v>
      </c>
      <c r="E460" s="70" t="s">
        <v>475</v>
      </c>
      <c r="F460" s="71">
        <v>184</v>
      </c>
      <c r="G460" s="71">
        <v>1</v>
      </c>
      <c r="H460" s="72" t="s">
        <v>4322</v>
      </c>
      <c r="I460" s="71" t="b">
        <v>1</v>
      </c>
      <c r="J460" s="71">
        <v>65</v>
      </c>
      <c r="K460" s="71">
        <v>58</v>
      </c>
      <c r="L460" s="71">
        <v>71</v>
      </c>
      <c r="M460" s="71">
        <v>16</v>
      </c>
      <c r="N460" s="71">
        <v>42</v>
      </c>
      <c r="O460" s="71">
        <v>0</v>
      </c>
      <c r="P460" s="71">
        <v>14</v>
      </c>
      <c r="Q460" s="71">
        <v>38</v>
      </c>
      <c r="R460" s="71">
        <v>85</v>
      </c>
      <c r="S460" s="71" t="s">
        <v>48</v>
      </c>
      <c r="T460" s="73" t="s">
        <v>4385</v>
      </c>
      <c r="U460" s="71" t="s">
        <v>3651</v>
      </c>
      <c r="V460" s="71" t="b">
        <v>0</v>
      </c>
    </row>
    <row r="461" spans="1:22" ht="17.25">
      <c r="A461" s="70">
        <v>314</v>
      </c>
      <c r="B461" s="70" t="s">
        <v>2683</v>
      </c>
      <c r="C461" s="70" t="s">
        <v>2682</v>
      </c>
      <c r="D461" s="70" t="s">
        <v>2681</v>
      </c>
      <c r="E461" s="70" t="s">
        <v>607</v>
      </c>
      <c r="F461" s="71">
        <v>113</v>
      </c>
      <c r="G461" s="71">
        <v>8</v>
      </c>
      <c r="H461" s="72">
        <v>0.11666666666666667</v>
      </c>
      <c r="I461" s="71" t="b">
        <v>0</v>
      </c>
      <c r="J461" s="71">
        <v>78</v>
      </c>
      <c r="K461" s="71">
        <v>80</v>
      </c>
      <c r="L461" s="71">
        <v>81</v>
      </c>
      <c r="M461" s="71">
        <v>10</v>
      </c>
      <c r="N461" s="71">
        <v>8</v>
      </c>
      <c r="O461" s="71">
        <v>0</v>
      </c>
      <c r="P461" s="71">
        <v>13</v>
      </c>
      <c r="Q461" s="71">
        <v>62</v>
      </c>
      <c r="R461" s="71">
        <v>122</v>
      </c>
      <c r="S461" s="71" t="s">
        <v>115</v>
      </c>
      <c r="T461" s="73">
        <v>45740</v>
      </c>
      <c r="U461" s="71" t="s">
        <v>3652</v>
      </c>
      <c r="V461" s="71" t="b">
        <v>0</v>
      </c>
    </row>
    <row r="462" spans="1:22" ht="17.25">
      <c r="A462" s="70">
        <v>315</v>
      </c>
      <c r="B462" s="70" t="s">
        <v>2680</v>
      </c>
      <c r="C462" s="70" t="s">
        <v>336</v>
      </c>
      <c r="D462" s="70" t="s">
        <v>844</v>
      </c>
      <c r="E462" s="70" t="s">
        <v>334</v>
      </c>
      <c r="F462" s="71">
        <v>64</v>
      </c>
      <c r="G462" s="71">
        <v>23</v>
      </c>
      <c r="H462" s="72">
        <v>0.17916666666666667</v>
      </c>
      <c r="I462" s="71" t="b">
        <v>0</v>
      </c>
      <c r="J462" s="71">
        <v>61</v>
      </c>
      <c r="K462" s="71">
        <v>65</v>
      </c>
      <c r="L462" s="71">
        <v>90</v>
      </c>
      <c r="M462" s="71">
        <v>5</v>
      </c>
      <c r="N462" s="71">
        <v>40</v>
      </c>
      <c r="O462" s="71">
        <v>0</v>
      </c>
      <c r="P462" s="71">
        <v>11</v>
      </c>
      <c r="Q462" s="71">
        <v>51</v>
      </c>
      <c r="R462" s="71">
        <v>107</v>
      </c>
      <c r="S462" s="71" t="s">
        <v>96</v>
      </c>
      <c r="T462" s="73">
        <v>43924</v>
      </c>
      <c r="U462" s="71" t="s">
        <v>3653</v>
      </c>
      <c r="V462" s="71" t="b">
        <v>0</v>
      </c>
    </row>
    <row r="463" spans="1:22" ht="17.25">
      <c r="A463" s="70">
        <v>316</v>
      </c>
      <c r="B463" s="70" t="s">
        <v>2679</v>
      </c>
      <c r="C463" s="70" t="s">
        <v>678</v>
      </c>
      <c r="D463" s="70" t="s">
        <v>2484</v>
      </c>
      <c r="E463" s="70" t="s">
        <v>386</v>
      </c>
      <c r="F463" s="71">
        <v>11</v>
      </c>
      <c r="G463" s="71">
        <v>13</v>
      </c>
      <c r="H463" s="72">
        <v>0.11666666666666667</v>
      </c>
      <c r="I463" s="71" t="b">
        <v>1</v>
      </c>
      <c r="J463" s="71">
        <v>89</v>
      </c>
      <c r="K463" s="71">
        <v>72</v>
      </c>
      <c r="L463" s="71">
        <v>92</v>
      </c>
      <c r="M463" s="71">
        <v>4</v>
      </c>
      <c r="N463" s="71">
        <v>0</v>
      </c>
      <c r="O463" s="71">
        <v>0</v>
      </c>
      <c r="P463" s="71">
        <v>8</v>
      </c>
      <c r="Q463" s="71">
        <v>84</v>
      </c>
      <c r="R463" s="71">
        <v>117</v>
      </c>
      <c r="S463" s="71" t="s">
        <v>115</v>
      </c>
      <c r="T463" s="73">
        <v>45576</v>
      </c>
      <c r="U463" s="71" t="s">
        <v>3497</v>
      </c>
      <c r="V463" s="71" t="b">
        <v>0</v>
      </c>
    </row>
    <row r="464" spans="1:22" ht="17.25">
      <c r="A464" s="70">
        <v>317</v>
      </c>
      <c r="B464" s="70" t="s">
        <v>2678</v>
      </c>
      <c r="C464" s="70" t="s">
        <v>1257</v>
      </c>
      <c r="D464" s="70" t="s">
        <v>2677</v>
      </c>
      <c r="E464" s="70" t="s">
        <v>1224</v>
      </c>
      <c r="F464" s="71">
        <v>172</v>
      </c>
      <c r="G464" s="71">
        <v>2</v>
      </c>
      <c r="H464" s="72" t="s">
        <v>4318</v>
      </c>
      <c r="I464" s="71" t="b">
        <v>1</v>
      </c>
      <c r="J464" s="71">
        <v>68</v>
      </c>
      <c r="K464" s="71">
        <v>58</v>
      </c>
      <c r="L464" s="71">
        <v>71</v>
      </c>
      <c r="M464" s="71">
        <v>6</v>
      </c>
      <c r="N464" s="71">
        <v>36</v>
      </c>
      <c r="O464" s="71">
        <v>0</v>
      </c>
      <c r="P464" s="71">
        <v>14</v>
      </c>
      <c r="Q464" s="71">
        <v>50</v>
      </c>
      <c r="R464" s="71">
        <v>120</v>
      </c>
      <c r="S464" s="71" t="s">
        <v>1223</v>
      </c>
      <c r="T464" s="73" t="s">
        <v>4354</v>
      </c>
      <c r="U464" s="71" t="s">
        <v>3654</v>
      </c>
      <c r="V464" s="71" t="b">
        <v>0</v>
      </c>
    </row>
    <row r="465" spans="1:22" ht="17.25">
      <c r="A465" s="70">
        <v>318</v>
      </c>
      <c r="B465" s="70" t="s">
        <v>2676</v>
      </c>
      <c r="C465" s="70" t="s">
        <v>206</v>
      </c>
      <c r="D465" s="70" t="s">
        <v>2675</v>
      </c>
      <c r="E465" s="70" t="s">
        <v>75</v>
      </c>
      <c r="F465" s="71">
        <v>3</v>
      </c>
      <c r="G465" s="71">
        <v>72</v>
      </c>
      <c r="H465" s="72">
        <v>8.6805555555555552E-2</v>
      </c>
      <c r="I465" s="71" t="b">
        <v>1</v>
      </c>
      <c r="J465" s="71">
        <v>74</v>
      </c>
      <c r="K465" s="71">
        <v>64</v>
      </c>
      <c r="L465" s="71">
        <v>90</v>
      </c>
      <c r="M465" s="71">
        <v>29</v>
      </c>
      <c r="N465" s="71">
        <v>2</v>
      </c>
      <c r="O465" s="71">
        <v>0</v>
      </c>
      <c r="P465" s="71">
        <v>7</v>
      </c>
      <c r="Q465" s="71">
        <v>23</v>
      </c>
      <c r="R465" s="71">
        <v>180</v>
      </c>
      <c r="S465" s="71" t="s">
        <v>48</v>
      </c>
      <c r="T465" s="73">
        <v>43728</v>
      </c>
      <c r="U465" s="71" t="s">
        <v>3655</v>
      </c>
      <c r="V465" s="71" t="b">
        <v>0</v>
      </c>
    </row>
    <row r="466" spans="1:22" ht="17.25">
      <c r="A466" s="70">
        <v>319</v>
      </c>
      <c r="B466" s="70" t="s">
        <v>2674</v>
      </c>
      <c r="C466" s="70" t="s">
        <v>4906</v>
      </c>
      <c r="D466" s="70" t="s">
        <v>2673</v>
      </c>
      <c r="E466" s="70" t="s">
        <v>44</v>
      </c>
      <c r="F466" s="71">
        <v>45</v>
      </c>
      <c r="G466" s="71">
        <v>3</v>
      </c>
      <c r="H466" s="72" t="s">
        <v>4320</v>
      </c>
      <c r="I466" s="71" t="b">
        <v>1</v>
      </c>
      <c r="J466" s="71">
        <v>80</v>
      </c>
      <c r="K466" s="71">
        <v>61</v>
      </c>
      <c r="L466" s="71">
        <v>72</v>
      </c>
      <c r="M466" s="71">
        <v>19</v>
      </c>
      <c r="N466" s="71">
        <v>32</v>
      </c>
      <c r="O466" s="71">
        <v>0</v>
      </c>
      <c r="P466" s="71">
        <v>12</v>
      </c>
      <c r="Q466" s="71">
        <v>58</v>
      </c>
      <c r="R466" s="71">
        <v>112</v>
      </c>
      <c r="S466" s="71" t="s">
        <v>48</v>
      </c>
      <c r="T466" s="73" t="s">
        <v>4381</v>
      </c>
      <c r="U466" s="71" t="s">
        <v>3594</v>
      </c>
      <c r="V466" s="71" t="b">
        <v>0</v>
      </c>
    </row>
    <row r="467" spans="1:22" ht="17.25">
      <c r="A467" s="70">
        <v>320</v>
      </c>
      <c r="B467" s="70" t="s">
        <v>2672</v>
      </c>
      <c r="C467" s="70" t="s">
        <v>4453</v>
      </c>
      <c r="D467" s="70" t="s">
        <v>2671</v>
      </c>
      <c r="E467" s="70" t="s">
        <v>157</v>
      </c>
      <c r="F467" s="71">
        <v>123</v>
      </c>
      <c r="G467" s="71">
        <v>2</v>
      </c>
      <c r="H467" s="72" t="s">
        <v>4338</v>
      </c>
      <c r="I467" s="71" t="b">
        <v>0</v>
      </c>
      <c r="J467" s="71">
        <v>76</v>
      </c>
      <c r="K467" s="71">
        <v>72</v>
      </c>
      <c r="L467" s="71">
        <v>72</v>
      </c>
      <c r="M467" s="71">
        <v>14</v>
      </c>
      <c r="N467" s="71">
        <v>15</v>
      </c>
      <c r="O467" s="71">
        <v>0</v>
      </c>
      <c r="P467" s="71">
        <v>25</v>
      </c>
      <c r="Q467" s="71">
        <v>58</v>
      </c>
      <c r="R467" s="71">
        <v>140</v>
      </c>
      <c r="S467" s="71" t="s">
        <v>1700</v>
      </c>
      <c r="T467" s="73" t="s">
        <v>4375</v>
      </c>
      <c r="U467" s="71" t="s">
        <v>3656</v>
      </c>
      <c r="V467" s="71" t="b">
        <v>0</v>
      </c>
    </row>
    <row r="468" spans="1:22" ht="17.25">
      <c r="A468" s="70">
        <v>320</v>
      </c>
      <c r="B468" s="70" t="s">
        <v>2672</v>
      </c>
      <c r="C468" s="70" t="s">
        <v>4649</v>
      </c>
      <c r="D468" s="70" t="s">
        <v>2671</v>
      </c>
      <c r="E468" s="70" t="s">
        <v>157</v>
      </c>
      <c r="F468" s="71">
        <v>123</v>
      </c>
      <c r="G468" s="71">
        <v>2</v>
      </c>
      <c r="H468" s="72" t="s">
        <v>4338</v>
      </c>
      <c r="I468" s="71" t="b">
        <v>0</v>
      </c>
      <c r="J468" s="71">
        <v>76</v>
      </c>
      <c r="K468" s="71">
        <v>72</v>
      </c>
      <c r="L468" s="71">
        <v>72</v>
      </c>
      <c r="M468" s="71">
        <v>14</v>
      </c>
      <c r="N468" s="71">
        <v>15</v>
      </c>
      <c r="O468" s="71">
        <v>0</v>
      </c>
      <c r="P468" s="71">
        <v>25</v>
      </c>
      <c r="Q468" s="71">
        <v>58</v>
      </c>
      <c r="R468" s="71">
        <v>140</v>
      </c>
      <c r="S468" s="71" t="s">
        <v>1700</v>
      </c>
      <c r="T468" s="73" t="s">
        <v>4375</v>
      </c>
      <c r="U468" s="71" t="s">
        <v>3656</v>
      </c>
      <c r="V468" s="71" t="b">
        <v>0</v>
      </c>
    </row>
    <row r="469" spans="1:22" ht="17.25">
      <c r="A469" s="70">
        <v>320</v>
      </c>
      <c r="B469" s="70" t="s">
        <v>2672</v>
      </c>
      <c r="C469" s="70" t="s">
        <v>4648</v>
      </c>
      <c r="D469" s="70" t="s">
        <v>2671</v>
      </c>
      <c r="E469" s="70" t="s">
        <v>157</v>
      </c>
      <c r="F469" s="71">
        <v>123</v>
      </c>
      <c r="G469" s="71">
        <v>2</v>
      </c>
      <c r="H469" s="72" t="s">
        <v>4338</v>
      </c>
      <c r="I469" s="71" t="b">
        <v>0</v>
      </c>
      <c r="J469" s="71">
        <v>76</v>
      </c>
      <c r="K469" s="71">
        <v>72</v>
      </c>
      <c r="L469" s="71">
        <v>72</v>
      </c>
      <c r="M469" s="71">
        <v>14</v>
      </c>
      <c r="N469" s="71">
        <v>15</v>
      </c>
      <c r="O469" s="71">
        <v>0</v>
      </c>
      <c r="P469" s="71">
        <v>25</v>
      </c>
      <c r="Q469" s="71">
        <v>58</v>
      </c>
      <c r="R469" s="71">
        <v>140</v>
      </c>
      <c r="S469" s="71" t="s">
        <v>1700</v>
      </c>
      <c r="T469" s="73" t="s">
        <v>4375</v>
      </c>
      <c r="U469" s="71" t="s">
        <v>3656</v>
      </c>
      <c r="V469" s="71" t="b">
        <v>0</v>
      </c>
    </row>
    <row r="470" spans="1:22" ht="17.25">
      <c r="A470" s="70">
        <v>321</v>
      </c>
      <c r="B470" s="70" t="s">
        <v>2670</v>
      </c>
      <c r="C470" s="70" t="s">
        <v>2585</v>
      </c>
      <c r="D470" s="70" t="s">
        <v>2669</v>
      </c>
      <c r="E470" s="70" t="s">
        <v>171</v>
      </c>
      <c r="F470" s="71">
        <v>46</v>
      </c>
      <c r="G470" s="71">
        <v>9</v>
      </c>
      <c r="H470" s="72">
        <v>0.13541666666666666</v>
      </c>
      <c r="I470" s="71" t="b">
        <v>0</v>
      </c>
      <c r="J470" s="71">
        <v>29</v>
      </c>
      <c r="K470" s="71">
        <v>38</v>
      </c>
      <c r="L470" s="71">
        <v>87</v>
      </c>
      <c r="M470" s="71">
        <v>3</v>
      </c>
      <c r="N470" s="71">
        <v>29</v>
      </c>
      <c r="O470" s="71">
        <v>0</v>
      </c>
      <c r="P470" s="71">
        <v>10</v>
      </c>
      <c r="Q470" s="71">
        <v>14</v>
      </c>
      <c r="R470" s="71">
        <v>175</v>
      </c>
      <c r="S470" s="71" t="s">
        <v>96</v>
      </c>
      <c r="T470" s="73">
        <v>45632</v>
      </c>
      <c r="U470" s="71" t="s">
        <v>3657</v>
      </c>
      <c r="V470" s="71" t="b">
        <v>0</v>
      </c>
    </row>
    <row r="471" spans="1:22" ht="17.25">
      <c r="A471" s="70">
        <v>322</v>
      </c>
      <c r="B471" s="70" t="s">
        <v>2668</v>
      </c>
      <c r="C471" s="70" t="s">
        <v>206</v>
      </c>
      <c r="D471" s="70" t="s">
        <v>1170</v>
      </c>
      <c r="E471" s="70" t="s">
        <v>204</v>
      </c>
      <c r="F471" s="71">
        <v>73</v>
      </c>
      <c r="G471" s="71">
        <v>4</v>
      </c>
      <c r="H471" s="72" t="s">
        <v>4389</v>
      </c>
      <c r="I471" s="71" t="b">
        <v>1</v>
      </c>
      <c r="J471" s="71">
        <v>82</v>
      </c>
      <c r="K471" s="71">
        <v>59</v>
      </c>
      <c r="L471" s="71">
        <v>71</v>
      </c>
      <c r="M471" s="71">
        <v>14</v>
      </c>
      <c r="N471" s="71">
        <v>26</v>
      </c>
      <c r="O471" s="71">
        <v>0</v>
      </c>
      <c r="P471" s="71">
        <v>11</v>
      </c>
      <c r="Q471" s="71">
        <v>66</v>
      </c>
      <c r="R471" s="71">
        <v>140</v>
      </c>
      <c r="S471" s="71" t="s">
        <v>48</v>
      </c>
      <c r="T471" s="73" t="s">
        <v>4388</v>
      </c>
      <c r="U471" s="71" t="s">
        <v>3658</v>
      </c>
      <c r="V471" s="71" t="b">
        <v>0</v>
      </c>
    </row>
    <row r="472" spans="1:22" ht="17.25">
      <c r="A472" s="70">
        <v>323</v>
      </c>
      <c r="B472" s="70" t="s">
        <v>2667</v>
      </c>
      <c r="C472" s="70" t="s">
        <v>54</v>
      </c>
      <c r="D472" s="70" t="s">
        <v>2666</v>
      </c>
      <c r="E472" s="70" t="s">
        <v>324</v>
      </c>
      <c r="F472" s="71">
        <v>148</v>
      </c>
      <c r="G472" s="71">
        <v>1</v>
      </c>
      <c r="H472" s="72" t="s">
        <v>4315</v>
      </c>
      <c r="I472" s="71" t="b">
        <v>0</v>
      </c>
      <c r="J472" s="71">
        <v>64</v>
      </c>
      <c r="K472" s="71">
        <v>48</v>
      </c>
      <c r="L472" s="71">
        <v>71</v>
      </c>
      <c r="M472" s="71">
        <v>5</v>
      </c>
      <c r="N472" s="71">
        <v>49</v>
      </c>
      <c r="O472" s="71">
        <v>0</v>
      </c>
      <c r="P472" s="71">
        <v>12</v>
      </c>
      <c r="Q472" s="71">
        <v>45</v>
      </c>
      <c r="R472" s="71">
        <v>90</v>
      </c>
      <c r="S472" s="71" t="s">
        <v>96</v>
      </c>
      <c r="T472" s="73" t="s">
        <v>4368</v>
      </c>
      <c r="U472" s="71" t="s">
        <v>3659</v>
      </c>
      <c r="V472" s="71" t="b">
        <v>0</v>
      </c>
    </row>
    <row r="473" spans="1:22" ht="17.25">
      <c r="A473" s="70">
        <v>324</v>
      </c>
      <c r="B473" s="70" t="s">
        <v>2665</v>
      </c>
      <c r="C473" s="70" t="s">
        <v>2664</v>
      </c>
      <c r="D473" s="70" t="s">
        <v>2663</v>
      </c>
      <c r="E473" s="70" t="s">
        <v>200</v>
      </c>
      <c r="F473" s="71">
        <v>135</v>
      </c>
      <c r="G473" s="71">
        <v>6</v>
      </c>
      <c r="H473" s="72">
        <v>0.19305555555555556</v>
      </c>
      <c r="I473" s="71" t="b">
        <v>0</v>
      </c>
      <c r="J473" s="71">
        <v>68</v>
      </c>
      <c r="K473" s="71">
        <v>72</v>
      </c>
      <c r="L473" s="71">
        <v>78</v>
      </c>
      <c r="M473" s="71">
        <v>5</v>
      </c>
      <c r="N473" s="71">
        <v>25</v>
      </c>
      <c r="O473" s="71">
        <v>0</v>
      </c>
      <c r="P473" s="71">
        <v>14</v>
      </c>
      <c r="Q473" s="71">
        <v>82</v>
      </c>
      <c r="R473" s="71">
        <v>130</v>
      </c>
      <c r="S473" s="71" t="s">
        <v>29</v>
      </c>
      <c r="T473" s="73">
        <v>26998</v>
      </c>
      <c r="U473" s="71" t="s">
        <v>3660</v>
      </c>
      <c r="V473" s="71" t="b">
        <v>1</v>
      </c>
    </row>
    <row r="474" spans="1:22" ht="17.25">
      <c r="A474" s="70">
        <v>325</v>
      </c>
      <c r="B474" s="70" t="s">
        <v>2662</v>
      </c>
      <c r="C474" s="70" t="s">
        <v>4650</v>
      </c>
      <c r="D474" s="70" t="s">
        <v>2661</v>
      </c>
      <c r="E474" s="70" t="s">
        <v>381</v>
      </c>
      <c r="F474" s="71">
        <v>55</v>
      </c>
      <c r="G474" s="71">
        <v>8</v>
      </c>
      <c r="H474" s="72">
        <v>0.16805555555555557</v>
      </c>
      <c r="I474" s="71" t="b">
        <v>0</v>
      </c>
      <c r="J474" s="71">
        <v>78</v>
      </c>
      <c r="K474" s="71">
        <v>55</v>
      </c>
      <c r="L474" s="71">
        <v>88</v>
      </c>
      <c r="M474" s="71">
        <v>5</v>
      </c>
      <c r="N474" s="71">
        <v>34</v>
      </c>
      <c r="O474" s="71">
        <v>0</v>
      </c>
      <c r="P474" s="71">
        <v>13</v>
      </c>
      <c r="Q474" s="71">
        <v>44</v>
      </c>
      <c r="R474" s="71">
        <v>95</v>
      </c>
      <c r="S474" s="71" t="s">
        <v>96</v>
      </c>
      <c r="T474" s="73">
        <v>41331</v>
      </c>
      <c r="U474" s="71" t="s">
        <v>3661</v>
      </c>
      <c r="V474" s="71" t="b">
        <v>0</v>
      </c>
    </row>
    <row r="475" spans="1:22" ht="17.25">
      <c r="A475" s="70">
        <v>325</v>
      </c>
      <c r="B475" s="70" t="s">
        <v>2662</v>
      </c>
      <c r="C475" s="70" t="s">
        <v>4454</v>
      </c>
      <c r="D475" s="70" t="s">
        <v>2661</v>
      </c>
      <c r="E475" s="70" t="s">
        <v>381</v>
      </c>
      <c r="F475" s="71">
        <v>55</v>
      </c>
      <c r="G475" s="71">
        <v>8</v>
      </c>
      <c r="H475" s="72">
        <v>0.16805555555555557</v>
      </c>
      <c r="I475" s="71" t="b">
        <v>0</v>
      </c>
      <c r="J475" s="71">
        <v>78</v>
      </c>
      <c r="K475" s="71">
        <v>55</v>
      </c>
      <c r="L475" s="71">
        <v>88</v>
      </c>
      <c r="M475" s="71">
        <v>5</v>
      </c>
      <c r="N475" s="71">
        <v>34</v>
      </c>
      <c r="O475" s="71">
        <v>0</v>
      </c>
      <c r="P475" s="71">
        <v>13</v>
      </c>
      <c r="Q475" s="71">
        <v>44</v>
      </c>
      <c r="R475" s="71">
        <v>95</v>
      </c>
      <c r="S475" s="71" t="s">
        <v>96</v>
      </c>
      <c r="T475" s="73">
        <v>41331</v>
      </c>
      <c r="U475" s="71" t="s">
        <v>3661</v>
      </c>
      <c r="V475" s="71" t="b">
        <v>0</v>
      </c>
    </row>
    <row r="476" spans="1:22" ht="17.25">
      <c r="A476" s="70">
        <v>326</v>
      </c>
      <c r="B476" s="70" t="s">
        <v>2660</v>
      </c>
      <c r="C476" s="70" t="s">
        <v>356</v>
      </c>
      <c r="D476" s="70" t="s">
        <v>2659</v>
      </c>
      <c r="E476" s="70" t="s">
        <v>200</v>
      </c>
      <c r="F476" s="71">
        <v>31</v>
      </c>
      <c r="G476" s="71">
        <v>214</v>
      </c>
      <c r="H476" s="72">
        <v>0.16805555555555557</v>
      </c>
      <c r="I476" s="71" t="b">
        <v>0</v>
      </c>
      <c r="J476" s="71">
        <v>49</v>
      </c>
      <c r="K476" s="71">
        <v>62</v>
      </c>
      <c r="L476" s="71">
        <v>88</v>
      </c>
      <c r="M476" s="71">
        <v>3</v>
      </c>
      <c r="N476" s="71">
        <v>10</v>
      </c>
      <c r="O476" s="71">
        <v>0</v>
      </c>
      <c r="P476" s="71">
        <v>11</v>
      </c>
      <c r="Q476" s="71">
        <v>42</v>
      </c>
      <c r="R476" s="71">
        <v>138</v>
      </c>
      <c r="S476" s="71" t="s">
        <v>354</v>
      </c>
      <c r="T476" s="73">
        <v>39593</v>
      </c>
      <c r="U476" s="71" t="s">
        <v>3662</v>
      </c>
      <c r="V476" s="71" t="b">
        <v>0</v>
      </c>
    </row>
    <row r="477" spans="1:22" ht="17.25">
      <c r="A477" s="70">
        <v>327</v>
      </c>
      <c r="B477" s="70" t="s">
        <v>2658</v>
      </c>
      <c r="C477" s="70" t="s">
        <v>2439</v>
      </c>
      <c r="D477" s="70" t="s">
        <v>2438</v>
      </c>
      <c r="E477" s="70" t="s">
        <v>2437</v>
      </c>
      <c r="F477" s="71">
        <v>161</v>
      </c>
      <c r="G477" s="71">
        <v>1</v>
      </c>
      <c r="H477" s="72">
        <v>0.1076388888888889</v>
      </c>
      <c r="I477" s="71" t="b">
        <v>1</v>
      </c>
      <c r="J477" s="71">
        <v>85</v>
      </c>
      <c r="K477" s="71">
        <v>82</v>
      </c>
      <c r="L477" s="71">
        <v>82</v>
      </c>
      <c r="M477" s="71">
        <v>14</v>
      </c>
      <c r="N477" s="71">
        <v>5</v>
      </c>
      <c r="O477" s="71">
        <v>0</v>
      </c>
      <c r="P477" s="71">
        <v>15</v>
      </c>
      <c r="Q477" s="71">
        <v>72</v>
      </c>
      <c r="R477" s="71">
        <v>130</v>
      </c>
      <c r="S477" s="71" t="s">
        <v>88</v>
      </c>
      <c r="T477" s="73">
        <v>45730</v>
      </c>
      <c r="U477" s="71" t="s">
        <v>3663</v>
      </c>
      <c r="V477" s="71" t="b">
        <v>0</v>
      </c>
    </row>
    <row r="478" spans="1:22" ht="17.25">
      <c r="A478" s="70">
        <v>328</v>
      </c>
      <c r="B478" s="70" t="s">
        <v>2657</v>
      </c>
      <c r="C478" s="70" t="s">
        <v>2656</v>
      </c>
      <c r="D478" s="70" t="s">
        <v>2655</v>
      </c>
      <c r="E478" s="70" t="s">
        <v>2654</v>
      </c>
      <c r="F478" s="71">
        <v>29</v>
      </c>
      <c r="G478" s="71">
        <v>5</v>
      </c>
      <c r="H478" s="72">
        <v>0.11666666666666667</v>
      </c>
      <c r="I478" s="71" t="b">
        <v>1</v>
      </c>
      <c r="J478" s="71">
        <v>72</v>
      </c>
      <c r="K478" s="71">
        <v>75</v>
      </c>
      <c r="L478" s="71">
        <v>79</v>
      </c>
      <c r="M478" s="71">
        <v>14</v>
      </c>
      <c r="N478" s="71">
        <v>12</v>
      </c>
      <c r="O478" s="71">
        <v>0</v>
      </c>
      <c r="P478" s="71">
        <v>11</v>
      </c>
      <c r="Q478" s="71">
        <v>52</v>
      </c>
      <c r="R478" s="71">
        <v>120</v>
      </c>
      <c r="S478" s="71" t="s">
        <v>56</v>
      </c>
      <c r="T478" s="73">
        <v>45702</v>
      </c>
      <c r="U478" s="71" t="s">
        <v>3664</v>
      </c>
      <c r="V478" s="71" t="b">
        <v>0</v>
      </c>
    </row>
    <row r="479" spans="1:22" ht="17.25">
      <c r="A479" s="70">
        <v>329</v>
      </c>
      <c r="B479" s="70" t="s">
        <v>2653</v>
      </c>
      <c r="C479" s="70" t="s">
        <v>1982</v>
      </c>
      <c r="D479" s="70" t="s">
        <v>1981</v>
      </c>
      <c r="E479" s="70" t="s">
        <v>1980</v>
      </c>
      <c r="F479" s="71">
        <v>5</v>
      </c>
      <c r="G479" s="71">
        <v>1</v>
      </c>
      <c r="H479" s="72" t="s">
        <v>4320</v>
      </c>
      <c r="I479" s="71" t="b">
        <v>1</v>
      </c>
      <c r="J479" s="71">
        <v>65</v>
      </c>
      <c r="K479" s="71">
        <v>58</v>
      </c>
      <c r="L479" s="71">
        <v>71</v>
      </c>
      <c r="M479" s="71">
        <v>11</v>
      </c>
      <c r="N479" s="71">
        <v>36</v>
      </c>
      <c r="O479" s="71">
        <v>0</v>
      </c>
      <c r="P479" s="71">
        <v>16</v>
      </c>
      <c r="Q479" s="71">
        <v>42</v>
      </c>
      <c r="R479" s="71">
        <v>92</v>
      </c>
      <c r="S479" s="71" t="s">
        <v>48</v>
      </c>
      <c r="T479" s="73" t="s">
        <v>4376</v>
      </c>
      <c r="U479" s="71" t="s">
        <v>3665</v>
      </c>
      <c r="V479" s="71" t="b">
        <v>0</v>
      </c>
    </row>
    <row r="480" spans="1:22" ht="17.25">
      <c r="A480" s="70">
        <v>330</v>
      </c>
      <c r="B480" s="70" t="s">
        <v>2652</v>
      </c>
      <c r="C480" s="70" t="s">
        <v>366</v>
      </c>
      <c r="D480" s="70" t="s">
        <v>2651</v>
      </c>
      <c r="E480" s="70" t="s">
        <v>171</v>
      </c>
      <c r="F480" s="71">
        <v>83</v>
      </c>
      <c r="G480" s="71">
        <v>2</v>
      </c>
      <c r="H480" s="72" t="s">
        <v>4315</v>
      </c>
      <c r="I480" s="71" t="b">
        <v>0</v>
      </c>
      <c r="J480" s="71">
        <v>82</v>
      </c>
      <c r="K480" s="71">
        <v>76</v>
      </c>
      <c r="L480" s="71">
        <v>75</v>
      </c>
      <c r="M480" s="71">
        <v>7</v>
      </c>
      <c r="N480" s="71">
        <v>11</v>
      </c>
      <c r="O480" s="71">
        <v>0</v>
      </c>
      <c r="P480" s="71">
        <v>15</v>
      </c>
      <c r="Q480" s="71">
        <v>81</v>
      </c>
      <c r="R480" s="71">
        <v>122</v>
      </c>
      <c r="S480" s="71" t="s">
        <v>96</v>
      </c>
      <c r="T480" s="73" t="s">
        <v>4368</v>
      </c>
      <c r="U480" s="71" t="s">
        <v>3448</v>
      </c>
      <c r="V480" s="71" t="b">
        <v>0</v>
      </c>
    </row>
    <row r="481" spans="1:22" ht="17.25">
      <c r="A481" s="70">
        <v>331</v>
      </c>
      <c r="B481" s="70" t="s">
        <v>2650</v>
      </c>
      <c r="C481" s="70" t="s">
        <v>4652</v>
      </c>
      <c r="D481" s="70" t="s">
        <v>2649</v>
      </c>
      <c r="E481" s="70" t="s">
        <v>2447</v>
      </c>
      <c r="F481" s="71">
        <v>121</v>
      </c>
      <c r="G481" s="71">
        <v>3</v>
      </c>
      <c r="H481" s="72" t="s">
        <v>4318</v>
      </c>
      <c r="I481" s="71" t="b">
        <v>1</v>
      </c>
      <c r="J481" s="71">
        <v>72</v>
      </c>
      <c r="K481" s="71">
        <v>66</v>
      </c>
      <c r="L481" s="71">
        <v>73</v>
      </c>
      <c r="M481" s="71">
        <v>5</v>
      </c>
      <c r="N481" s="71">
        <v>32</v>
      </c>
      <c r="O481" s="71">
        <v>0</v>
      </c>
      <c r="P481" s="71">
        <v>13</v>
      </c>
      <c r="Q481" s="71">
        <v>78</v>
      </c>
      <c r="R481" s="71">
        <v>145</v>
      </c>
      <c r="S481" s="71" t="s">
        <v>61</v>
      </c>
      <c r="T481" s="73" t="s">
        <v>4388</v>
      </c>
      <c r="U481" s="71" t="s">
        <v>3666</v>
      </c>
      <c r="V481" s="71" t="b">
        <v>0</v>
      </c>
    </row>
    <row r="482" spans="1:22" ht="17.25">
      <c r="A482" s="70">
        <v>331</v>
      </c>
      <c r="B482" s="70" t="s">
        <v>2650</v>
      </c>
      <c r="C482" s="70" t="s">
        <v>4651</v>
      </c>
      <c r="D482" s="70" t="s">
        <v>2649</v>
      </c>
      <c r="E482" s="70" t="s">
        <v>2447</v>
      </c>
      <c r="F482" s="71">
        <v>121</v>
      </c>
      <c r="G482" s="71">
        <v>3</v>
      </c>
      <c r="H482" s="72" t="s">
        <v>4318</v>
      </c>
      <c r="I482" s="71" t="b">
        <v>1</v>
      </c>
      <c r="J482" s="71">
        <v>72</v>
      </c>
      <c r="K482" s="71">
        <v>66</v>
      </c>
      <c r="L482" s="71">
        <v>73</v>
      </c>
      <c r="M482" s="71">
        <v>5</v>
      </c>
      <c r="N482" s="71">
        <v>32</v>
      </c>
      <c r="O482" s="71">
        <v>0</v>
      </c>
      <c r="P482" s="71">
        <v>13</v>
      </c>
      <c r="Q482" s="71">
        <v>78</v>
      </c>
      <c r="R482" s="71">
        <v>145</v>
      </c>
      <c r="S482" s="71" t="s">
        <v>61</v>
      </c>
      <c r="T482" s="73" t="s">
        <v>4388</v>
      </c>
      <c r="U482" s="71" t="s">
        <v>3666</v>
      </c>
      <c r="V482" s="71" t="b">
        <v>0</v>
      </c>
    </row>
    <row r="483" spans="1:22" ht="17.25">
      <c r="A483" s="70">
        <v>331</v>
      </c>
      <c r="B483" s="70" t="s">
        <v>2650</v>
      </c>
      <c r="C483" s="70" t="s">
        <v>4455</v>
      </c>
      <c r="D483" s="70" t="s">
        <v>2649</v>
      </c>
      <c r="E483" s="70" t="s">
        <v>2447</v>
      </c>
      <c r="F483" s="71">
        <v>121</v>
      </c>
      <c r="G483" s="71">
        <v>3</v>
      </c>
      <c r="H483" s="72" t="s">
        <v>4318</v>
      </c>
      <c r="I483" s="71" t="b">
        <v>1</v>
      </c>
      <c r="J483" s="71">
        <v>72</v>
      </c>
      <c r="K483" s="71">
        <v>66</v>
      </c>
      <c r="L483" s="71">
        <v>73</v>
      </c>
      <c r="M483" s="71">
        <v>5</v>
      </c>
      <c r="N483" s="71">
        <v>32</v>
      </c>
      <c r="O483" s="71">
        <v>0</v>
      </c>
      <c r="P483" s="71">
        <v>13</v>
      </c>
      <c r="Q483" s="71">
        <v>78</v>
      </c>
      <c r="R483" s="71">
        <v>145</v>
      </c>
      <c r="S483" s="71" t="s">
        <v>61</v>
      </c>
      <c r="T483" s="73" t="s">
        <v>4388</v>
      </c>
      <c r="U483" s="71" t="s">
        <v>3666</v>
      </c>
      <c r="V483" s="71" t="b">
        <v>0</v>
      </c>
    </row>
    <row r="484" spans="1:22" ht="17.25">
      <c r="A484" s="70">
        <v>331</v>
      </c>
      <c r="B484" s="70" t="s">
        <v>2650</v>
      </c>
      <c r="C484" s="70" t="s">
        <v>3097</v>
      </c>
      <c r="D484" s="70" t="s">
        <v>2649</v>
      </c>
      <c r="E484" s="70" t="s">
        <v>2447</v>
      </c>
      <c r="F484" s="71">
        <v>121</v>
      </c>
      <c r="G484" s="71">
        <v>3</v>
      </c>
      <c r="H484" s="72" t="s">
        <v>4318</v>
      </c>
      <c r="I484" s="71" t="b">
        <v>1</v>
      </c>
      <c r="J484" s="71">
        <v>72</v>
      </c>
      <c r="K484" s="71">
        <v>66</v>
      </c>
      <c r="L484" s="71">
        <v>73</v>
      </c>
      <c r="M484" s="71">
        <v>5</v>
      </c>
      <c r="N484" s="71">
        <v>32</v>
      </c>
      <c r="O484" s="71">
        <v>0</v>
      </c>
      <c r="P484" s="71">
        <v>13</v>
      </c>
      <c r="Q484" s="71">
        <v>78</v>
      </c>
      <c r="R484" s="71">
        <v>145</v>
      </c>
      <c r="S484" s="71" t="s">
        <v>61</v>
      </c>
      <c r="T484" s="73" t="s">
        <v>4388</v>
      </c>
      <c r="U484" s="71" t="s">
        <v>3666</v>
      </c>
      <c r="V484" s="71" t="b">
        <v>0</v>
      </c>
    </row>
    <row r="485" spans="1:22" ht="17.25">
      <c r="A485" s="70">
        <v>333</v>
      </c>
      <c r="B485" s="70" t="s">
        <v>2648</v>
      </c>
      <c r="C485" s="70" t="s">
        <v>430</v>
      </c>
      <c r="D485" s="70" t="s">
        <v>2647</v>
      </c>
      <c r="E485" s="70" t="s">
        <v>344</v>
      </c>
      <c r="F485" s="71">
        <v>5</v>
      </c>
      <c r="G485" s="71">
        <v>112</v>
      </c>
      <c r="H485" s="72">
        <v>0.13263888888888889</v>
      </c>
      <c r="I485" s="71" t="b">
        <v>0</v>
      </c>
      <c r="J485" s="71">
        <v>65</v>
      </c>
      <c r="K485" s="71">
        <v>82</v>
      </c>
      <c r="L485" s="71">
        <v>92</v>
      </c>
      <c r="M485" s="71">
        <v>3</v>
      </c>
      <c r="N485" s="71">
        <v>2</v>
      </c>
      <c r="O485" s="71">
        <v>0</v>
      </c>
      <c r="P485" s="71">
        <v>9</v>
      </c>
      <c r="Q485" s="71">
        <v>59</v>
      </c>
      <c r="R485" s="71">
        <v>118</v>
      </c>
      <c r="S485" s="71" t="s">
        <v>96</v>
      </c>
      <c r="T485" s="73">
        <v>44309</v>
      </c>
      <c r="U485" s="71" t="s">
        <v>3667</v>
      </c>
      <c r="V485" s="71" t="b">
        <v>0</v>
      </c>
    </row>
    <row r="486" spans="1:22" ht="17.25">
      <c r="A486" s="70">
        <v>333</v>
      </c>
      <c r="B486" s="70" t="s">
        <v>2648</v>
      </c>
      <c r="C486" s="70" t="s">
        <v>237</v>
      </c>
      <c r="D486" s="70" t="s">
        <v>2647</v>
      </c>
      <c r="E486" s="70" t="s">
        <v>344</v>
      </c>
      <c r="F486" s="71">
        <v>5</v>
      </c>
      <c r="G486" s="71">
        <v>112</v>
      </c>
      <c r="H486" s="72">
        <v>0.13263888888888889</v>
      </c>
      <c r="I486" s="71" t="b">
        <v>0</v>
      </c>
      <c r="J486" s="71">
        <v>65</v>
      </c>
      <c r="K486" s="71">
        <v>82</v>
      </c>
      <c r="L486" s="71">
        <v>92</v>
      </c>
      <c r="M486" s="71">
        <v>3</v>
      </c>
      <c r="N486" s="71">
        <v>2</v>
      </c>
      <c r="O486" s="71">
        <v>0</v>
      </c>
      <c r="P486" s="71">
        <v>9</v>
      </c>
      <c r="Q486" s="71">
        <v>59</v>
      </c>
      <c r="R486" s="71">
        <v>118</v>
      </c>
      <c r="S486" s="71" t="s">
        <v>96</v>
      </c>
      <c r="T486" s="73">
        <v>44309</v>
      </c>
      <c r="U486" s="71" t="s">
        <v>3667</v>
      </c>
      <c r="V486" s="71" t="b">
        <v>0</v>
      </c>
    </row>
    <row r="487" spans="1:22" ht="17.25">
      <c r="A487" s="70">
        <v>334</v>
      </c>
      <c r="B487" s="70" t="s">
        <v>2646</v>
      </c>
      <c r="C487" s="70" t="s">
        <v>67</v>
      </c>
      <c r="D487" s="70" t="s">
        <v>2645</v>
      </c>
      <c r="E487" s="70" t="s">
        <v>65</v>
      </c>
      <c r="F487" s="71">
        <v>65</v>
      </c>
      <c r="G487" s="71">
        <v>1</v>
      </c>
      <c r="H487" s="72">
        <v>0.14027777777777778</v>
      </c>
      <c r="I487" s="71" t="b">
        <v>1</v>
      </c>
      <c r="J487" s="71">
        <v>69</v>
      </c>
      <c r="K487" s="71">
        <v>69</v>
      </c>
      <c r="L487" s="71">
        <v>90</v>
      </c>
      <c r="M487" s="71">
        <v>6</v>
      </c>
      <c r="N487" s="71">
        <v>6</v>
      </c>
      <c r="O487" s="71">
        <v>0</v>
      </c>
      <c r="P487" s="71">
        <v>28</v>
      </c>
      <c r="Q487" s="71">
        <v>32</v>
      </c>
      <c r="R487" s="71">
        <v>125</v>
      </c>
      <c r="S487" s="71" t="s">
        <v>48</v>
      </c>
      <c r="T487" s="73">
        <v>45730</v>
      </c>
      <c r="U487" s="71" t="s">
        <v>3386</v>
      </c>
      <c r="V487" s="71" t="b">
        <v>0</v>
      </c>
    </row>
    <row r="488" spans="1:22" ht="17.25">
      <c r="A488" s="70">
        <v>334</v>
      </c>
      <c r="B488" s="70" t="s">
        <v>2646</v>
      </c>
      <c r="C488" s="70" t="s">
        <v>51</v>
      </c>
      <c r="D488" s="70" t="s">
        <v>2645</v>
      </c>
      <c r="E488" s="70" t="s">
        <v>65</v>
      </c>
      <c r="F488" s="71">
        <v>65</v>
      </c>
      <c r="G488" s="71">
        <v>1</v>
      </c>
      <c r="H488" s="72">
        <v>0.14027777777777778</v>
      </c>
      <c r="I488" s="71" t="b">
        <v>1</v>
      </c>
      <c r="J488" s="71">
        <v>69</v>
      </c>
      <c r="K488" s="71">
        <v>69</v>
      </c>
      <c r="L488" s="71">
        <v>90</v>
      </c>
      <c r="M488" s="71">
        <v>6</v>
      </c>
      <c r="N488" s="71">
        <v>6</v>
      </c>
      <c r="O488" s="71">
        <v>0</v>
      </c>
      <c r="P488" s="71">
        <v>28</v>
      </c>
      <c r="Q488" s="71">
        <v>32</v>
      </c>
      <c r="R488" s="71">
        <v>125</v>
      </c>
      <c r="S488" s="71" t="s">
        <v>48</v>
      </c>
      <c r="T488" s="73">
        <v>45730</v>
      </c>
      <c r="U488" s="71" t="s">
        <v>3386</v>
      </c>
      <c r="V488" s="71" t="b">
        <v>0</v>
      </c>
    </row>
    <row r="489" spans="1:22" ht="17.25">
      <c r="A489" s="70">
        <v>335</v>
      </c>
      <c r="B489" s="70" t="s">
        <v>2644</v>
      </c>
      <c r="C489" s="70" t="s">
        <v>4456</v>
      </c>
      <c r="D489" s="70" t="s">
        <v>2643</v>
      </c>
      <c r="E489" s="70" t="s">
        <v>718</v>
      </c>
      <c r="F489" s="71">
        <v>129</v>
      </c>
      <c r="G489" s="71">
        <v>29</v>
      </c>
      <c r="H489" s="72">
        <v>0.16944444444444445</v>
      </c>
      <c r="I489" s="71" t="b">
        <v>0</v>
      </c>
      <c r="J489" s="71">
        <v>86</v>
      </c>
      <c r="K489" s="71">
        <v>52</v>
      </c>
      <c r="L489" s="71">
        <v>88</v>
      </c>
      <c r="M489" s="71">
        <v>4</v>
      </c>
      <c r="N489" s="71">
        <v>55</v>
      </c>
      <c r="O489" s="71">
        <v>0</v>
      </c>
      <c r="P489" s="71">
        <v>10</v>
      </c>
      <c r="Q489" s="71">
        <v>75</v>
      </c>
      <c r="R489" s="71">
        <v>129</v>
      </c>
      <c r="S489" s="71" t="s">
        <v>79</v>
      </c>
      <c r="T489" s="73">
        <v>40729</v>
      </c>
      <c r="U489" s="71" t="s">
        <v>3668</v>
      </c>
      <c r="V489" s="71" t="b">
        <v>0</v>
      </c>
    </row>
    <row r="490" spans="1:22" ht="17.25">
      <c r="A490" s="70">
        <v>335</v>
      </c>
      <c r="B490" s="70" t="s">
        <v>2644</v>
      </c>
      <c r="C490" s="70" t="s">
        <v>4653</v>
      </c>
      <c r="D490" s="70" t="s">
        <v>2643</v>
      </c>
      <c r="E490" s="70" t="s">
        <v>718</v>
      </c>
      <c r="F490" s="71">
        <v>129</v>
      </c>
      <c r="G490" s="71">
        <v>29</v>
      </c>
      <c r="H490" s="72">
        <v>0.16944444444444445</v>
      </c>
      <c r="I490" s="71" t="b">
        <v>0</v>
      </c>
      <c r="J490" s="71">
        <v>86</v>
      </c>
      <c r="K490" s="71">
        <v>52</v>
      </c>
      <c r="L490" s="71">
        <v>88</v>
      </c>
      <c r="M490" s="71">
        <v>4</v>
      </c>
      <c r="N490" s="71">
        <v>55</v>
      </c>
      <c r="O490" s="71">
        <v>0</v>
      </c>
      <c r="P490" s="71">
        <v>10</v>
      </c>
      <c r="Q490" s="71">
        <v>75</v>
      </c>
      <c r="R490" s="71">
        <v>129</v>
      </c>
      <c r="S490" s="71" t="s">
        <v>79</v>
      </c>
      <c r="T490" s="73">
        <v>40729</v>
      </c>
      <c r="U490" s="71" t="s">
        <v>3668</v>
      </c>
      <c r="V490" s="71" t="b">
        <v>0</v>
      </c>
    </row>
    <row r="491" spans="1:22" ht="17.25">
      <c r="A491" s="70">
        <v>336</v>
      </c>
      <c r="B491" s="70" t="s">
        <v>2642</v>
      </c>
      <c r="C491" s="70" t="s">
        <v>2632</v>
      </c>
      <c r="D491" s="70" t="s">
        <v>2641</v>
      </c>
      <c r="E491" s="70" t="s">
        <v>2640</v>
      </c>
      <c r="F491" s="71">
        <v>63</v>
      </c>
      <c r="G491" s="71">
        <v>37</v>
      </c>
      <c r="H491" s="72" t="s">
        <v>4315</v>
      </c>
      <c r="I491" s="71" t="b">
        <v>0</v>
      </c>
      <c r="J491" s="71">
        <v>72</v>
      </c>
      <c r="K491" s="71">
        <v>66</v>
      </c>
      <c r="L491" s="71">
        <v>73</v>
      </c>
      <c r="M491" s="71">
        <v>5</v>
      </c>
      <c r="N491" s="71">
        <v>24</v>
      </c>
      <c r="O491" s="71">
        <v>0</v>
      </c>
      <c r="P491" s="71">
        <v>13</v>
      </c>
      <c r="Q491" s="71">
        <v>59</v>
      </c>
      <c r="R491" s="71">
        <v>116</v>
      </c>
      <c r="S491" s="71" t="s">
        <v>96</v>
      </c>
      <c r="T491" s="73" t="s">
        <v>4392</v>
      </c>
      <c r="U491" s="71" t="s">
        <v>3669</v>
      </c>
      <c r="V491" s="71" t="b">
        <v>0</v>
      </c>
    </row>
    <row r="492" spans="1:22" ht="17.25">
      <c r="A492" s="70">
        <v>337</v>
      </c>
      <c r="B492" s="70" t="s">
        <v>2639</v>
      </c>
      <c r="C492" s="70" t="s">
        <v>229</v>
      </c>
      <c r="D492" s="70" t="s">
        <v>2638</v>
      </c>
      <c r="E492" s="70" t="s">
        <v>227</v>
      </c>
      <c r="F492" s="71">
        <v>3</v>
      </c>
      <c r="G492" s="71">
        <v>58</v>
      </c>
      <c r="H492" s="72">
        <v>0.13750000000000001</v>
      </c>
      <c r="I492" s="71" t="b">
        <v>0</v>
      </c>
      <c r="J492" s="71">
        <v>62</v>
      </c>
      <c r="K492" s="71">
        <v>65</v>
      </c>
      <c r="L492" s="71">
        <v>76</v>
      </c>
      <c r="M492" s="71">
        <v>5</v>
      </c>
      <c r="N492" s="71">
        <v>35</v>
      </c>
      <c r="O492" s="71">
        <v>0</v>
      </c>
      <c r="P492" s="71">
        <v>10</v>
      </c>
      <c r="Q492" s="71">
        <v>52</v>
      </c>
      <c r="R492" s="71">
        <v>95</v>
      </c>
      <c r="S492" s="71" t="s">
        <v>96</v>
      </c>
      <c r="T492" s="73">
        <v>45583</v>
      </c>
      <c r="U492" s="71" t="s">
        <v>3670</v>
      </c>
      <c r="V492" s="71" t="b">
        <v>0</v>
      </c>
    </row>
    <row r="493" spans="1:22" ht="17.25">
      <c r="A493" s="70">
        <v>338</v>
      </c>
      <c r="B493" s="70" t="s">
        <v>2637</v>
      </c>
      <c r="C493" s="70" t="s">
        <v>32</v>
      </c>
      <c r="D493" s="70" t="s">
        <v>2636</v>
      </c>
      <c r="E493" s="70" t="s">
        <v>30</v>
      </c>
      <c r="F493" s="71">
        <v>18</v>
      </c>
      <c r="G493" s="71">
        <v>4</v>
      </c>
      <c r="H493" s="72" t="s">
        <v>4317</v>
      </c>
      <c r="I493" s="71" t="b">
        <v>0</v>
      </c>
      <c r="J493" s="71">
        <v>82</v>
      </c>
      <c r="K493" s="71">
        <v>74</v>
      </c>
      <c r="L493" s="71">
        <v>75</v>
      </c>
      <c r="M493" s="71">
        <v>8</v>
      </c>
      <c r="N493" s="71">
        <v>11</v>
      </c>
      <c r="O493" s="71">
        <v>0</v>
      </c>
      <c r="P493" s="71">
        <v>15</v>
      </c>
      <c r="Q493" s="71">
        <v>82</v>
      </c>
      <c r="R493" s="71">
        <v>122</v>
      </c>
      <c r="S493" s="71" t="s">
        <v>96</v>
      </c>
      <c r="T493" s="73" t="s">
        <v>4372</v>
      </c>
      <c r="U493" s="71" t="s">
        <v>3507</v>
      </c>
      <c r="V493" s="71" t="b">
        <v>0</v>
      </c>
    </row>
    <row r="494" spans="1:22" ht="17.25">
      <c r="A494" s="70">
        <v>339</v>
      </c>
      <c r="B494" s="70" t="s">
        <v>2635</v>
      </c>
      <c r="C494" s="70" t="s">
        <v>762</v>
      </c>
      <c r="D494" s="70" t="s">
        <v>2634</v>
      </c>
      <c r="E494" s="70" t="s">
        <v>324</v>
      </c>
      <c r="F494" s="71">
        <v>48</v>
      </c>
      <c r="G494" s="71">
        <v>1</v>
      </c>
      <c r="H494" s="72" t="s">
        <v>4320</v>
      </c>
      <c r="I494" s="71" t="b">
        <v>1</v>
      </c>
      <c r="J494" s="71">
        <v>80</v>
      </c>
      <c r="K494" s="71">
        <v>60</v>
      </c>
      <c r="L494" s="71">
        <v>72</v>
      </c>
      <c r="M494" s="71">
        <v>14</v>
      </c>
      <c r="N494" s="71">
        <v>16</v>
      </c>
      <c r="O494" s="71">
        <v>0</v>
      </c>
      <c r="P494" s="71">
        <v>13</v>
      </c>
      <c r="Q494" s="71">
        <v>58</v>
      </c>
      <c r="R494" s="71">
        <v>132</v>
      </c>
      <c r="S494" s="71" t="s">
        <v>48</v>
      </c>
      <c r="T494" s="73" t="s">
        <v>4368</v>
      </c>
      <c r="U494" s="71" t="s">
        <v>3387</v>
      </c>
      <c r="V494" s="71" t="b">
        <v>0</v>
      </c>
    </row>
    <row r="495" spans="1:22" ht="17.25">
      <c r="A495" s="70">
        <v>339</v>
      </c>
      <c r="B495" s="70" t="s">
        <v>2635</v>
      </c>
      <c r="C495" s="70" t="s">
        <v>54</v>
      </c>
      <c r="D495" s="70" t="s">
        <v>2634</v>
      </c>
      <c r="E495" s="70" t="s">
        <v>324</v>
      </c>
      <c r="F495" s="71">
        <v>48</v>
      </c>
      <c r="G495" s="71">
        <v>1</v>
      </c>
      <c r="H495" s="72" t="s">
        <v>4320</v>
      </c>
      <c r="I495" s="71" t="b">
        <v>1</v>
      </c>
      <c r="J495" s="71">
        <v>80</v>
      </c>
      <c r="K495" s="71">
        <v>60</v>
      </c>
      <c r="L495" s="71">
        <v>72</v>
      </c>
      <c r="M495" s="71">
        <v>14</v>
      </c>
      <c r="N495" s="71">
        <v>16</v>
      </c>
      <c r="O495" s="71">
        <v>0</v>
      </c>
      <c r="P495" s="71">
        <v>13</v>
      </c>
      <c r="Q495" s="71">
        <v>58</v>
      </c>
      <c r="R495" s="71">
        <v>132</v>
      </c>
      <c r="S495" s="71" t="s">
        <v>48</v>
      </c>
      <c r="T495" s="73" t="s">
        <v>4368</v>
      </c>
      <c r="U495" s="71" t="s">
        <v>3387</v>
      </c>
      <c r="V495" s="71" t="b">
        <v>0</v>
      </c>
    </row>
    <row r="496" spans="1:22" ht="17.25">
      <c r="A496" s="70">
        <v>340</v>
      </c>
      <c r="B496" s="70" t="s">
        <v>2633</v>
      </c>
      <c r="C496" s="70" t="s">
        <v>2632</v>
      </c>
      <c r="D496" s="70" t="s">
        <v>2631</v>
      </c>
      <c r="E496" s="70" t="s">
        <v>2630</v>
      </c>
      <c r="F496" s="71">
        <v>7</v>
      </c>
      <c r="G496" s="71">
        <v>58</v>
      </c>
      <c r="H496" s="72">
        <v>0.1388888888888889</v>
      </c>
      <c r="I496" s="71" t="b">
        <v>0</v>
      </c>
      <c r="J496" s="71">
        <v>69</v>
      </c>
      <c r="K496" s="71">
        <v>71</v>
      </c>
      <c r="L496" s="71">
        <v>93</v>
      </c>
      <c r="M496" s="71">
        <v>5</v>
      </c>
      <c r="N496" s="71">
        <v>13</v>
      </c>
      <c r="O496" s="71">
        <v>0</v>
      </c>
      <c r="P496" s="71">
        <v>21</v>
      </c>
      <c r="Q496" s="71">
        <v>80</v>
      </c>
      <c r="R496" s="71">
        <v>98</v>
      </c>
      <c r="S496" s="71" t="s">
        <v>34</v>
      </c>
      <c r="T496" s="73">
        <v>42160</v>
      </c>
      <c r="U496" s="71" t="s">
        <v>3671</v>
      </c>
      <c r="V496" s="71" t="b">
        <v>0</v>
      </c>
    </row>
    <row r="497" spans="1:22" ht="17.25">
      <c r="A497" s="70">
        <v>341</v>
      </c>
      <c r="B497" s="70" t="s">
        <v>2629</v>
      </c>
      <c r="C497" s="70" t="s">
        <v>2490</v>
      </c>
      <c r="D497" s="70" t="s">
        <v>2628</v>
      </c>
      <c r="E497" s="70" t="s">
        <v>924</v>
      </c>
      <c r="F497" s="71">
        <v>77</v>
      </c>
      <c r="G497" s="71">
        <v>2</v>
      </c>
      <c r="H497" s="72" t="s">
        <v>4315</v>
      </c>
      <c r="I497" s="71" t="b">
        <v>0</v>
      </c>
      <c r="J497" s="71">
        <v>80</v>
      </c>
      <c r="K497" s="71">
        <v>82</v>
      </c>
      <c r="L497" s="71">
        <v>76</v>
      </c>
      <c r="M497" s="71">
        <v>7</v>
      </c>
      <c r="N497" s="71">
        <v>12</v>
      </c>
      <c r="O497" s="71">
        <v>0</v>
      </c>
      <c r="P497" s="71">
        <v>15</v>
      </c>
      <c r="Q497" s="71">
        <v>74</v>
      </c>
      <c r="R497" s="71">
        <v>128</v>
      </c>
      <c r="S497" s="71" t="s">
        <v>115</v>
      </c>
      <c r="T497" s="73" t="s">
        <v>4386</v>
      </c>
      <c r="U497" s="71" t="s">
        <v>3394</v>
      </c>
      <c r="V497" s="71" t="b">
        <v>0</v>
      </c>
    </row>
    <row r="498" spans="1:22" ht="17.25">
      <c r="A498" s="70">
        <v>342</v>
      </c>
      <c r="B498" s="70" t="s">
        <v>2627</v>
      </c>
      <c r="C498" s="70" t="s">
        <v>51</v>
      </c>
      <c r="D498" s="70" t="s">
        <v>50</v>
      </c>
      <c r="E498" s="70" t="s">
        <v>49</v>
      </c>
      <c r="F498" s="71">
        <v>79</v>
      </c>
      <c r="G498" s="71">
        <v>1</v>
      </c>
      <c r="H498" s="72" t="s">
        <v>4320</v>
      </c>
      <c r="I498" s="71" t="b">
        <v>1</v>
      </c>
      <c r="J498" s="71">
        <v>76</v>
      </c>
      <c r="K498" s="71">
        <v>66</v>
      </c>
      <c r="L498" s="71">
        <v>73</v>
      </c>
      <c r="M498" s="71">
        <v>6</v>
      </c>
      <c r="N498" s="71">
        <v>19</v>
      </c>
      <c r="O498" s="71">
        <v>0</v>
      </c>
      <c r="P498" s="71">
        <v>12</v>
      </c>
      <c r="Q498" s="71">
        <v>46</v>
      </c>
      <c r="R498" s="71">
        <v>138</v>
      </c>
      <c r="S498" s="71" t="s">
        <v>48</v>
      </c>
      <c r="T498" s="73" t="s">
        <v>4385</v>
      </c>
      <c r="U498" s="71" t="s">
        <v>3672</v>
      </c>
      <c r="V498" s="71" t="b">
        <v>0</v>
      </c>
    </row>
    <row r="499" spans="1:22" ht="17.25">
      <c r="A499" s="70">
        <v>343</v>
      </c>
      <c r="B499" s="70" t="s">
        <v>2626</v>
      </c>
      <c r="C499" s="70" t="s">
        <v>310</v>
      </c>
      <c r="D499" s="70" t="s">
        <v>2625</v>
      </c>
      <c r="E499" s="70" t="s">
        <v>308</v>
      </c>
      <c r="F499" s="71">
        <v>6</v>
      </c>
      <c r="G499" s="71">
        <v>54</v>
      </c>
      <c r="H499" s="72">
        <v>0.14305555555555555</v>
      </c>
      <c r="I499" s="71" t="b">
        <v>0</v>
      </c>
      <c r="J499" s="71">
        <v>60</v>
      </c>
      <c r="K499" s="71">
        <v>62</v>
      </c>
      <c r="L499" s="71">
        <v>77</v>
      </c>
      <c r="M499" s="71">
        <v>4</v>
      </c>
      <c r="N499" s="71">
        <v>40</v>
      </c>
      <c r="O499" s="71">
        <v>0</v>
      </c>
      <c r="P499" s="71">
        <v>14</v>
      </c>
      <c r="Q499" s="71">
        <v>82</v>
      </c>
      <c r="R499" s="71">
        <v>125</v>
      </c>
      <c r="S499" s="71" t="s">
        <v>29</v>
      </c>
      <c r="T499" s="73">
        <v>40840</v>
      </c>
      <c r="U499" s="71" t="s">
        <v>3426</v>
      </c>
      <c r="V499" s="71" t="b">
        <v>1</v>
      </c>
    </row>
    <row r="500" spans="1:22" ht="17.25">
      <c r="A500" s="70">
        <v>344</v>
      </c>
      <c r="B500" s="70" t="s">
        <v>2624</v>
      </c>
      <c r="C500" s="70" t="s">
        <v>151</v>
      </c>
      <c r="D500" s="70" t="s">
        <v>1665</v>
      </c>
      <c r="E500" s="70" t="s">
        <v>44</v>
      </c>
      <c r="F500" s="71">
        <v>2</v>
      </c>
      <c r="G500" s="71">
        <v>10</v>
      </c>
      <c r="H500" s="72" t="s">
        <v>4322</v>
      </c>
      <c r="I500" s="71" t="b">
        <v>0</v>
      </c>
      <c r="J500" s="71">
        <v>59</v>
      </c>
      <c r="K500" s="71">
        <v>48</v>
      </c>
      <c r="L500" s="71">
        <v>70</v>
      </c>
      <c r="M500" s="71">
        <v>4</v>
      </c>
      <c r="N500" s="71">
        <v>53</v>
      </c>
      <c r="O500" s="71">
        <v>1</v>
      </c>
      <c r="P500" s="71">
        <v>12</v>
      </c>
      <c r="Q500" s="71">
        <v>39</v>
      </c>
      <c r="R500" s="71">
        <v>104</v>
      </c>
      <c r="S500" s="71" t="s">
        <v>96</v>
      </c>
      <c r="T500" s="73" t="s">
        <v>4345</v>
      </c>
      <c r="U500" s="71" t="s">
        <v>3532</v>
      </c>
      <c r="V500" s="71" t="b">
        <v>0</v>
      </c>
    </row>
    <row r="501" spans="1:22" ht="17.25">
      <c r="A501" s="70">
        <v>345</v>
      </c>
      <c r="B501" s="70" t="s">
        <v>2623</v>
      </c>
      <c r="C501" s="70" t="s">
        <v>366</v>
      </c>
      <c r="D501" s="70" t="s">
        <v>2622</v>
      </c>
      <c r="E501" s="70" t="s">
        <v>171</v>
      </c>
      <c r="F501" s="71">
        <v>55</v>
      </c>
      <c r="G501" s="71">
        <v>2</v>
      </c>
      <c r="H501" s="72" t="s">
        <v>4360</v>
      </c>
      <c r="I501" s="71" t="b">
        <v>0</v>
      </c>
      <c r="J501" s="71">
        <v>72</v>
      </c>
      <c r="K501" s="71">
        <v>61</v>
      </c>
      <c r="L501" s="71">
        <v>73</v>
      </c>
      <c r="M501" s="71">
        <v>5</v>
      </c>
      <c r="N501" s="71">
        <v>24</v>
      </c>
      <c r="O501" s="71">
        <v>0</v>
      </c>
      <c r="P501" s="71">
        <v>11</v>
      </c>
      <c r="Q501" s="71">
        <v>69</v>
      </c>
      <c r="R501" s="71">
        <v>105</v>
      </c>
      <c r="S501" s="71" t="s">
        <v>96</v>
      </c>
      <c r="T501" s="73" t="s">
        <v>4368</v>
      </c>
      <c r="U501" s="71" t="s">
        <v>3448</v>
      </c>
      <c r="V501" s="71" t="b">
        <v>0</v>
      </c>
    </row>
    <row r="502" spans="1:22" ht="17.25">
      <c r="A502" s="70">
        <v>346</v>
      </c>
      <c r="B502" s="70" t="s">
        <v>2621</v>
      </c>
      <c r="C502" s="70" t="s">
        <v>461</v>
      </c>
      <c r="D502" s="70" t="s">
        <v>2620</v>
      </c>
      <c r="E502" s="70" t="s">
        <v>461</v>
      </c>
      <c r="F502" s="71">
        <v>74</v>
      </c>
      <c r="G502" s="71">
        <v>10</v>
      </c>
      <c r="H502" s="72">
        <v>0.15833333333333333</v>
      </c>
      <c r="I502" s="71" t="b">
        <v>0</v>
      </c>
      <c r="J502" s="71">
        <v>55</v>
      </c>
      <c r="K502" s="71">
        <v>55</v>
      </c>
      <c r="L502" s="71">
        <v>74</v>
      </c>
      <c r="M502" s="71">
        <v>5</v>
      </c>
      <c r="N502" s="71">
        <v>45</v>
      </c>
      <c r="O502" s="71">
        <v>0</v>
      </c>
      <c r="P502" s="71">
        <v>10</v>
      </c>
      <c r="Q502" s="71">
        <v>50</v>
      </c>
      <c r="R502" s="71">
        <v>90</v>
      </c>
      <c r="S502" s="71" t="s">
        <v>74</v>
      </c>
      <c r="T502" s="73">
        <v>45632</v>
      </c>
      <c r="U502" s="71" t="s">
        <v>3673</v>
      </c>
      <c r="V502" s="71" t="b">
        <v>0</v>
      </c>
    </row>
    <row r="503" spans="1:22" ht="17.25">
      <c r="A503" s="70">
        <v>347</v>
      </c>
      <c r="B503" s="70" t="s">
        <v>2619</v>
      </c>
      <c r="C503" s="70" t="s">
        <v>173</v>
      </c>
      <c r="D503" s="70" t="s">
        <v>2618</v>
      </c>
      <c r="E503" s="70" t="s">
        <v>171</v>
      </c>
      <c r="F503" s="71">
        <v>169</v>
      </c>
      <c r="G503" s="71">
        <v>1</v>
      </c>
      <c r="H503" s="72" t="s">
        <v>4315</v>
      </c>
      <c r="I503" s="71" t="b">
        <v>0</v>
      </c>
      <c r="J503" s="71">
        <v>68</v>
      </c>
      <c r="K503" s="71">
        <v>65</v>
      </c>
      <c r="L503" s="71">
        <v>73</v>
      </c>
      <c r="M503" s="71">
        <v>4</v>
      </c>
      <c r="N503" s="71">
        <v>29</v>
      </c>
      <c r="O503" s="71">
        <v>0</v>
      </c>
      <c r="P503" s="71">
        <v>11</v>
      </c>
      <c r="Q503" s="71">
        <v>58</v>
      </c>
      <c r="R503" s="71">
        <v>122</v>
      </c>
      <c r="S503" s="71" t="s">
        <v>96</v>
      </c>
      <c r="T503" s="73" t="s">
        <v>4363</v>
      </c>
      <c r="U503" s="71" t="s">
        <v>3674</v>
      </c>
      <c r="V503" s="71" t="b">
        <v>0</v>
      </c>
    </row>
    <row r="504" spans="1:22" ht="17.25">
      <c r="A504" s="70">
        <v>347</v>
      </c>
      <c r="B504" s="70" t="s">
        <v>2619</v>
      </c>
      <c r="C504" s="70" t="s">
        <v>2585</v>
      </c>
      <c r="D504" s="70" t="s">
        <v>2618</v>
      </c>
      <c r="E504" s="70" t="s">
        <v>171</v>
      </c>
      <c r="F504" s="71">
        <v>169</v>
      </c>
      <c r="G504" s="71">
        <v>1</v>
      </c>
      <c r="H504" s="72" t="s">
        <v>4315</v>
      </c>
      <c r="I504" s="71" t="b">
        <v>0</v>
      </c>
      <c r="J504" s="71">
        <v>68</v>
      </c>
      <c r="K504" s="71">
        <v>65</v>
      </c>
      <c r="L504" s="71">
        <v>73</v>
      </c>
      <c r="M504" s="71">
        <v>4</v>
      </c>
      <c r="N504" s="71">
        <v>29</v>
      </c>
      <c r="O504" s="71">
        <v>0</v>
      </c>
      <c r="P504" s="71">
        <v>11</v>
      </c>
      <c r="Q504" s="71">
        <v>58</v>
      </c>
      <c r="R504" s="71">
        <v>122</v>
      </c>
      <c r="S504" s="71" t="s">
        <v>96</v>
      </c>
      <c r="T504" s="73" t="s">
        <v>4363</v>
      </c>
      <c r="U504" s="71" t="s">
        <v>3674</v>
      </c>
      <c r="V504" s="71" t="b">
        <v>0</v>
      </c>
    </row>
    <row r="505" spans="1:22" ht="17.25">
      <c r="A505" s="70">
        <v>348</v>
      </c>
      <c r="B505" s="70" t="s">
        <v>2617</v>
      </c>
      <c r="C505" s="70" t="s">
        <v>2616</v>
      </c>
      <c r="D505" s="70" t="s">
        <v>2615</v>
      </c>
      <c r="E505" s="70" t="s">
        <v>129</v>
      </c>
      <c r="F505" s="71">
        <v>66</v>
      </c>
      <c r="G505" s="71">
        <v>27</v>
      </c>
      <c r="H505" s="72">
        <v>0.12847222222222221</v>
      </c>
      <c r="I505" s="71" t="b">
        <v>1</v>
      </c>
      <c r="J505" s="71">
        <v>82</v>
      </c>
      <c r="K505" s="71">
        <v>78</v>
      </c>
      <c r="L505" s="71">
        <v>81</v>
      </c>
      <c r="M505" s="71">
        <v>11</v>
      </c>
      <c r="N505" s="71">
        <v>8</v>
      </c>
      <c r="O505" s="71">
        <v>0</v>
      </c>
      <c r="P505" s="71">
        <v>13</v>
      </c>
      <c r="Q505" s="71">
        <v>62</v>
      </c>
      <c r="R505" s="71">
        <v>96</v>
      </c>
      <c r="S505" s="71" t="s">
        <v>128</v>
      </c>
      <c r="T505" s="73">
        <v>45730</v>
      </c>
      <c r="U505" s="71" t="s">
        <v>3631</v>
      </c>
      <c r="V505" s="71" t="b">
        <v>0</v>
      </c>
    </row>
    <row r="506" spans="1:22" ht="17.25">
      <c r="A506" s="70">
        <v>349</v>
      </c>
      <c r="B506" s="70" t="s">
        <v>2614</v>
      </c>
      <c r="C506" s="70" t="s">
        <v>97</v>
      </c>
      <c r="D506" s="70" t="s">
        <v>2613</v>
      </c>
      <c r="E506" s="70" t="s">
        <v>97</v>
      </c>
      <c r="F506" s="71">
        <v>27</v>
      </c>
      <c r="G506" s="71">
        <v>121</v>
      </c>
      <c r="H506" s="72">
        <v>0.16041666666666668</v>
      </c>
      <c r="I506" s="71" t="b">
        <v>0</v>
      </c>
      <c r="J506" s="71">
        <v>76</v>
      </c>
      <c r="K506" s="71">
        <v>70</v>
      </c>
      <c r="L506" s="71">
        <v>91</v>
      </c>
      <c r="M506" s="71">
        <v>5</v>
      </c>
      <c r="N506" s="71">
        <v>10</v>
      </c>
      <c r="O506" s="71">
        <v>0</v>
      </c>
      <c r="P506" s="71">
        <v>9</v>
      </c>
      <c r="Q506" s="71">
        <v>57</v>
      </c>
      <c r="R506" s="71">
        <v>96</v>
      </c>
      <c r="S506" s="71" t="s">
        <v>96</v>
      </c>
      <c r="T506" s="73">
        <v>41939</v>
      </c>
      <c r="U506" s="71" t="s">
        <v>3535</v>
      </c>
      <c r="V506" s="71" t="b">
        <v>0</v>
      </c>
    </row>
    <row r="507" spans="1:22" ht="17.25">
      <c r="A507" s="70">
        <v>350</v>
      </c>
      <c r="B507" s="70" t="s">
        <v>2612</v>
      </c>
      <c r="C507" s="70" t="s">
        <v>37</v>
      </c>
      <c r="D507" s="70" t="s">
        <v>2611</v>
      </c>
      <c r="E507" s="70" t="s">
        <v>35</v>
      </c>
      <c r="F507" s="71">
        <v>81</v>
      </c>
      <c r="G507" s="71">
        <v>14</v>
      </c>
      <c r="H507" s="72">
        <v>0.16805555555555557</v>
      </c>
      <c r="I507" s="71" t="b">
        <v>0</v>
      </c>
      <c r="J507" s="71">
        <v>72</v>
      </c>
      <c r="K507" s="71">
        <v>85</v>
      </c>
      <c r="L507" s="71">
        <v>89</v>
      </c>
      <c r="M507" s="71">
        <v>9</v>
      </c>
      <c r="N507" s="71">
        <v>0</v>
      </c>
      <c r="O507" s="71">
        <v>2</v>
      </c>
      <c r="P507" s="71">
        <v>22</v>
      </c>
      <c r="Q507" s="71">
        <v>44</v>
      </c>
      <c r="R507" s="71">
        <v>128</v>
      </c>
      <c r="S507" s="71" t="s">
        <v>34</v>
      </c>
      <c r="T507" s="73">
        <v>40858</v>
      </c>
      <c r="U507" s="71" t="s">
        <v>3675</v>
      </c>
      <c r="V507" s="71" t="b">
        <v>0</v>
      </c>
    </row>
    <row r="508" spans="1:22" ht="17.25">
      <c r="A508" s="70">
        <v>351</v>
      </c>
      <c r="B508" s="70" t="s">
        <v>2610</v>
      </c>
      <c r="C508" s="70" t="s">
        <v>4621</v>
      </c>
      <c r="D508" s="70" t="s">
        <v>2609</v>
      </c>
      <c r="E508" s="70" t="s">
        <v>360</v>
      </c>
      <c r="F508" s="71">
        <v>116</v>
      </c>
      <c r="G508" s="71">
        <v>1</v>
      </c>
      <c r="H508" s="72" t="s">
        <v>4334</v>
      </c>
      <c r="I508" s="71" t="b">
        <v>0</v>
      </c>
      <c r="J508" s="71">
        <v>55</v>
      </c>
      <c r="K508" s="71">
        <v>40</v>
      </c>
      <c r="L508" s="71">
        <v>68</v>
      </c>
      <c r="M508" s="71">
        <v>4</v>
      </c>
      <c r="N508" s="71">
        <v>70</v>
      </c>
      <c r="O508" s="71">
        <v>0</v>
      </c>
      <c r="P508" s="71">
        <v>10</v>
      </c>
      <c r="Q508" s="71">
        <v>35</v>
      </c>
      <c r="R508" s="71">
        <v>105</v>
      </c>
      <c r="S508" s="71" t="s">
        <v>359</v>
      </c>
      <c r="T508" s="73" t="s">
        <v>4381</v>
      </c>
      <c r="U508" s="71" t="s">
        <v>3676</v>
      </c>
      <c r="V508" s="71" t="b">
        <v>0</v>
      </c>
    </row>
    <row r="509" spans="1:22" ht="17.25">
      <c r="A509" s="70">
        <v>351</v>
      </c>
      <c r="B509" s="70" t="s">
        <v>2610</v>
      </c>
      <c r="C509" s="70" t="s">
        <v>4620</v>
      </c>
      <c r="D509" s="70" t="s">
        <v>2609</v>
      </c>
      <c r="E509" s="70" t="s">
        <v>360</v>
      </c>
      <c r="F509" s="71">
        <v>116</v>
      </c>
      <c r="G509" s="71">
        <v>1</v>
      </c>
      <c r="H509" s="72" t="s">
        <v>4334</v>
      </c>
      <c r="I509" s="71" t="b">
        <v>0</v>
      </c>
      <c r="J509" s="71">
        <v>55</v>
      </c>
      <c r="K509" s="71">
        <v>40</v>
      </c>
      <c r="L509" s="71">
        <v>68</v>
      </c>
      <c r="M509" s="71">
        <v>4</v>
      </c>
      <c r="N509" s="71">
        <v>70</v>
      </c>
      <c r="O509" s="71">
        <v>0</v>
      </c>
      <c r="P509" s="71">
        <v>10</v>
      </c>
      <c r="Q509" s="71">
        <v>35</v>
      </c>
      <c r="R509" s="71">
        <v>105</v>
      </c>
      <c r="S509" s="71" t="s">
        <v>359</v>
      </c>
      <c r="T509" s="73" t="s">
        <v>4381</v>
      </c>
      <c r="U509" s="71" t="s">
        <v>3676</v>
      </c>
      <c r="V509" s="71" t="b">
        <v>0</v>
      </c>
    </row>
    <row r="510" spans="1:22" ht="17.25">
      <c r="A510" s="70">
        <v>351</v>
      </c>
      <c r="B510" s="70" t="s">
        <v>2610</v>
      </c>
      <c r="C510" s="70" t="s">
        <v>4587</v>
      </c>
      <c r="D510" s="70" t="s">
        <v>2609</v>
      </c>
      <c r="E510" s="70" t="s">
        <v>360</v>
      </c>
      <c r="F510" s="71">
        <v>116</v>
      </c>
      <c r="G510" s="71">
        <v>1</v>
      </c>
      <c r="H510" s="72" t="s">
        <v>4334</v>
      </c>
      <c r="I510" s="71" t="b">
        <v>0</v>
      </c>
      <c r="J510" s="71">
        <v>55</v>
      </c>
      <c r="K510" s="71">
        <v>40</v>
      </c>
      <c r="L510" s="71">
        <v>68</v>
      </c>
      <c r="M510" s="71">
        <v>4</v>
      </c>
      <c r="N510" s="71">
        <v>70</v>
      </c>
      <c r="O510" s="71">
        <v>0</v>
      </c>
      <c r="P510" s="71">
        <v>10</v>
      </c>
      <c r="Q510" s="71">
        <v>35</v>
      </c>
      <c r="R510" s="71">
        <v>105</v>
      </c>
      <c r="S510" s="71" t="s">
        <v>359</v>
      </c>
      <c r="T510" s="73" t="s">
        <v>4381</v>
      </c>
      <c r="U510" s="71" t="s">
        <v>3676</v>
      </c>
      <c r="V510" s="71" t="b">
        <v>0</v>
      </c>
    </row>
    <row r="511" spans="1:22" ht="17.25">
      <c r="A511" s="70">
        <v>351</v>
      </c>
      <c r="B511" s="70" t="s">
        <v>2610</v>
      </c>
      <c r="C511" s="70" t="s">
        <v>4654</v>
      </c>
      <c r="D511" s="70" t="s">
        <v>2609</v>
      </c>
      <c r="E511" s="70" t="s">
        <v>360</v>
      </c>
      <c r="F511" s="71">
        <v>116</v>
      </c>
      <c r="G511" s="71">
        <v>1</v>
      </c>
      <c r="H511" s="72" t="s">
        <v>4334</v>
      </c>
      <c r="I511" s="71" t="b">
        <v>0</v>
      </c>
      <c r="J511" s="71">
        <v>55</v>
      </c>
      <c r="K511" s="71">
        <v>40</v>
      </c>
      <c r="L511" s="71">
        <v>68</v>
      </c>
      <c r="M511" s="71">
        <v>4</v>
      </c>
      <c r="N511" s="71">
        <v>70</v>
      </c>
      <c r="O511" s="71">
        <v>0</v>
      </c>
      <c r="P511" s="71">
        <v>10</v>
      </c>
      <c r="Q511" s="71">
        <v>35</v>
      </c>
      <c r="R511" s="71">
        <v>105</v>
      </c>
      <c r="S511" s="71" t="s">
        <v>359</v>
      </c>
      <c r="T511" s="73" t="s">
        <v>4381</v>
      </c>
      <c r="U511" s="71" t="s">
        <v>3676</v>
      </c>
      <c r="V511" s="71" t="b">
        <v>0</v>
      </c>
    </row>
    <row r="512" spans="1:22" ht="17.25">
      <c r="A512" s="70">
        <v>351</v>
      </c>
      <c r="B512" s="70" t="s">
        <v>2610</v>
      </c>
      <c r="C512" s="70" t="s">
        <v>4436</v>
      </c>
      <c r="D512" s="70" t="s">
        <v>2609</v>
      </c>
      <c r="E512" s="70" t="s">
        <v>360</v>
      </c>
      <c r="F512" s="71">
        <v>116</v>
      </c>
      <c r="G512" s="71">
        <v>1</v>
      </c>
      <c r="H512" s="72" t="s">
        <v>4334</v>
      </c>
      <c r="I512" s="71" t="b">
        <v>0</v>
      </c>
      <c r="J512" s="71">
        <v>55</v>
      </c>
      <c r="K512" s="71">
        <v>40</v>
      </c>
      <c r="L512" s="71">
        <v>68</v>
      </c>
      <c r="M512" s="71">
        <v>4</v>
      </c>
      <c r="N512" s="71">
        <v>70</v>
      </c>
      <c r="O512" s="71">
        <v>0</v>
      </c>
      <c r="P512" s="71">
        <v>10</v>
      </c>
      <c r="Q512" s="71">
        <v>35</v>
      </c>
      <c r="R512" s="71">
        <v>105</v>
      </c>
      <c r="S512" s="71" t="s">
        <v>359</v>
      </c>
      <c r="T512" s="73" t="s">
        <v>4381</v>
      </c>
      <c r="U512" s="71" t="s">
        <v>3676</v>
      </c>
      <c r="V512" s="71" t="b">
        <v>0</v>
      </c>
    </row>
    <row r="513" spans="1:22" ht="17.25">
      <c r="A513" s="70">
        <v>352</v>
      </c>
      <c r="B513" s="70" t="s">
        <v>2608</v>
      </c>
      <c r="C513" s="70" t="s">
        <v>1112</v>
      </c>
      <c r="D513" s="70" t="s">
        <v>2607</v>
      </c>
      <c r="E513" s="70" t="s">
        <v>1110</v>
      </c>
      <c r="F513" s="71">
        <v>127</v>
      </c>
      <c r="G513" s="71">
        <v>1</v>
      </c>
      <c r="H513" s="72" t="s">
        <v>4373</v>
      </c>
      <c r="I513" s="71" t="b">
        <v>0</v>
      </c>
      <c r="J513" s="71">
        <v>48</v>
      </c>
      <c r="K513" s="71">
        <v>74</v>
      </c>
      <c r="L513" s="71">
        <v>74</v>
      </c>
      <c r="M513" s="71">
        <v>6</v>
      </c>
      <c r="N513" s="71">
        <v>15</v>
      </c>
      <c r="O513" s="71">
        <v>2</v>
      </c>
      <c r="P513" s="71">
        <v>19</v>
      </c>
      <c r="Q513" s="71">
        <v>32</v>
      </c>
      <c r="R513" s="71">
        <v>144</v>
      </c>
      <c r="S513" s="71" t="s">
        <v>1109</v>
      </c>
      <c r="T513" s="73" t="s">
        <v>4392</v>
      </c>
      <c r="U513" s="71" t="s">
        <v>3677</v>
      </c>
      <c r="V513" s="71" t="b">
        <v>0</v>
      </c>
    </row>
    <row r="514" spans="1:22" ht="17.25">
      <c r="A514" s="70">
        <v>353</v>
      </c>
      <c r="B514" s="70" t="s">
        <v>2606</v>
      </c>
      <c r="C514" s="70" t="s">
        <v>2605</v>
      </c>
      <c r="D514" s="70" t="s">
        <v>2604</v>
      </c>
      <c r="E514" s="70" t="s">
        <v>120</v>
      </c>
      <c r="F514" s="71">
        <v>36</v>
      </c>
      <c r="G514" s="71">
        <v>13</v>
      </c>
      <c r="H514" s="72">
        <v>0.36180555555555555</v>
      </c>
      <c r="I514" s="71" t="b">
        <v>0</v>
      </c>
      <c r="J514" s="71">
        <v>37</v>
      </c>
      <c r="K514" s="71">
        <v>45</v>
      </c>
      <c r="L514" s="71">
        <v>83</v>
      </c>
      <c r="M514" s="71">
        <v>3</v>
      </c>
      <c r="N514" s="71">
        <v>4</v>
      </c>
      <c r="O514" s="71">
        <v>0</v>
      </c>
      <c r="P514" s="71">
        <v>69</v>
      </c>
      <c r="Q514" s="71">
        <v>18</v>
      </c>
      <c r="R514" s="71">
        <v>113</v>
      </c>
      <c r="S514" s="71" t="s">
        <v>69</v>
      </c>
      <c r="T514" s="73">
        <v>30858</v>
      </c>
      <c r="U514" s="71" t="s">
        <v>3678</v>
      </c>
      <c r="V514" s="71" t="b">
        <v>0</v>
      </c>
    </row>
    <row r="515" spans="1:22" ht="17.25">
      <c r="A515" s="70">
        <v>354</v>
      </c>
      <c r="B515" s="70" t="s">
        <v>2603</v>
      </c>
      <c r="C515" s="70" t="s">
        <v>4655</v>
      </c>
      <c r="D515" s="70" t="s">
        <v>2602</v>
      </c>
      <c r="E515" s="70" t="s">
        <v>2601</v>
      </c>
      <c r="F515" s="71">
        <v>74</v>
      </c>
      <c r="G515" s="71">
        <v>4</v>
      </c>
      <c r="H515" s="72">
        <v>0.13750000000000001</v>
      </c>
      <c r="I515" s="71" t="b">
        <v>0</v>
      </c>
      <c r="J515" s="71">
        <v>62</v>
      </c>
      <c r="K515" s="71">
        <v>60</v>
      </c>
      <c r="L515" s="71">
        <v>75</v>
      </c>
      <c r="M515" s="71">
        <v>5</v>
      </c>
      <c r="N515" s="71">
        <v>35</v>
      </c>
      <c r="O515" s="71">
        <v>0</v>
      </c>
      <c r="P515" s="71">
        <v>10</v>
      </c>
      <c r="Q515" s="71">
        <v>58</v>
      </c>
      <c r="R515" s="71">
        <v>100</v>
      </c>
      <c r="S515" s="71" t="s">
        <v>96</v>
      </c>
      <c r="T515" s="73">
        <v>45702</v>
      </c>
      <c r="U515" s="71" t="s">
        <v>3679</v>
      </c>
      <c r="V515" s="71" t="b">
        <v>0</v>
      </c>
    </row>
    <row r="516" spans="1:22" ht="17.25">
      <c r="A516" s="70">
        <v>354</v>
      </c>
      <c r="B516" s="70" t="s">
        <v>2603</v>
      </c>
      <c r="C516" s="70" t="s">
        <v>4457</v>
      </c>
      <c r="D516" s="70" t="s">
        <v>2602</v>
      </c>
      <c r="E516" s="70" t="s">
        <v>2601</v>
      </c>
      <c r="F516" s="71">
        <v>74</v>
      </c>
      <c r="G516" s="71">
        <v>4</v>
      </c>
      <c r="H516" s="72">
        <v>0.13750000000000001</v>
      </c>
      <c r="I516" s="71" t="b">
        <v>0</v>
      </c>
      <c r="J516" s="71">
        <v>62</v>
      </c>
      <c r="K516" s="71">
        <v>60</v>
      </c>
      <c r="L516" s="71">
        <v>75</v>
      </c>
      <c r="M516" s="71">
        <v>5</v>
      </c>
      <c r="N516" s="71">
        <v>35</v>
      </c>
      <c r="O516" s="71">
        <v>0</v>
      </c>
      <c r="P516" s="71">
        <v>10</v>
      </c>
      <c r="Q516" s="71">
        <v>58</v>
      </c>
      <c r="R516" s="71">
        <v>100</v>
      </c>
      <c r="S516" s="71" t="s">
        <v>96</v>
      </c>
      <c r="T516" s="73">
        <v>45702</v>
      </c>
      <c r="U516" s="71" t="s">
        <v>3679</v>
      </c>
      <c r="V516" s="71" t="b">
        <v>0</v>
      </c>
    </row>
    <row r="517" spans="1:22" ht="17.25">
      <c r="A517" s="70">
        <v>355</v>
      </c>
      <c r="B517" s="70" t="s">
        <v>2600</v>
      </c>
      <c r="C517" s="70" t="s">
        <v>173</v>
      </c>
      <c r="D517" s="70" t="s">
        <v>940</v>
      </c>
      <c r="E517" s="70" t="s">
        <v>171</v>
      </c>
      <c r="F517" s="71">
        <v>91</v>
      </c>
      <c r="G517" s="71">
        <v>23</v>
      </c>
      <c r="H517" s="72">
        <v>0.14027777777777778</v>
      </c>
      <c r="I517" s="71" t="b">
        <v>0</v>
      </c>
      <c r="J517" s="71">
        <v>52</v>
      </c>
      <c r="K517" s="71">
        <v>66</v>
      </c>
      <c r="L517" s="71">
        <v>88</v>
      </c>
      <c r="M517" s="71">
        <v>11</v>
      </c>
      <c r="N517" s="71">
        <v>47</v>
      </c>
      <c r="O517" s="71">
        <v>0</v>
      </c>
      <c r="P517" s="71">
        <v>13</v>
      </c>
      <c r="Q517" s="71">
        <v>46</v>
      </c>
      <c r="R517" s="71">
        <v>124</v>
      </c>
      <c r="S517" s="71" t="s">
        <v>96</v>
      </c>
      <c r="T517" s="73">
        <v>45555</v>
      </c>
      <c r="U517" s="71" t="s">
        <v>3680</v>
      </c>
      <c r="V517" s="71" t="b">
        <v>0</v>
      </c>
    </row>
    <row r="518" spans="1:22" ht="17.25">
      <c r="A518" s="70">
        <v>356</v>
      </c>
      <c r="B518" s="70" t="s">
        <v>2599</v>
      </c>
      <c r="C518" s="70" t="s">
        <v>4458</v>
      </c>
      <c r="D518" s="70" t="s">
        <v>2598</v>
      </c>
      <c r="E518" s="70" t="s">
        <v>2597</v>
      </c>
      <c r="F518" s="71">
        <v>187</v>
      </c>
      <c r="G518" s="71">
        <v>1</v>
      </c>
      <c r="H518" s="72" t="s">
        <v>4317</v>
      </c>
      <c r="I518" s="71" t="b">
        <v>1</v>
      </c>
      <c r="J518" s="71">
        <v>78</v>
      </c>
      <c r="K518" s="71">
        <v>82</v>
      </c>
      <c r="L518" s="71">
        <v>76</v>
      </c>
      <c r="M518" s="71">
        <v>7</v>
      </c>
      <c r="N518" s="71">
        <v>25</v>
      </c>
      <c r="O518" s="71">
        <v>0</v>
      </c>
      <c r="P518" s="71">
        <v>32</v>
      </c>
      <c r="Q518" s="71">
        <v>88</v>
      </c>
      <c r="R518" s="71">
        <v>130</v>
      </c>
      <c r="S518" s="71" t="s">
        <v>312</v>
      </c>
      <c r="T518" s="73" t="s">
        <v>4331</v>
      </c>
      <c r="U518" s="71" t="s">
        <v>3681</v>
      </c>
      <c r="V518" s="71" t="b">
        <v>0</v>
      </c>
    </row>
    <row r="519" spans="1:22" ht="17.25">
      <c r="A519" s="70">
        <v>356</v>
      </c>
      <c r="B519" s="70" t="s">
        <v>2599</v>
      </c>
      <c r="C519" s="70" t="s">
        <v>4656</v>
      </c>
      <c r="D519" s="70" t="s">
        <v>2598</v>
      </c>
      <c r="E519" s="70" t="s">
        <v>2597</v>
      </c>
      <c r="F519" s="71">
        <v>187</v>
      </c>
      <c r="G519" s="71">
        <v>1</v>
      </c>
      <c r="H519" s="72" t="s">
        <v>4317</v>
      </c>
      <c r="I519" s="71" t="b">
        <v>1</v>
      </c>
      <c r="J519" s="71">
        <v>78</v>
      </c>
      <c r="K519" s="71">
        <v>82</v>
      </c>
      <c r="L519" s="71">
        <v>76</v>
      </c>
      <c r="M519" s="71">
        <v>7</v>
      </c>
      <c r="N519" s="71">
        <v>25</v>
      </c>
      <c r="O519" s="71">
        <v>0</v>
      </c>
      <c r="P519" s="71">
        <v>32</v>
      </c>
      <c r="Q519" s="71">
        <v>88</v>
      </c>
      <c r="R519" s="71">
        <v>130</v>
      </c>
      <c r="S519" s="71" t="s">
        <v>312</v>
      </c>
      <c r="T519" s="73" t="s">
        <v>4331</v>
      </c>
      <c r="U519" s="71" t="s">
        <v>3681</v>
      </c>
      <c r="V519" s="71" t="b">
        <v>0</v>
      </c>
    </row>
    <row r="520" spans="1:22" ht="17.25">
      <c r="A520" s="70">
        <v>357</v>
      </c>
      <c r="B520" s="70" t="s">
        <v>2596</v>
      </c>
      <c r="C520" s="70" t="s">
        <v>1282</v>
      </c>
      <c r="D520" s="70" t="s">
        <v>2595</v>
      </c>
      <c r="E520" s="70" t="s">
        <v>1280</v>
      </c>
      <c r="F520" s="71">
        <v>17</v>
      </c>
      <c r="G520" s="71">
        <v>114</v>
      </c>
      <c r="H520" s="72">
        <v>9.166666666666666E-2</v>
      </c>
      <c r="I520" s="71" t="b">
        <v>0</v>
      </c>
      <c r="J520" s="71">
        <v>57</v>
      </c>
      <c r="K520" s="71">
        <v>54</v>
      </c>
      <c r="L520" s="71">
        <v>82</v>
      </c>
      <c r="M520" s="71">
        <v>3</v>
      </c>
      <c r="N520" s="71">
        <v>45</v>
      </c>
      <c r="O520" s="71">
        <v>1</v>
      </c>
      <c r="P520" s="71">
        <v>32</v>
      </c>
      <c r="Q520" s="71">
        <v>22</v>
      </c>
      <c r="R520" s="71">
        <v>132</v>
      </c>
      <c r="S520" s="71" t="s">
        <v>74</v>
      </c>
      <c r="T520" s="73">
        <v>44764</v>
      </c>
      <c r="U520" s="71" t="s">
        <v>3682</v>
      </c>
      <c r="V520" s="71" t="b">
        <v>0</v>
      </c>
    </row>
    <row r="521" spans="1:22" ht="17.25">
      <c r="A521" s="70">
        <v>358</v>
      </c>
      <c r="B521" s="70" t="s">
        <v>2594</v>
      </c>
      <c r="C521" s="70" t="s">
        <v>182</v>
      </c>
      <c r="D521" s="70" t="s">
        <v>2593</v>
      </c>
      <c r="E521" s="70" t="s">
        <v>180</v>
      </c>
      <c r="F521" s="71">
        <v>43</v>
      </c>
      <c r="G521" s="71">
        <v>1</v>
      </c>
      <c r="H521" s="72" t="s">
        <v>4320</v>
      </c>
      <c r="I521" s="71" t="b">
        <v>1</v>
      </c>
      <c r="J521" s="71">
        <v>70</v>
      </c>
      <c r="K521" s="71">
        <v>56</v>
      </c>
      <c r="L521" s="71">
        <v>72</v>
      </c>
      <c r="M521" s="71">
        <v>38</v>
      </c>
      <c r="N521" s="71">
        <v>57</v>
      </c>
      <c r="O521" s="71">
        <v>0</v>
      </c>
      <c r="P521" s="71">
        <v>16</v>
      </c>
      <c r="Q521" s="71">
        <v>23</v>
      </c>
      <c r="R521" s="71">
        <v>120</v>
      </c>
      <c r="S521" s="71" t="s">
        <v>48</v>
      </c>
      <c r="T521" s="73" t="s">
        <v>4330</v>
      </c>
      <c r="U521" s="71" t="s">
        <v>3683</v>
      </c>
      <c r="V521" s="71" t="b">
        <v>0</v>
      </c>
    </row>
    <row r="522" spans="1:22" ht="17.25">
      <c r="A522" s="70">
        <v>359</v>
      </c>
      <c r="B522" s="70" t="s">
        <v>2592</v>
      </c>
      <c r="C522" s="70" t="s">
        <v>570</v>
      </c>
      <c r="D522" s="70" t="s">
        <v>2591</v>
      </c>
      <c r="E522" s="70" t="s">
        <v>568</v>
      </c>
      <c r="F522" s="71">
        <v>10</v>
      </c>
      <c r="G522" s="71">
        <v>65</v>
      </c>
      <c r="H522" s="72">
        <v>0.12847222222222221</v>
      </c>
      <c r="I522" s="71" t="b">
        <v>0</v>
      </c>
      <c r="J522" s="71">
        <v>65</v>
      </c>
      <c r="K522" s="71">
        <v>75</v>
      </c>
      <c r="L522" s="71">
        <v>92</v>
      </c>
      <c r="M522" s="71">
        <v>7</v>
      </c>
      <c r="N522" s="71">
        <v>18</v>
      </c>
      <c r="O522" s="71">
        <v>0</v>
      </c>
      <c r="P522" s="71">
        <v>37</v>
      </c>
      <c r="Q522" s="71">
        <v>62</v>
      </c>
      <c r="R522" s="71">
        <v>146</v>
      </c>
      <c r="S522" s="71" t="s">
        <v>115</v>
      </c>
      <c r="T522" s="73">
        <v>45765</v>
      </c>
      <c r="U522" s="71" t="s">
        <v>3684</v>
      </c>
      <c r="V522" s="71" t="b">
        <v>0</v>
      </c>
    </row>
    <row r="523" spans="1:22" ht="17.25">
      <c r="A523" s="70">
        <v>360</v>
      </c>
      <c r="B523" s="70" t="s">
        <v>2590</v>
      </c>
      <c r="C523" s="70" t="s">
        <v>1158</v>
      </c>
      <c r="D523" s="70" t="s">
        <v>2589</v>
      </c>
      <c r="E523" s="70" t="s">
        <v>124</v>
      </c>
      <c r="F523" s="71">
        <v>37</v>
      </c>
      <c r="G523" s="71">
        <v>4</v>
      </c>
      <c r="H523" s="72">
        <v>0.13750000000000001</v>
      </c>
      <c r="I523" s="71" t="b">
        <v>0</v>
      </c>
      <c r="J523" s="71">
        <v>56</v>
      </c>
      <c r="K523" s="71">
        <v>58</v>
      </c>
      <c r="L523" s="71">
        <v>89</v>
      </c>
      <c r="M523" s="71">
        <v>8</v>
      </c>
      <c r="N523" s="71">
        <v>15</v>
      </c>
      <c r="O523" s="71">
        <v>0</v>
      </c>
      <c r="P523" s="71">
        <v>7</v>
      </c>
      <c r="Q523" s="71">
        <v>80</v>
      </c>
      <c r="R523" s="71">
        <v>94</v>
      </c>
      <c r="S523" s="71" t="s">
        <v>26</v>
      </c>
      <c r="T523" s="73">
        <v>45723</v>
      </c>
      <c r="U523" s="71" t="s">
        <v>3685</v>
      </c>
      <c r="V523" s="71" t="b">
        <v>0</v>
      </c>
    </row>
    <row r="524" spans="1:22" ht="17.25">
      <c r="A524" s="70">
        <v>360</v>
      </c>
      <c r="B524" s="70" t="s">
        <v>2590</v>
      </c>
      <c r="C524" s="70" t="s">
        <v>3253</v>
      </c>
      <c r="D524" s="70" t="s">
        <v>2589</v>
      </c>
      <c r="E524" s="70" t="s">
        <v>124</v>
      </c>
      <c r="F524" s="71">
        <v>37</v>
      </c>
      <c r="G524" s="71">
        <v>4</v>
      </c>
      <c r="H524" s="72">
        <v>0.13750000000000001</v>
      </c>
      <c r="I524" s="71" t="b">
        <v>0</v>
      </c>
      <c r="J524" s="71">
        <v>56</v>
      </c>
      <c r="K524" s="71">
        <v>58</v>
      </c>
      <c r="L524" s="71">
        <v>89</v>
      </c>
      <c r="M524" s="71">
        <v>8</v>
      </c>
      <c r="N524" s="71">
        <v>15</v>
      </c>
      <c r="O524" s="71">
        <v>0</v>
      </c>
      <c r="P524" s="71">
        <v>7</v>
      </c>
      <c r="Q524" s="71">
        <v>80</v>
      </c>
      <c r="R524" s="71">
        <v>94</v>
      </c>
      <c r="S524" s="71" t="s">
        <v>26</v>
      </c>
      <c r="T524" s="73">
        <v>45723</v>
      </c>
      <c r="U524" s="71" t="s">
        <v>3685</v>
      </c>
      <c r="V524" s="71" t="b">
        <v>0</v>
      </c>
    </row>
    <row r="525" spans="1:22" ht="17.25">
      <c r="A525" s="70">
        <v>361</v>
      </c>
      <c r="B525" s="70" t="s">
        <v>2588</v>
      </c>
      <c r="C525" s="70" t="s">
        <v>3093</v>
      </c>
      <c r="D525" s="70" t="s">
        <v>2587</v>
      </c>
      <c r="E525" s="70" t="s">
        <v>171</v>
      </c>
      <c r="F525" s="71">
        <v>11</v>
      </c>
      <c r="G525" s="71">
        <v>29</v>
      </c>
      <c r="H525" s="72">
        <v>0.13750000000000001</v>
      </c>
      <c r="I525" s="71" t="b">
        <v>1</v>
      </c>
      <c r="J525" s="71">
        <v>59</v>
      </c>
      <c r="K525" s="71">
        <v>74</v>
      </c>
      <c r="L525" s="71">
        <v>89</v>
      </c>
      <c r="M525" s="71">
        <v>5</v>
      </c>
      <c r="N525" s="71">
        <v>1</v>
      </c>
      <c r="O525" s="71">
        <v>0</v>
      </c>
      <c r="P525" s="71">
        <v>15</v>
      </c>
      <c r="Q525" s="71">
        <v>20</v>
      </c>
      <c r="R525" s="71">
        <v>145</v>
      </c>
      <c r="S525" s="71" t="s">
        <v>1700</v>
      </c>
      <c r="T525" s="73">
        <v>44778</v>
      </c>
      <c r="U525" s="71" t="s">
        <v>3686</v>
      </c>
      <c r="V525" s="71" t="b">
        <v>0</v>
      </c>
    </row>
    <row r="526" spans="1:22" ht="17.25">
      <c r="A526" s="70">
        <v>361</v>
      </c>
      <c r="B526" s="70" t="s">
        <v>2588</v>
      </c>
      <c r="C526" s="70" t="s">
        <v>4657</v>
      </c>
      <c r="D526" s="70" t="s">
        <v>2587</v>
      </c>
      <c r="E526" s="70" t="s">
        <v>171</v>
      </c>
      <c r="F526" s="71">
        <v>11</v>
      </c>
      <c r="G526" s="71">
        <v>29</v>
      </c>
      <c r="H526" s="72">
        <v>0.13750000000000001</v>
      </c>
      <c r="I526" s="71" t="b">
        <v>1</v>
      </c>
      <c r="J526" s="71">
        <v>59</v>
      </c>
      <c r="K526" s="71">
        <v>74</v>
      </c>
      <c r="L526" s="71">
        <v>89</v>
      </c>
      <c r="M526" s="71">
        <v>5</v>
      </c>
      <c r="N526" s="71">
        <v>1</v>
      </c>
      <c r="O526" s="71">
        <v>0</v>
      </c>
      <c r="P526" s="71">
        <v>15</v>
      </c>
      <c r="Q526" s="71">
        <v>20</v>
      </c>
      <c r="R526" s="71">
        <v>145</v>
      </c>
      <c r="S526" s="71" t="s">
        <v>1700</v>
      </c>
      <c r="T526" s="73">
        <v>44778</v>
      </c>
      <c r="U526" s="71" t="s">
        <v>3686</v>
      </c>
      <c r="V526" s="71" t="b">
        <v>0</v>
      </c>
    </row>
    <row r="527" spans="1:22" ht="17.25">
      <c r="A527" s="70">
        <v>362</v>
      </c>
      <c r="B527" s="70" t="s">
        <v>2586</v>
      </c>
      <c r="C527" s="70" t="s">
        <v>2585</v>
      </c>
      <c r="D527" s="70" t="s">
        <v>2584</v>
      </c>
      <c r="E527" s="70" t="s">
        <v>171</v>
      </c>
      <c r="F527" s="71">
        <v>29</v>
      </c>
      <c r="G527" s="71">
        <v>14</v>
      </c>
      <c r="H527" s="72">
        <v>0.12847222222222221</v>
      </c>
      <c r="I527" s="71" t="b">
        <v>0</v>
      </c>
      <c r="J527" s="71">
        <v>41</v>
      </c>
      <c r="K527" s="71">
        <v>60</v>
      </c>
      <c r="L527" s="71">
        <v>91</v>
      </c>
      <c r="M527" s="71">
        <v>10</v>
      </c>
      <c r="N527" s="71">
        <v>5</v>
      </c>
      <c r="O527" s="71">
        <v>0</v>
      </c>
      <c r="P527" s="71">
        <v>11</v>
      </c>
      <c r="Q527" s="71">
        <v>30</v>
      </c>
      <c r="R527" s="71">
        <v>167</v>
      </c>
      <c r="S527" s="71" t="s">
        <v>96</v>
      </c>
      <c r="T527" s="73">
        <v>45632</v>
      </c>
      <c r="U527" s="71" t="s">
        <v>3657</v>
      </c>
      <c r="V527" s="71" t="b">
        <v>0</v>
      </c>
    </row>
    <row r="528" spans="1:22" ht="17.25">
      <c r="A528" s="70">
        <v>363</v>
      </c>
      <c r="B528" s="70" t="s">
        <v>2583</v>
      </c>
      <c r="C528" s="70" t="s">
        <v>32</v>
      </c>
      <c r="D528" s="70" t="s">
        <v>2582</v>
      </c>
      <c r="E528" s="70" t="s">
        <v>30</v>
      </c>
      <c r="F528" s="71">
        <v>85</v>
      </c>
      <c r="G528" s="71">
        <v>3</v>
      </c>
      <c r="H528" s="72" t="s">
        <v>4315</v>
      </c>
      <c r="I528" s="71" t="b">
        <v>1</v>
      </c>
      <c r="J528" s="71">
        <v>68</v>
      </c>
      <c r="K528" s="71">
        <v>61</v>
      </c>
      <c r="L528" s="71">
        <v>73</v>
      </c>
      <c r="M528" s="71">
        <v>5</v>
      </c>
      <c r="N528" s="71">
        <v>34</v>
      </c>
      <c r="O528" s="71">
        <v>0</v>
      </c>
      <c r="P528" s="71">
        <v>14</v>
      </c>
      <c r="Q528" s="71">
        <v>53</v>
      </c>
      <c r="R528" s="71">
        <v>135</v>
      </c>
      <c r="S528" s="71" t="s">
        <v>96</v>
      </c>
      <c r="T528" s="73" t="s">
        <v>4372</v>
      </c>
      <c r="U528" s="71" t="s">
        <v>3479</v>
      </c>
      <c r="V528" s="71" t="b">
        <v>0</v>
      </c>
    </row>
    <row r="529" spans="1:22" ht="17.25">
      <c r="A529" s="70">
        <v>364</v>
      </c>
      <c r="B529" s="70" t="s">
        <v>2581</v>
      </c>
      <c r="C529" s="70" t="s">
        <v>182</v>
      </c>
      <c r="D529" s="70" t="s">
        <v>2580</v>
      </c>
      <c r="E529" s="70" t="s">
        <v>953</v>
      </c>
      <c r="F529" s="71">
        <v>12</v>
      </c>
      <c r="G529" s="71">
        <v>298</v>
      </c>
      <c r="H529" s="72">
        <v>0.12013888888888889</v>
      </c>
      <c r="I529" s="71" t="b">
        <v>0</v>
      </c>
      <c r="J529" s="71">
        <v>79</v>
      </c>
      <c r="K529" s="71">
        <v>62</v>
      </c>
      <c r="L529" s="71">
        <v>91</v>
      </c>
      <c r="M529" s="71">
        <v>5</v>
      </c>
      <c r="N529" s="71">
        <v>1</v>
      </c>
      <c r="O529" s="71">
        <v>0</v>
      </c>
      <c r="P529" s="71">
        <v>33</v>
      </c>
      <c r="Q529" s="71">
        <v>37</v>
      </c>
      <c r="R529" s="71">
        <v>104</v>
      </c>
      <c r="S529" s="71" t="s">
        <v>948</v>
      </c>
      <c r="T529" s="73">
        <v>42465</v>
      </c>
      <c r="U529" s="71" t="s">
        <v>3687</v>
      </c>
      <c r="V529" s="71" t="b">
        <v>0</v>
      </c>
    </row>
    <row r="530" spans="1:22" ht="17.25">
      <c r="A530" s="70">
        <v>364</v>
      </c>
      <c r="B530" s="70" t="s">
        <v>2581</v>
      </c>
      <c r="C530" s="70" t="s">
        <v>4658</v>
      </c>
      <c r="D530" s="70" t="s">
        <v>2580</v>
      </c>
      <c r="E530" s="70" t="s">
        <v>953</v>
      </c>
      <c r="F530" s="71">
        <v>12</v>
      </c>
      <c r="G530" s="71">
        <v>298</v>
      </c>
      <c r="H530" s="72">
        <v>0.12013888888888889</v>
      </c>
      <c r="I530" s="71" t="b">
        <v>0</v>
      </c>
      <c r="J530" s="71">
        <v>79</v>
      </c>
      <c r="K530" s="71">
        <v>62</v>
      </c>
      <c r="L530" s="71">
        <v>91</v>
      </c>
      <c r="M530" s="71">
        <v>5</v>
      </c>
      <c r="N530" s="71">
        <v>1</v>
      </c>
      <c r="O530" s="71">
        <v>0</v>
      </c>
      <c r="P530" s="71">
        <v>33</v>
      </c>
      <c r="Q530" s="71">
        <v>37</v>
      </c>
      <c r="R530" s="71">
        <v>104</v>
      </c>
      <c r="S530" s="71" t="s">
        <v>948</v>
      </c>
      <c r="T530" s="73">
        <v>42465</v>
      </c>
      <c r="U530" s="71" t="s">
        <v>3687</v>
      </c>
      <c r="V530" s="71" t="b">
        <v>0</v>
      </c>
    </row>
    <row r="531" spans="1:22" ht="17.25">
      <c r="A531" s="70">
        <v>364</v>
      </c>
      <c r="B531" s="70" t="s">
        <v>2581</v>
      </c>
      <c r="C531" s="70" t="s">
        <v>4476</v>
      </c>
      <c r="D531" s="70" t="s">
        <v>2580</v>
      </c>
      <c r="E531" s="70" t="s">
        <v>953</v>
      </c>
      <c r="F531" s="71">
        <v>12</v>
      </c>
      <c r="G531" s="71">
        <v>298</v>
      </c>
      <c r="H531" s="72">
        <v>0.12013888888888889</v>
      </c>
      <c r="I531" s="71" t="b">
        <v>0</v>
      </c>
      <c r="J531" s="71">
        <v>79</v>
      </c>
      <c r="K531" s="71">
        <v>62</v>
      </c>
      <c r="L531" s="71">
        <v>91</v>
      </c>
      <c r="M531" s="71">
        <v>5</v>
      </c>
      <c r="N531" s="71">
        <v>1</v>
      </c>
      <c r="O531" s="71">
        <v>0</v>
      </c>
      <c r="P531" s="71">
        <v>33</v>
      </c>
      <c r="Q531" s="71">
        <v>37</v>
      </c>
      <c r="R531" s="71">
        <v>104</v>
      </c>
      <c r="S531" s="71" t="s">
        <v>948</v>
      </c>
      <c r="T531" s="73">
        <v>42465</v>
      </c>
      <c r="U531" s="71" t="s">
        <v>3687</v>
      </c>
      <c r="V531" s="71" t="b">
        <v>0</v>
      </c>
    </row>
    <row r="532" spans="1:22" ht="17.25">
      <c r="A532" s="70">
        <v>365</v>
      </c>
      <c r="B532" s="70" t="s">
        <v>2579</v>
      </c>
      <c r="C532" s="70" t="s">
        <v>2578</v>
      </c>
      <c r="D532" s="70" t="s">
        <v>2577</v>
      </c>
      <c r="E532" s="70" t="s">
        <v>2576</v>
      </c>
      <c r="F532" s="71">
        <v>99</v>
      </c>
      <c r="G532" s="71">
        <v>21</v>
      </c>
      <c r="H532" s="72">
        <v>0.16805555555555557</v>
      </c>
      <c r="I532" s="71" t="b">
        <v>0</v>
      </c>
      <c r="J532" s="71">
        <v>48</v>
      </c>
      <c r="K532" s="71">
        <v>58</v>
      </c>
      <c r="L532" s="71">
        <v>85</v>
      </c>
      <c r="M532" s="71">
        <v>3</v>
      </c>
      <c r="N532" s="71">
        <v>11</v>
      </c>
      <c r="O532" s="71">
        <v>56</v>
      </c>
      <c r="P532" s="71">
        <v>13</v>
      </c>
      <c r="Q532" s="71">
        <v>30</v>
      </c>
      <c r="R532" s="71">
        <v>97</v>
      </c>
      <c r="S532" s="71" t="s">
        <v>74</v>
      </c>
      <c r="T532" s="73">
        <v>45457</v>
      </c>
      <c r="U532" s="71" t="s">
        <v>3688</v>
      </c>
      <c r="V532" s="71" t="b">
        <v>0</v>
      </c>
    </row>
    <row r="533" spans="1:22" ht="17.25">
      <c r="A533" s="70">
        <v>366</v>
      </c>
      <c r="B533" s="70" t="s">
        <v>2575</v>
      </c>
      <c r="C533" s="70" t="s">
        <v>648</v>
      </c>
      <c r="D533" s="70" t="s">
        <v>2574</v>
      </c>
      <c r="E533" s="70" t="s">
        <v>35</v>
      </c>
      <c r="F533" s="71">
        <v>59</v>
      </c>
      <c r="G533" s="71">
        <v>137</v>
      </c>
      <c r="H533" s="72">
        <v>0.14930555555555555</v>
      </c>
      <c r="I533" s="71" t="b">
        <v>0</v>
      </c>
      <c r="J533" s="71">
        <v>74</v>
      </c>
      <c r="K533" s="71">
        <v>77</v>
      </c>
      <c r="L533" s="71">
        <v>93</v>
      </c>
      <c r="M533" s="71">
        <v>4</v>
      </c>
      <c r="N533" s="71">
        <v>2</v>
      </c>
      <c r="O533" s="71">
        <v>0</v>
      </c>
      <c r="P533" s="71">
        <v>11</v>
      </c>
      <c r="Q533" s="71">
        <v>60</v>
      </c>
      <c r="R533" s="71">
        <v>128</v>
      </c>
      <c r="S533" s="71" t="s">
        <v>274</v>
      </c>
      <c r="T533" s="73">
        <v>40808</v>
      </c>
      <c r="U533" s="71" t="s">
        <v>3675</v>
      </c>
      <c r="V533" s="71" t="b">
        <v>0</v>
      </c>
    </row>
    <row r="534" spans="1:22" ht="17.25">
      <c r="A534" s="70">
        <v>366</v>
      </c>
      <c r="B534" s="70" t="s">
        <v>2575</v>
      </c>
      <c r="C534" s="70" t="s">
        <v>37</v>
      </c>
      <c r="D534" s="70" t="s">
        <v>2574</v>
      </c>
      <c r="E534" s="70" t="s">
        <v>35</v>
      </c>
      <c r="F534" s="71">
        <v>59</v>
      </c>
      <c r="G534" s="71">
        <v>137</v>
      </c>
      <c r="H534" s="72">
        <v>0.14930555555555555</v>
      </c>
      <c r="I534" s="71" t="b">
        <v>0</v>
      </c>
      <c r="J534" s="71">
        <v>74</v>
      </c>
      <c r="K534" s="71">
        <v>77</v>
      </c>
      <c r="L534" s="71">
        <v>93</v>
      </c>
      <c r="M534" s="71">
        <v>4</v>
      </c>
      <c r="N534" s="71">
        <v>2</v>
      </c>
      <c r="O534" s="71">
        <v>0</v>
      </c>
      <c r="P534" s="71">
        <v>11</v>
      </c>
      <c r="Q534" s="71">
        <v>60</v>
      </c>
      <c r="R534" s="71">
        <v>128</v>
      </c>
      <c r="S534" s="71" t="s">
        <v>274</v>
      </c>
      <c r="T534" s="73">
        <v>40808</v>
      </c>
      <c r="U534" s="71" t="s">
        <v>3675</v>
      </c>
      <c r="V534" s="71" t="b">
        <v>0</v>
      </c>
    </row>
    <row r="535" spans="1:22" ht="17.25">
      <c r="A535" s="70">
        <v>367</v>
      </c>
      <c r="B535" s="70" t="s">
        <v>2573</v>
      </c>
      <c r="C535" s="70" t="s">
        <v>598</v>
      </c>
      <c r="D535" s="70" t="s">
        <v>597</v>
      </c>
      <c r="E535" s="70" t="s">
        <v>104</v>
      </c>
      <c r="F535" s="71">
        <v>4</v>
      </c>
      <c r="G535" s="71">
        <v>28</v>
      </c>
      <c r="H535" s="72">
        <v>0.15763888888888888</v>
      </c>
      <c r="I535" s="71" t="b">
        <v>0</v>
      </c>
      <c r="J535" s="71">
        <v>69</v>
      </c>
      <c r="K535" s="71">
        <v>80</v>
      </c>
      <c r="L535" s="71">
        <v>93</v>
      </c>
      <c r="M535" s="71">
        <v>4</v>
      </c>
      <c r="N535" s="71">
        <v>0</v>
      </c>
      <c r="O535" s="71">
        <v>0</v>
      </c>
      <c r="P535" s="71">
        <v>16</v>
      </c>
      <c r="Q535" s="71">
        <v>88</v>
      </c>
      <c r="R535" s="71">
        <v>134</v>
      </c>
      <c r="S535" s="71" t="s">
        <v>96</v>
      </c>
      <c r="T535" s="73">
        <v>40414</v>
      </c>
      <c r="U535" s="71" t="s">
        <v>3689</v>
      </c>
      <c r="V535" s="71" t="b">
        <v>0</v>
      </c>
    </row>
    <row r="536" spans="1:22" ht="17.25">
      <c r="A536" s="70">
        <v>368</v>
      </c>
      <c r="B536" s="70" t="s">
        <v>2572</v>
      </c>
      <c r="C536" s="70" t="s">
        <v>2571</v>
      </c>
      <c r="D536" s="70" t="s">
        <v>2570</v>
      </c>
      <c r="E536" s="70" t="s">
        <v>2569</v>
      </c>
      <c r="F536" s="71">
        <v>176</v>
      </c>
      <c r="G536" s="71">
        <v>1</v>
      </c>
      <c r="H536" s="72">
        <v>0.13402777777777777</v>
      </c>
      <c r="I536" s="71" t="b">
        <v>0</v>
      </c>
      <c r="J536" s="71">
        <v>78</v>
      </c>
      <c r="K536" s="71">
        <v>58</v>
      </c>
      <c r="L536" s="71">
        <v>89</v>
      </c>
      <c r="M536" s="71">
        <v>4</v>
      </c>
      <c r="N536" s="71">
        <v>1</v>
      </c>
      <c r="O536" s="71">
        <v>0</v>
      </c>
      <c r="P536" s="71">
        <v>11</v>
      </c>
      <c r="Q536" s="71">
        <v>66</v>
      </c>
      <c r="R536" s="71">
        <v>120</v>
      </c>
      <c r="S536" s="71" t="s">
        <v>96</v>
      </c>
      <c r="T536" s="73">
        <v>40806</v>
      </c>
      <c r="U536" s="71" t="s">
        <v>3690</v>
      </c>
      <c r="V536" s="71" t="b">
        <v>0</v>
      </c>
    </row>
    <row r="537" spans="1:22" ht="17.25">
      <c r="A537" s="70">
        <v>369</v>
      </c>
      <c r="B537" s="70" t="s">
        <v>2568</v>
      </c>
      <c r="C537" s="70" t="s">
        <v>511</v>
      </c>
      <c r="D537" s="70" t="s">
        <v>2567</v>
      </c>
      <c r="E537" s="70" t="s">
        <v>124</v>
      </c>
      <c r="F537" s="71">
        <v>4</v>
      </c>
      <c r="G537" s="71">
        <v>20</v>
      </c>
      <c r="H537" s="72" t="s">
        <v>4320</v>
      </c>
      <c r="I537" s="71" t="b">
        <v>1</v>
      </c>
      <c r="J537" s="71">
        <v>81</v>
      </c>
      <c r="K537" s="71">
        <v>75</v>
      </c>
      <c r="L537" s="71">
        <v>75</v>
      </c>
      <c r="M537" s="71">
        <v>9</v>
      </c>
      <c r="N537" s="71">
        <v>11</v>
      </c>
      <c r="O537" s="71">
        <v>0</v>
      </c>
      <c r="P537" s="71">
        <v>14</v>
      </c>
      <c r="Q537" s="71">
        <v>80</v>
      </c>
      <c r="R537" s="71">
        <v>124</v>
      </c>
      <c r="S537" s="71" t="s">
        <v>115</v>
      </c>
      <c r="T537" s="73" t="s">
        <v>4341</v>
      </c>
      <c r="U537" s="71" t="s">
        <v>3691</v>
      </c>
      <c r="V537" s="71" t="b">
        <v>0</v>
      </c>
    </row>
    <row r="538" spans="1:22" ht="17.25">
      <c r="A538" s="70">
        <v>370</v>
      </c>
      <c r="B538" s="70" t="s">
        <v>2566</v>
      </c>
      <c r="C538" s="70" t="s">
        <v>430</v>
      </c>
      <c r="D538" s="70" t="s">
        <v>1810</v>
      </c>
      <c r="E538" s="70" t="s">
        <v>75</v>
      </c>
      <c r="F538" s="71">
        <v>1</v>
      </c>
      <c r="G538" s="71">
        <v>8</v>
      </c>
      <c r="H538" s="72" t="s">
        <v>4322</v>
      </c>
      <c r="I538" s="71" t="b">
        <v>0</v>
      </c>
      <c r="J538" s="71">
        <v>66</v>
      </c>
      <c r="K538" s="71">
        <v>49</v>
      </c>
      <c r="L538" s="71">
        <v>72</v>
      </c>
      <c r="M538" s="71">
        <v>5</v>
      </c>
      <c r="N538" s="71">
        <v>47</v>
      </c>
      <c r="O538" s="71">
        <v>0</v>
      </c>
      <c r="P538" s="71">
        <v>11</v>
      </c>
      <c r="Q538" s="71">
        <v>42</v>
      </c>
      <c r="R538" s="71">
        <v>100</v>
      </c>
      <c r="S538" s="71" t="s">
        <v>96</v>
      </c>
      <c r="T538" s="73" t="s">
        <v>4328</v>
      </c>
      <c r="U538" s="71" t="s">
        <v>3692</v>
      </c>
      <c r="V538" s="71" t="b">
        <v>0</v>
      </c>
    </row>
    <row r="539" spans="1:22" ht="17.25">
      <c r="A539" s="70">
        <v>371</v>
      </c>
      <c r="B539" s="70" t="s">
        <v>2565</v>
      </c>
      <c r="C539" s="70" t="s">
        <v>32</v>
      </c>
      <c r="D539" s="70" t="s">
        <v>2564</v>
      </c>
      <c r="E539" s="70" t="s">
        <v>30</v>
      </c>
      <c r="F539" s="71">
        <v>23</v>
      </c>
      <c r="G539" s="71">
        <v>31</v>
      </c>
      <c r="H539" s="72">
        <v>0.14722222222222223</v>
      </c>
      <c r="I539" s="71" t="b">
        <v>1</v>
      </c>
      <c r="J539" s="71">
        <v>63</v>
      </c>
      <c r="K539" s="71">
        <v>72</v>
      </c>
      <c r="L539" s="71">
        <v>93</v>
      </c>
      <c r="M539" s="71">
        <v>4</v>
      </c>
      <c r="N539" s="71">
        <v>5</v>
      </c>
      <c r="O539" s="71">
        <v>0</v>
      </c>
      <c r="P539" s="71">
        <v>20</v>
      </c>
      <c r="Q539" s="71">
        <v>64</v>
      </c>
      <c r="R539" s="71">
        <v>131</v>
      </c>
      <c r="S539" s="71" t="s">
        <v>96</v>
      </c>
      <c r="T539" s="73">
        <v>45527</v>
      </c>
      <c r="U539" s="71" t="s">
        <v>3621</v>
      </c>
      <c r="V539" s="71" t="b">
        <v>0</v>
      </c>
    </row>
    <row r="540" spans="1:22" ht="17.25">
      <c r="A540" s="70">
        <v>372</v>
      </c>
      <c r="B540" s="70" t="s">
        <v>2563</v>
      </c>
      <c r="C540" s="70" t="s">
        <v>32</v>
      </c>
      <c r="D540" s="70" t="s">
        <v>2562</v>
      </c>
      <c r="E540" s="70" t="s">
        <v>30</v>
      </c>
      <c r="F540" s="71">
        <v>37</v>
      </c>
      <c r="G540" s="71">
        <v>2</v>
      </c>
      <c r="H540" s="72" t="s">
        <v>4315</v>
      </c>
      <c r="I540" s="71" t="b">
        <v>0</v>
      </c>
      <c r="J540" s="71">
        <v>73</v>
      </c>
      <c r="K540" s="71">
        <v>66</v>
      </c>
      <c r="L540" s="71">
        <v>73</v>
      </c>
      <c r="M540" s="71">
        <v>6</v>
      </c>
      <c r="N540" s="71">
        <v>20</v>
      </c>
      <c r="O540" s="71">
        <v>0</v>
      </c>
      <c r="P540" s="71">
        <v>11</v>
      </c>
      <c r="Q540" s="71">
        <v>65</v>
      </c>
      <c r="R540" s="71">
        <v>105</v>
      </c>
      <c r="S540" s="71" t="s">
        <v>96</v>
      </c>
      <c r="T540" s="73" t="s">
        <v>4372</v>
      </c>
      <c r="U540" s="71" t="s">
        <v>3507</v>
      </c>
      <c r="V540" s="71" t="b">
        <v>0</v>
      </c>
    </row>
    <row r="541" spans="1:22" ht="17.25">
      <c r="A541" s="70">
        <v>373</v>
      </c>
      <c r="B541" s="70" t="s">
        <v>2561</v>
      </c>
      <c r="C541" s="70" t="s">
        <v>2553</v>
      </c>
      <c r="D541" s="70" t="s">
        <v>2552</v>
      </c>
      <c r="E541" s="70" t="s">
        <v>2560</v>
      </c>
      <c r="F541" s="71">
        <v>7</v>
      </c>
      <c r="G541" s="71">
        <v>111</v>
      </c>
      <c r="H541" s="72">
        <v>0.13333333333333333</v>
      </c>
      <c r="I541" s="71" t="b">
        <v>0</v>
      </c>
      <c r="J541" s="71">
        <v>49</v>
      </c>
      <c r="K541" s="71">
        <v>41</v>
      </c>
      <c r="L541" s="71">
        <v>83</v>
      </c>
      <c r="M541" s="71">
        <v>3</v>
      </c>
      <c r="N541" s="71">
        <v>68</v>
      </c>
      <c r="O541" s="71">
        <v>0</v>
      </c>
      <c r="P541" s="71">
        <v>19</v>
      </c>
      <c r="Q541" s="71">
        <v>27</v>
      </c>
      <c r="R541" s="71">
        <v>95</v>
      </c>
      <c r="S541" s="71" t="s">
        <v>74</v>
      </c>
      <c r="T541" s="73">
        <v>45436</v>
      </c>
      <c r="U541" s="71" t="s">
        <v>3693</v>
      </c>
      <c r="V541" s="71" t="b">
        <v>0</v>
      </c>
    </row>
    <row r="542" spans="1:22" ht="17.25">
      <c r="A542" s="70">
        <v>374</v>
      </c>
      <c r="B542" s="70" t="s">
        <v>2559</v>
      </c>
      <c r="C542" s="70" t="s">
        <v>4478</v>
      </c>
      <c r="D542" s="70" t="s">
        <v>2558</v>
      </c>
      <c r="E542" s="70" t="s">
        <v>65</v>
      </c>
      <c r="F542" s="71">
        <v>72</v>
      </c>
      <c r="G542" s="71">
        <v>1</v>
      </c>
      <c r="H542" s="72">
        <v>0.13750000000000001</v>
      </c>
      <c r="I542" s="71" t="b">
        <v>1</v>
      </c>
      <c r="J542" s="71">
        <v>82</v>
      </c>
      <c r="K542" s="71">
        <v>65</v>
      </c>
      <c r="L542" s="71">
        <v>93</v>
      </c>
      <c r="M542" s="71">
        <v>5</v>
      </c>
      <c r="N542" s="71">
        <v>0</v>
      </c>
      <c r="O542" s="71">
        <v>0</v>
      </c>
      <c r="P542" s="71">
        <v>20</v>
      </c>
      <c r="Q542" s="71">
        <v>12</v>
      </c>
      <c r="R542" s="71">
        <v>120</v>
      </c>
      <c r="S542" s="71" t="s">
        <v>48</v>
      </c>
      <c r="T542" s="73">
        <v>45730</v>
      </c>
      <c r="U542" s="71" t="s">
        <v>3386</v>
      </c>
      <c r="V542" s="71" t="b">
        <v>0</v>
      </c>
    </row>
    <row r="543" spans="1:22" ht="17.25">
      <c r="A543" s="70">
        <v>374</v>
      </c>
      <c r="B543" s="70" t="s">
        <v>2559</v>
      </c>
      <c r="C543" s="70" t="s">
        <v>67</v>
      </c>
      <c r="D543" s="70" t="s">
        <v>2558</v>
      </c>
      <c r="E543" s="70" t="s">
        <v>65</v>
      </c>
      <c r="F543" s="71">
        <v>72</v>
      </c>
      <c r="G543" s="71">
        <v>1</v>
      </c>
      <c r="H543" s="72">
        <v>0.13750000000000001</v>
      </c>
      <c r="I543" s="71" t="b">
        <v>1</v>
      </c>
      <c r="J543" s="71">
        <v>82</v>
      </c>
      <c r="K543" s="71">
        <v>65</v>
      </c>
      <c r="L543" s="71">
        <v>93</v>
      </c>
      <c r="M543" s="71">
        <v>5</v>
      </c>
      <c r="N543" s="71">
        <v>0</v>
      </c>
      <c r="O543" s="71">
        <v>0</v>
      </c>
      <c r="P543" s="71">
        <v>20</v>
      </c>
      <c r="Q543" s="71">
        <v>12</v>
      </c>
      <c r="R543" s="71">
        <v>120</v>
      </c>
      <c r="S543" s="71" t="s">
        <v>48</v>
      </c>
      <c r="T543" s="73">
        <v>45730</v>
      </c>
      <c r="U543" s="71" t="s">
        <v>3386</v>
      </c>
      <c r="V543" s="71" t="b">
        <v>0</v>
      </c>
    </row>
    <row r="544" spans="1:22" ht="17.25">
      <c r="A544" s="70">
        <v>374</v>
      </c>
      <c r="B544" s="70" t="s">
        <v>2559</v>
      </c>
      <c r="C544" s="70" t="s">
        <v>51</v>
      </c>
      <c r="D544" s="70" t="s">
        <v>2558</v>
      </c>
      <c r="E544" s="70" t="s">
        <v>65</v>
      </c>
      <c r="F544" s="71">
        <v>72</v>
      </c>
      <c r="G544" s="71">
        <v>1</v>
      </c>
      <c r="H544" s="72">
        <v>0.13750000000000001</v>
      </c>
      <c r="I544" s="71" t="b">
        <v>1</v>
      </c>
      <c r="J544" s="71">
        <v>82</v>
      </c>
      <c r="K544" s="71">
        <v>65</v>
      </c>
      <c r="L544" s="71">
        <v>93</v>
      </c>
      <c r="M544" s="71">
        <v>5</v>
      </c>
      <c r="N544" s="71">
        <v>0</v>
      </c>
      <c r="O544" s="71">
        <v>0</v>
      </c>
      <c r="P544" s="71">
        <v>20</v>
      </c>
      <c r="Q544" s="71">
        <v>12</v>
      </c>
      <c r="R544" s="71">
        <v>120</v>
      </c>
      <c r="S544" s="71" t="s">
        <v>48</v>
      </c>
      <c r="T544" s="73">
        <v>45730</v>
      </c>
      <c r="U544" s="71" t="s">
        <v>3386</v>
      </c>
      <c r="V544" s="71" t="b">
        <v>0</v>
      </c>
    </row>
    <row r="545" spans="1:22" ht="17.25">
      <c r="A545" s="70">
        <v>375</v>
      </c>
      <c r="B545" s="70" t="s">
        <v>2557</v>
      </c>
      <c r="C545" s="70" t="s">
        <v>2556</v>
      </c>
      <c r="D545" s="70" t="s">
        <v>2555</v>
      </c>
      <c r="E545" s="70" t="s">
        <v>75</v>
      </c>
      <c r="F545" s="71">
        <v>1</v>
      </c>
      <c r="G545" s="71">
        <v>174</v>
      </c>
      <c r="H545" s="72">
        <v>0.14930555555555555</v>
      </c>
      <c r="I545" s="71" t="b">
        <v>0</v>
      </c>
      <c r="J545" s="71">
        <v>70</v>
      </c>
      <c r="K545" s="71">
        <v>76</v>
      </c>
      <c r="L545" s="71">
        <v>94</v>
      </c>
      <c r="M545" s="71">
        <v>4</v>
      </c>
      <c r="N545" s="71">
        <v>19</v>
      </c>
      <c r="O545" s="71">
        <v>0</v>
      </c>
      <c r="P545" s="71">
        <v>9</v>
      </c>
      <c r="Q545" s="71">
        <v>55</v>
      </c>
      <c r="R545" s="71">
        <v>120</v>
      </c>
      <c r="S545" s="71" t="s">
        <v>96</v>
      </c>
      <c r="T545" s="73">
        <v>43714</v>
      </c>
      <c r="U545" s="71" t="s">
        <v>3452</v>
      </c>
      <c r="V545" s="71" t="b">
        <v>0</v>
      </c>
    </row>
    <row r="546" spans="1:22" ht="17.25">
      <c r="A546" s="70">
        <v>376</v>
      </c>
      <c r="B546" s="70" t="s">
        <v>2554</v>
      </c>
      <c r="C546" s="70" t="s">
        <v>1276</v>
      </c>
      <c r="D546" s="70" t="s">
        <v>2272</v>
      </c>
      <c r="E546" s="70" t="s">
        <v>1274</v>
      </c>
      <c r="F546" s="71">
        <v>43</v>
      </c>
      <c r="G546" s="71">
        <v>8</v>
      </c>
      <c r="H546" s="72">
        <v>0.13750000000000001</v>
      </c>
      <c r="I546" s="71" t="b">
        <v>0</v>
      </c>
      <c r="J546" s="71">
        <v>72</v>
      </c>
      <c r="K546" s="71">
        <v>72</v>
      </c>
      <c r="L546" s="71">
        <v>79</v>
      </c>
      <c r="M546" s="71">
        <v>6</v>
      </c>
      <c r="N546" s="71">
        <v>22</v>
      </c>
      <c r="O546" s="71">
        <v>0</v>
      </c>
      <c r="P546" s="71">
        <v>11</v>
      </c>
      <c r="Q546" s="71">
        <v>58</v>
      </c>
      <c r="R546" s="71">
        <v>105</v>
      </c>
      <c r="S546" s="71" t="s">
        <v>96</v>
      </c>
      <c r="T546" s="73">
        <v>45751</v>
      </c>
      <c r="U546" s="71" t="s">
        <v>3694</v>
      </c>
      <c r="V546" s="71" t="b">
        <v>0</v>
      </c>
    </row>
    <row r="547" spans="1:22" ht="17.25">
      <c r="A547" s="70">
        <v>378</v>
      </c>
      <c r="B547" s="70" t="s">
        <v>2551</v>
      </c>
      <c r="C547" s="70" t="s">
        <v>2550</v>
      </c>
      <c r="D547" s="70" t="s">
        <v>2549</v>
      </c>
      <c r="E547" s="70" t="s">
        <v>2548</v>
      </c>
      <c r="F547" s="71">
        <v>23</v>
      </c>
      <c r="G547" s="71">
        <v>8</v>
      </c>
      <c r="H547" s="72" t="s">
        <v>4315</v>
      </c>
      <c r="I547" s="71" t="b">
        <v>0</v>
      </c>
      <c r="J547" s="71">
        <v>73</v>
      </c>
      <c r="K547" s="71">
        <v>60</v>
      </c>
      <c r="L547" s="71">
        <v>72</v>
      </c>
      <c r="M547" s="71">
        <v>5</v>
      </c>
      <c r="N547" s="71">
        <v>38</v>
      </c>
      <c r="O547" s="71">
        <v>1</v>
      </c>
      <c r="P547" s="71">
        <v>11</v>
      </c>
      <c r="Q547" s="71">
        <v>65</v>
      </c>
      <c r="R547" s="71">
        <v>108</v>
      </c>
      <c r="S547" s="71" t="s">
        <v>74</v>
      </c>
      <c r="T547" s="73" t="s">
        <v>4386</v>
      </c>
      <c r="U547" s="71" t="s">
        <v>3695</v>
      </c>
      <c r="V547" s="71" t="b">
        <v>0</v>
      </c>
    </row>
    <row r="548" spans="1:22" ht="17.25">
      <c r="A548" s="70">
        <v>379</v>
      </c>
      <c r="B548" s="70" t="s">
        <v>2547</v>
      </c>
      <c r="C548" s="70" t="s">
        <v>4659</v>
      </c>
      <c r="D548" s="70" t="s">
        <v>2546</v>
      </c>
      <c r="E548" s="70" t="s">
        <v>2545</v>
      </c>
      <c r="F548" s="71">
        <v>113</v>
      </c>
      <c r="G548" s="71">
        <v>5</v>
      </c>
      <c r="H548" s="72" t="s">
        <v>4317</v>
      </c>
      <c r="I548" s="71" t="b">
        <v>0</v>
      </c>
      <c r="J548" s="71">
        <v>80</v>
      </c>
      <c r="K548" s="71">
        <v>64</v>
      </c>
      <c r="L548" s="71">
        <v>73</v>
      </c>
      <c r="M548" s="71">
        <v>7</v>
      </c>
      <c r="N548" s="71">
        <v>18</v>
      </c>
      <c r="O548" s="71">
        <v>0</v>
      </c>
      <c r="P548" s="71">
        <v>12</v>
      </c>
      <c r="Q548" s="71">
        <v>70</v>
      </c>
      <c r="R548" s="71">
        <v>112</v>
      </c>
      <c r="S548" s="71" t="s">
        <v>1012</v>
      </c>
      <c r="T548" s="73" t="s">
        <v>4375</v>
      </c>
      <c r="U548" s="71" t="s">
        <v>3696</v>
      </c>
      <c r="V548" s="71" t="b">
        <v>0</v>
      </c>
    </row>
    <row r="549" spans="1:22" ht="17.25">
      <c r="A549" s="70">
        <v>379</v>
      </c>
      <c r="B549" s="70" t="s">
        <v>2547</v>
      </c>
      <c r="C549" s="70" t="s">
        <v>1015</v>
      </c>
      <c r="D549" s="70" t="s">
        <v>2546</v>
      </c>
      <c r="E549" s="70" t="s">
        <v>2545</v>
      </c>
      <c r="F549" s="71">
        <v>113</v>
      </c>
      <c r="G549" s="71">
        <v>5</v>
      </c>
      <c r="H549" s="72" t="s">
        <v>4317</v>
      </c>
      <c r="I549" s="71" t="b">
        <v>0</v>
      </c>
      <c r="J549" s="71">
        <v>80</v>
      </c>
      <c r="K549" s="71">
        <v>64</v>
      </c>
      <c r="L549" s="71">
        <v>73</v>
      </c>
      <c r="M549" s="71">
        <v>7</v>
      </c>
      <c r="N549" s="71">
        <v>18</v>
      </c>
      <c r="O549" s="71">
        <v>0</v>
      </c>
      <c r="P549" s="71">
        <v>12</v>
      </c>
      <c r="Q549" s="71">
        <v>70</v>
      </c>
      <c r="R549" s="71">
        <v>112</v>
      </c>
      <c r="S549" s="71" t="s">
        <v>1012</v>
      </c>
      <c r="T549" s="73" t="s">
        <v>4375</v>
      </c>
      <c r="U549" s="71" t="s">
        <v>3696</v>
      </c>
      <c r="V549" s="71" t="b">
        <v>0</v>
      </c>
    </row>
    <row r="550" spans="1:22" ht="17.25">
      <c r="A550" s="70">
        <v>379</v>
      </c>
      <c r="B550" s="70" t="s">
        <v>2547</v>
      </c>
      <c r="C550" s="70" t="s">
        <v>2118</v>
      </c>
      <c r="D550" s="70" t="s">
        <v>2546</v>
      </c>
      <c r="E550" s="70" t="s">
        <v>2545</v>
      </c>
      <c r="F550" s="71">
        <v>113</v>
      </c>
      <c r="G550" s="71">
        <v>5</v>
      </c>
      <c r="H550" s="72" t="s">
        <v>4317</v>
      </c>
      <c r="I550" s="71" t="b">
        <v>0</v>
      </c>
      <c r="J550" s="71">
        <v>80</v>
      </c>
      <c r="K550" s="71">
        <v>64</v>
      </c>
      <c r="L550" s="71">
        <v>73</v>
      </c>
      <c r="M550" s="71">
        <v>7</v>
      </c>
      <c r="N550" s="71">
        <v>18</v>
      </c>
      <c r="O550" s="71">
        <v>0</v>
      </c>
      <c r="P550" s="71">
        <v>12</v>
      </c>
      <c r="Q550" s="71">
        <v>70</v>
      </c>
      <c r="R550" s="71">
        <v>112</v>
      </c>
      <c r="S550" s="71" t="s">
        <v>1012</v>
      </c>
      <c r="T550" s="73" t="s">
        <v>4375</v>
      </c>
      <c r="U550" s="71" t="s">
        <v>3696</v>
      </c>
      <c r="V550" s="71" t="b">
        <v>0</v>
      </c>
    </row>
    <row r="551" spans="1:22" ht="17.25">
      <c r="A551" s="70">
        <v>380</v>
      </c>
      <c r="B551" s="70" t="s">
        <v>2544</v>
      </c>
      <c r="C551" s="70" t="s">
        <v>2542</v>
      </c>
      <c r="D551" s="70" t="s">
        <v>2543</v>
      </c>
      <c r="E551" s="70" t="s">
        <v>2542</v>
      </c>
      <c r="F551" s="71">
        <v>56</v>
      </c>
      <c r="G551" s="71">
        <v>218</v>
      </c>
      <c r="H551" s="72">
        <v>0.17916666666666667</v>
      </c>
      <c r="I551" s="71" t="b">
        <v>0</v>
      </c>
      <c r="J551" s="71">
        <v>63</v>
      </c>
      <c r="K551" s="71">
        <v>93</v>
      </c>
      <c r="L551" s="71">
        <v>93</v>
      </c>
      <c r="M551" s="71">
        <v>8</v>
      </c>
      <c r="N551" s="71">
        <v>3</v>
      </c>
      <c r="O551" s="71">
        <v>0</v>
      </c>
      <c r="P551" s="71">
        <v>10</v>
      </c>
      <c r="Q551" s="71">
        <v>88</v>
      </c>
      <c r="R551" s="71">
        <v>146</v>
      </c>
      <c r="S551" s="71" t="s">
        <v>48</v>
      </c>
      <c r="T551" s="73">
        <v>40771</v>
      </c>
      <c r="U551" s="71" t="s">
        <v>3697</v>
      </c>
      <c r="V551" s="71" t="b">
        <v>0</v>
      </c>
    </row>
    <row r="552" spans="1:22" ht="17.25">
      <c r="A552" s="70">
        <v>380</v>
      </c>
      <c r="B552" s="70" t="s">
        <v>2544</v>
      </c>
      <c r="C552" s="70" t="s">
        <v>4661</v>
      </c>
      <c r="D552" s="70" t="s">
        <v>2543</v>
      </c>
      <c r="E552" s="70" t="s">
        <v>2542</v>
      </c>
      <c r="F552" s="71">
        <v>56</v>
      </c>
      <c r="G552" s="71">
        <v>218</v>
      </c>
      <c r="H552" s="72">
        <v>0.17916666666666667</v>
      </c>
      <c r="I552" s="71" t="b">
        <v>0</v>
      </c>
      <c r="J552" s="71">
        <v>63</v>
      </c>
      <c r="K552" s="71">
        <v>93</v>
      </c>
      <c r="L552" s="71">
        <v>93</v>
      </c>
      <c r="M552" s="71">
        <v>8</v>
      </c>
      <c r="N552" s="71">
        <v>3</v>
      </c>
      <c r="O552" s="71">
        <v>0</v>
      </c>
      <c r="P552" s="71">
        <v>10</v>
      </c>
      <c r="Q552" s="71">
        <v>88</v>
      </c>
      <c r="R552" s="71">
        <v>146</v>
      </c>
      <c r="S552" s="71" t="s">
        <v>48</v>
      </c>
      <c r="T552" s="73">
        <v>40771</v>
      </c>
      <c r="U552" s="71" t="s">
        <v>3697</v>
      </c>
      <c r="V552" s="71" t="b">
        <v>0</v>
      </c>
    </row>
    <row r="553" spans="1:22" ht="17.25">
      <c r="A553" s="70">
        <v>380</v>
      </c>
      <c r="B553" s="70" t="s">
        <v>2544</v>
      </c>
      <c r="C553" s="70" t="s">
        <v>4662</v>
      </c>
      <c r="D553" s="70" t="s">
        <v>2543</v>
      </c>
      <c r="E553" s="70" t="s">
        <v>2542</v>
      </c>
      <c r="F553" s="71">
        <v>56</v>
      </c>
      <c r="G553" s="71">
        <v>218</v>
      </c>
      <c r="H553" s="72">
        <v>0.17916666666666667</v>
      </c>
      <c r="I553" s="71" t="b">
        <v>0</v>
      </c>
      <c r="J553" s="71">
        <v>63</v>
      </c>
      <c r="K553" s="71">
        <v>93</v>
      </c>
      <c r="L553" s="71">
        <v>93</v>
      </c>
      <c r="M553" s="71">
        <v>8</v>
      </c>
      <c r="N553" s="71">
        <v>3</v>
      </c>
      <c r="O553" s="71">
        <v>0</v>
      </c>
      <c r="P553" s="71">
        <v>10</v>
      </c>
      <c r="Q553" s="71">
        <v>88</v>
      </c>
      <c r="R553" s="71">
        <v>146</v>
      </c>
      <c r="S553" s="71" t="s">
        <v>48</v>
      </c>
      <c r="T553" s="73">
        <v>40771</v>
      </c>
      <c r="U553" s="71" t="s">
        <v>3697</v>
      </c>
      <c r="V553" s="71" t="b">
        <v>0</v>
      </c>
    </row>
    <row r="554" spans="1:22" ht="17.25">
      <c r="A554" s="70">
        <v>380</v>
      </c>
      <c r="B554" s="70" t="s">
        <v>2544</v>
      </c>
      <c r="C554" s="70" t="s">
        <v>4660</v>
      </c>
      <c r="D554" s="70" t="s">
        <v>2543</v>
      </c>
      <c r="E554" s="70" t="s">
        <v>2542</v>
      </c>
      <c r="F554" s="71">
        <v>56</v>
      </c>
      <c r="G554" s="71">
        <v>218</v>
      </c>
      <c r="H554" s="72">
        <v>0.17916666666666667</v>
      </c>
      <c r="I554" s="71" t="b">
        <v>0</v>
      </c>
      <c r="J554" s="71">
        <v>63</v>
      </c>
      <c r="K554" s="71">
        <v>93</v>
      </c>
      <c r="L554" s="71">
        <v>93</v>
      </c>
      <c r="M554" s="71">
        <v>8</v>
      </c>
      <c r="N554" s="71">
        <v>3</v>
      </c>
      <c r="O554" s="71">
        <v>0</v>
      </c>
      <c r="P554" s="71">
        <v>10</v>
      </c>
      <c r="Q554" s="71">
        <v>88</v>
      </c>
      <c r="R554" s="71">
        <v>146</v>
      </c>
      <c r="S554" s="71" t="s">
        <v>48</v>
      </c>
      <c r="T554" s="73">
        <v>40771</v>
      </c>
      <c r="U554" s="71" t="s">
        <v>3697</v>
      </c>
      <c r="V554" s="71" t="b">
        <v>0</v>
      </c>
    </row>
    <row r="555" spans="1:22" ht="17.25">
      <c r="A555" s="70">
        <v>381</v>
      </c>
      <c r="B555" s="70" t="s">
        <v>2541</v>
      </c>
      <c r="C555" s="70" t="s">
        <v>2540</v>
      </c>
      <c r="D555" s="70" t="s">
        <v>2539</v>
      </c>
      <c r="E555" s="70" t="s">
        <v>44</v>
      </c>
      <c r="F555" s="71">
        <v>95</v>
      </c>
      <c r="G555" s="71">
        <v>132</v>
      </c>
      <c r="H555" s="72">
        <v>0.2048611111111111</v>
      </c>
      <c r="I555" s="71" t="b">
        <v>0</v>
      </c>
      <c r="J555" s="71">
        <v>67</v>
      </c>
      <c r="K555" s="71">
        <v>37</v>
      </c>
      <c r="L555" s="71">
        <v>70</v>
      </c>
      <c r="M555" s="71">
        <v>3</v>
      </c>
      <c r="N555" s="71">
        <v>26</v>
      </c>
      <c r="O555" s="71">
        <v>0</v>
      </c>
      <c r="P555" s="71">
        <v>5</v>
      </c>
      <c r="Q555" s="71">
        <v>73</v>
      </c>
      <c r="R555" s="71">
        <v>93</v>
      </c>
      <c r="S555" s="71" t="s">
        <v>966</v>
      </c>
      <c r="T555" s="73">
        <v>30225</v>
      </c>
      <c r="U555" s="71" t="s">
        <v>3698</v>
      </c>
      <c r="V555" s="71" t="b">
        <v>0</v>
      </c>
    </row>
    <row r="556" spans="1:22" ht="17.25">
      <c r="A556" s="70">
        <v>382</v>
      </c>
      <c r="B556" s="70" t="s">
        <v>2538</v>
      </c>
      <c r="C556" s="70" t="s">
        <v>2537</v>
      </c>
      <c r="D556" s="70" t="s">
        <v>2536</v>
      </c>
      <c r="E556" s="70" t="s">
        <v>2535</v>
      </c>
      <c r="F556" s="71">
        <v>74</v>
      </c>
      <c r="G556" s="71">
        <v>1</v>
      </c>
      <c r="H556" s="72" t="s">
        <v>4317</v>
      </c>
      <c r="I556" s="71" t="b">
        <v>1</v>
      </c>
      <c r="J556" s="71">
        <v>80</v>
      </c>
      <c r="K556" s="71">
        <v>70</v>
      </c>
      <c r="L556" s="71">
        <v>73</v>
      </c>
      <c r="M556" s="71">
        <v>15</v>
      </c>
      <c r="N556" s="71">
        <v>18</v>
      </c>
      <c r="O556" s="71">
        <v>0</v>
      </c>
      <c r="P556" s="71">
        <v>14</v>
      </c>
      <c r="Q556" s="71">
        <v>72</v>
      </c>
      <c r="R556" s="71">
        <v>98</v>
      </c>
      <c r="S556" s="71" t="s">
        <v>2534</v>
      </c>
      <c r="T556" s="73" t="s">
        <v>4392</v>
      </c>
      <c r="U556" s="71" t="s">
        <v>3699</v>
      </c>
      <c r="V556" s="71" t="b">
        <v>0</v>
      </c>
    </row>
    <row r="557" spans="1:22" ht="17.25">
      <c r="A557" s="70">
        <v>383</v>
      </c>
      <c r="B557" s="70" t="s">
        <v>2533</v>
      </c>
      <c r="C557" s="70" t="s">
        <v>2532</v>
      </c>
      <c r="D557" s="70" t="s">
        <v>2531</v>
      </c>
      <c r="E557" s="70" t="s">
        <v>2530</v>
      </c>
      <c r="F557" s="71">
        <v>177</v>
      </c>
      <c r="G557" s="71">
        <v>1</v>
      </c>
      <c r="H557" s="72" t="s">
        <v>4315</v>
      </c>
      <c r="I557" s="71" t="b">
        <v>1</v>
      </c>
      <c r="J557" s="71">
        <v>66</v>
      </c>
      <c r="K557" s="71">
        <v>58</v>
      </c>
      <c r="L557" s="71">
        <v>71</v>
      </c>
      <c r="M557" s="71">
        <v>6</v>
      </c>
      <c r="N557" s="71">
        <v>42</v>
      </c>
      <c r="O557" s="71">
        <v>0</v>
      </c>
      <c r="P557" s="71">
        <v>13</v>
      </c>
      <c r="Q557" s="71">
        <v>51</v>
      </c>
      <c r="R557" s="71">
        <v>100</v>
      </c>
      <c r="S557" s="71" t="s">
        <v>56</v>
      </c>
      <c r="T557" s="73" t="s">
        <v>4337</v>
      </c>
      <c r="U557" s="71" t="s">
        <v>3700</v>
      </c>
      <c r="V557" s="71" t="b">
        <v>0</v>
      </c>
    </row>
    <row r="558" spans="1:22" ht="17.25">
      <c r="A558" s="70">
        <v>384</v>
      </c>
      <c r="B558" s="70" t="s">
        <v>2529</v>
      </c>
      <c r="C558" s="70" t="s">
        <v>1433</v>
      </c>
      <c r="D558" s="70" t="s">
        <v>1695</v>
      </c>
      <c r="E558" s="70" t="s">
        <v>1431</v>
      </c>
      <c r="F558" s="71">
        <v>146</v>
      </c>
      <c r="G558" s="71">
        <v>2</v>
      </c>
      <c r="H558" s="72">
        <v>0.11666666666666667</v>
      </c>
      <c r="I558" s="71" t="b">
        <v>0</v>
      </c>
      <c r="J558" s="71">
        <v>76</v>
      </c>
      <c r="K558" s="71">
        <v>63</v>
      </c>
      <c r="L558" s="71">
        <v>94</v>
      </c>
      <c r="M558" s="71">
        <v>6</v>
      </c>
      <c r="N558" s="71">
        <v>9</v>
      </c>
      <c r="O558" s="71">
        <v>0</v>
      </c>
      <c r="P558" s="71">
        <v>42</v>
      </c>
      <c r="Q558" s="71">
        <v>97</v>
      </c>
      <c r="R558" s="71">
        <v>128</v>
      </c>
      <c r="S558" s="71" t="s">
        <v>115</v>
      </c>
      <c r="T558" s="73">
        <v>45730</v>
      </c>
      <c r="U558" s="71" t="s">
        <v>3701</v>
      </c>
      <c r="V558" s="71" t="b">
        <v>0</v>
      </c>
    </row>
    <row r="559" spans="1:22" ht="17.25">
      <c r="A559" s="70">
        <v>385</v>
      </c>
      <c r="B559" s="70" t="s">
        <v>2528</v>
      </c>
      <c r="C559" s="70" t="s">
        <v>2527</v>
      </c>
      <c r="D559" s="70" t="s">
        <v>2526</v>
      </c>
      <c r="E559" s="70" t="s">
        <v>637</v>
      </c>
      <c r="F559" s="71">
        <v>188</v>
      </c>
      <c r="G559" s="71">
        <v>1</v>
      </c>
      <c r="H559" s="72">
        <v>0.13750000000000001</v>
      </c>
      <c r="I559" s="71" t="b">
        <v>0</v>
      </c>
      <c r="J559" s="71">
        <v>50</v>
      </c>
      <c r="K559" s="71">
        <v>60</v>
      </c>
      <c r="L559" s="71">
        <v>90</v>
      </c>
      <c r="M559" s="71">
        <v>5</v>
      </c>
      <c r="N559" s="71">
        <v>49</v>
      </c>
      <c r="O559" s="71">
        <v>0</v>
      </c>
      <c r="P559" s="71">
        <v>12</v>
      </c>
      <c r="Q559" s="71">
        <v>28</v>
      </c>
      <c r="R559" s="71">
        <v>146</v>
      </c>
      <c r="S559" s="71" t="s">
        <v>636</v>
      </c>
      <c r="T559" s="73">
        <v>45702</v>
      </c>
      <c r="U559" s="71" t="s">
        <v>3702</v>
      </c>
      <c r="V559" s="71" t="b">
        <v>0</v>
      </c>
    </row>
    <row r="560" spans="1:22" ht="17.25">
      <c r="A560" s="70">
        <v>386</v>
      </c>
      <c r="B560" s="70" t="s">
        <v>2525</v>
      </c>
      <c r="C560" s="70" t="s">
        <v>32</v>
      </c>
      <c r="D560" s="70" t="s">
        <v>2524</v>
      </c>
      <c r="E560" s="70" t="s">
        <v>30</v>
      </c>
      <c r="F560" s="71">
        <v>19</v>
      </c>
      <c r="G560" s="71">
        <v>7</v>
      </c>
      <c r="H560" s="72" t="s">
        <v>4315</v>
      </c>
      <c r="I560" s="71" t="b">
        <v>0</v>
      </c>
      <c r="J560" s="71">
        <v>65</v>
      </c>
      <c r="K560" s="71">
        <v>52</v>
      </c>
      <c r="L560" s="71">
        <v>71</v>
      </c>
      <c r="M560" s="71">
        <v>4</v>
      </c>
      <c r="N560" s="71">
        <v>45</v>
      </c>
      <c r="O560" s="71">
        <v>0</v>
      </c>
      <c r="P560" s="71">
        <v>13</v>
      </c>
      <c r="Q560" s="71">
        <v>48</v>
      </c>
      <c r="R560" s="71">
        <v>98</v>
      </c>
      <c r="S560" s="71" t="s">
        <v>96</v>
      </c>
      <c r="T560" s="73" t="s">
        <v>4372</v>
      </c>
      <c r="U560" s="71" t="s">
        <v>3703</v>
      </c>
      <c r="V560" s="71" t="b">
        <v>0</v>
      </c>
    </row>
    <row r="561" spans="1:22" ht="17.25">
      <c r="A561" s="70">
        <v>387</v>
      </c>
      <c r="B561" s="70" t="s">
        <v>2523</v>
      </c>
      <c r="C561" s="70" t="s">
        <v>2522</v>
      </c>
      <c r="D561" s="70" t="s">
        <v>2521</v>
      </c>
      <c r="E561" s="70" t="s">
        <v>1077</v>
      </c>
      <c r="F561" s="71">
        <v>71</v>
      </c>
      <c r="G561" s="71">
        <v>8</v>
      </c>
      <c r="H561" s="72">
        <v>0.10972222222222222</v>
      </c>
      <c r="I561" s="71" t="b">
        <v>0</v>
      </c>
      <c r="J561" s="71">
        <v>58</v>
      </c>
      <c r="K561" s="71">
        <v>55</v>
      </c>
      <c r="L561" s="71">
        <v>74</v>
      </c>
      <c r="M561" s="71">
        <v>4</v>
      </c>
      <c r="N561" s="71">
        <v>55</v>
      </c>
      <c r="O561" s="71">
        <v>0</v>
      </c>
      <c r="P561" s="71">
        <v>15</v>
      </c>
      <c r="Q561" s="71">
        <v>78</v>
      </c>
      <c r="R561" s="71">
        <v>125</v>
      </c>
      <c r="S561" s="71" t="s">
        <v>29</v>
      </c>
      <c r="T561" s="73">
        <v>17411</v>
      </c>
      <c r="U561" s="71" t="s">
        <v>3704</v>
      </c>
      <c r="V561" s="71" t="b">
        <v>1</v>
      </c>
    </row>
    <row r="562" spans="1:22" ht="17.25">
      <c r="A562" s="70">
        <v>388</v>
      </c>
      <c r="B562" s="70" t="s">
        <v>2520</v>
      </c>
      <c r="C562" s="70" t="s">
        <v>2519</v>
      </c>
      <c r="D562" s="70" t="s">
        <v>2518</v>
      </c>
      <c r="E562" s="70" t="s">
        <v>2517</v>
      </c>
      <c r="F562" s="71">
        <v>188</v>
      </c>
      <c r="G562" s="71">
        <v>3</v>
      </c>
      <c r="H562" s="72">
        <v>0.15833333333333333</v>
      </c>
      <c r="I562" s="71" t="b">
        <v>0</v>
      </c>
      <c r="J562" s="71">
        <v>47</v>
      </c>
      <c r="K562" s="71">
        <v>52</v>
      </c>
      <c r="L562" s="71">
        <v>88</v>
      </c>
      <c r="M562" s="71">
        <v>3</v>
      </c>
      <c r="N562" s="71">
        <v>79</v>
      </c>
      <c r="O562" s="71">
        <v>2</v>
      </c>
      <c r="P562" s="71">
        <v>9</v>
      </c>
      <c r="Q562" s="71">
        <v>30</v>
      </c>
      <c r="R562" s="71">
        <v>158</v>
      </c>
      <c r="S562" s="71" t="s">
        <v>74</v>
      </c>
      <c r="T562" s="73">
        <v>45765</v>
      </c>
      <c r="U562" s="71" t="s">
        <v>3705</v>
      </c>
      <c r="V562" s="71" t="b">
        <v>0</v>
      </c>
    </row>
    <row r="563" spans="1:22" ht="17.25">
      <c r="A563" s="70">
        <v>389</v>
      </c>
      <c r="B563" s="70" t="s">
        <v>2516</v>
      </c>
      <c r="C563" s="70" t="s">
        <v>4478</v>
      </c>
      <c r="D563" s="70" t="s">
        <v>2515</v>
      </c>
      <c r="E563" s="70" t="s">
        <v>49</v>
      </c>
      <c r="F563" s="71">
        <v>170</v>
      </c>
      <c r="G563" s="71">
        <v>1</v>
      </c>
      <c r="H563" s="72" t="s">
        <v>4322</v>
      </c>
      <c r="I563" s="71" t="b">
        <v>1</v>
      </c>
      <c r="J563" s="71">
        <v>84</v>
      </c>
      <c r="K563" s="71">
        <v>74</v>
      </c>
      <c r="L563" s="71">
        <v>74</v>
      </c>
      <c r="M563" s="71">
        <v>14</v>
      </c>
      <c r="N563" s="71">
        <v>12</v>
      </c>
      <c r="O563" s="71">
        <v>0</v>
      </c>
      <c r="P563" s="71">
        <v>19</v>
      </c>
      <c r="Q563" s="71">
        <v>52</v>
      </c>
      <c r="R563" s="71">
        <v>140</v>
      </c>
      <c r="S563" s="71" t="s">
        <v>48</v>
      </c>
      <c r="T563" s="73" t="s">
        <v>4385</v>
      </c>
      <c r="U563" s="71" t="s">
        <v>3706</v>
      </c>
      <c r="V563" s="71" t="b">
        <v>0</v>
      </c>
    </row>
    <row r="564" spans="1:22" ht="17.25">
      <c r="A564" s="70">
        <v>389</v>
      </c>
      <c r="B564" s="70" t="s">
        <v>2516</v>
      </c>
      <c r="C564" s="70" t="s">
        <v>67</v>
      </c>
      <c r="D564" s="70" t="s">
        <v>2515</v>
      </c>
      <c r="E564" s="70" t="s">
        <v>49</v>
      </c>
      <c r="F564" s="71">
        <v>170</v>
      </c>
      <c r="G564" s="71">
        <v>1</v>
      </c>
      <c r="H564" s="72" t="s">
        <v>4322</v>
      </c>
      <c r="I564" s="71" t="b">
        <v>1</v>
      </c>
      <c r="J564" s="71">
        <v>84</v>
      </c>
      <c r="K564" s="71">
        <v>74</v>
      </c>
      <c r="L564" s="71">
        <v>74</v>
      </c>
      <c r="M564" s="71">
        <v>14</v>
      </c>
      <c r="N564" s="71">
        <v>12</v>
      </c>
      <c r="O564" s="71">
        <v>0</v>
      </c>
      <c r="P564" s="71">
        <v>19</v>
      </c>
      <c r="Q564" s="71">
        <v>52</v>
      </c>
      <c r="R564" s="71">
        <v>140</v>
      </c>
      <c r="S564" s="71" t="s">
        <v>48</v>
      </c>
      <c r="T564" s="73" t="s">
        <v>4385</v>
      </c>
      <c r="U564" s="71" t="s">
        <v>3706</v>
      </c>
      <c r="V564" s="71" t="b">
        <v>0</v>
      </c>
    </row>
    <row r="565" spans="1:22" ht="17.25">
      <c r="A565" s="70">
        <v>389</v>
      </c>
      <c r="B565" s="70" t="s">
        <v>2516</v>
      </c>
      <c r="C565" s="70" t="s">
        <v>51</v>
      </c>
      <c r="D565" s="70" t="s">
        <v>2515</v>
      </c>
      <c r="E565" s="70" t="s">
        <v>49</v>
      </c>
      <c r="F565" s="71">
        <v>170</v>
      </c>
      <c r="G565" s="71">
        <v>1</v>
      </c>
      <c r="H565" s="72" t="s">
        <v>4322</v>
      </c>
      <c r="I565" s="71" t="b">
        <v>1</v>
      </c>
      <c r="J565" s="71">
        <v>84</v>
      </c>
      <c r="K565" s="71">
        <v>74</v>
      </c>
      <c r="L565" s="71">
        <v>74</v>
      </c>
      <c r="M565" s="71">
        <v>14</v>
      </c>
      <c r="N565" s="71">
        <v>12</v>
      </c>
      <c r="O565" s="71">
        <v>0</v>
      </c>
      <c r="P565" s="71">
        <v>19</v>
      </c>
      <c r="Q565" s="71">
        <v>52</v>
      </c>
      <c r="R565" s="71">
        <v>140</v>
      </c>
      <c r="S565" s="71" t="s">
        <v>48</v>
      </c>
      <c r="T565" s="73" t="s">
        <v>4385</v>
      </c>
      <c r="U565" s="71" t="s">
        <v>3706</v>
      </c>
      <c r="V565" s="71" t="b">
        <v>0</v>
      </c>
    </row>
    <row r="566" spans="1:22" ht="17.25">
      <c r="A566" s="70">
        <v>390</v>
      </c>
      <c r="B566" s="70" t="s">
        <v>2514</v>
      </c>
      <c r="C566" s="70" t="s">
        <v>4459</v>
      </c>
      <c r="D566" s="70" t="s">
        <v>2513</v>
      </c>
      <c r="E566" s="70" t="s">
        <v>2512</v>
      </c>
      <c r="F566" s="71">
        <v>13</v>
      </c>
      <c r="G566" s="71">
        <v>42</v>
      </c>
      <c r="H566" s="72">
        <v>0.14861111111111111</v>
      </c>
      <c r="I566" s="71" t="b">
        <v>0</v>
      </c>
      <c r="J566" s="71">
        <v>55</v>
      </c>
      <c r="K566" s="71">
        <v>55</v>
      </c>
      <c r="L566" s="71">
        <v>75</v>
      </c>
      <c r="M566" s="71">
        <v>4</v>
      </c>
      <c r="N566" s="71">
        <v>45</v>
      </c>
      <c r="O566" s="71">
        <v>0</v>
      </c>
      <c r="P566" s="71">
        <v>14</v>
      </c>
      <c r="Q566" s="71">
        <v>72</v>
      </c>
      <c r="R566" s="71">
        <v>120</v>
      </c>
      <c r="S566" s="71" t="s">
        <v>29</v>
      </c>
      <c r="T566" s="73">
        <v>26268</v>
      </c>
      <c r="U566" s="71" t="s">
        <v>3707</v>
      </c>
      <c r="V566" s="71" t="b">
        <v>1</v>
      </c>
    </row>
    <row r="567" spans="1:22" ht="17.25">
      <c r="A567" s="70">
        <v>390</v>
      </c>
      <c r="B567" s="70" t="s">
        <v>2514</v>
      </c>
      <c r="C567" s="70" t="s">
        <v>4663</v>
      </c>
      <c r="D567" s="70" t="s">
        <v>2513</v>
      </c>
      <c r="E567" s="70" t="s">
        <v>2512</v>
      </c>
      <c r="F567" s="71">
        <v>13</v>
      </c>
      <c r="G567" s="71">
        <v>42</v>
      </c>
      <c r="H567" s="72">
        <v>0.14861111111111111</v>
      </c>
      <c r="I567" s="71" t="b">
        <v>0</v>
      </c>
      <c r="J567" s="71">
        <v>55</v>
      </c>
      <c r="K567" s="71">
        <v>55</v>
      </c>
      <c r="L567" s="71">
        <v>75</v>
      </c>
      <c r="M567" s="71">
        <v>4</v>
      </c>
      <c r="N567" s="71">
        <v>45</v>
      </c>
      <c r="O567" s="71">
        <v>0</v>
      </c>
      <c r="P567" s="71">
        <v>14</v>
      </c>
      <c r="Q567" s="71">
        <v>72</v>
      </c>
      <c r="R567" s="71">
        <v>120</v>
      </c>
      <c r="S567" s="71" t="s">
        <v>29</v>
      </c>
      <c r="T567" s="73">
        <v>26268</v>
      </c>
      <c r="U567" s="71" t="s">
        <v>3707</v>
      </c>
      <c r="V567" s="71" t="b">
        <v>1</v>
      </c>
    </row>
    <row r="568" spans="1:22" ht="17.25">
      <c r="A568" s="70">
        <v>391</v>
      </c>
      <c r="B568" s="70" t="s">
        <v>2511</v>
      </c>
      <c r="C568" s="70" t="s">
        <v>419</v>
      </c>
      <c r="D568" s="70" t="s">
        <v>2495</v>
      </c>
      <c r="E568" s="70" t="s">
        <v>2494</v>
      </c>
      <c r="F568" s="71">
        <v>45</v>
      </c>
      <c r="G568" s="71">
        <v>4</v>
      </c>
      <c r="H568" s="72" t="s">
        <v>4315</v>
      </c>
      <c r="I568" s="71" t="b">
        <v>1</v>
      </c>
      <c r="J568" s="71">
        <v>76</v>
      </c>
      <c r="K568" s="71">
        <v>72</v>
      </c>
      <c r="L568" s="71">
        <v>74</v>
      </c>
      <c r="M568" s="71">
        <v>5</v>
      </c>
      <c r="N568" s="71">
        <v>21</v>
      </c>
      <c r="O568" s="71">
        <v>0</v>
      </c>
      <c r="P568" s="71">
        <v>13</v>
      </c>
      <c r="Q568" s="71">
        <v>88</v>
      </c>
      <c r="R568" s="71">
        <v>130</v>
      </c>
      <c r="S568" s="71" t="s">
        <v>61</v>
      </c>
      <c r="T568" s="73" t="s">
        <v>4392</v>
      </c>
      <c r="U568" s="71" t="s">
        <v>3708</v>
      </c>
      <c r="V568" s="71" t="b">
        <v>0</v>
      </c>
    </row>
    <row r="569" spans="1:22" ht="17.25">
      <c r="A569" s="70">
        <v>391</v>
      </c>
      <c r="B569" s="70" t="s">
        <v>2511</v>
      </c>
      <c r="C569" s="70" t="s">
        <v>4435</v>
      </c>
      <c r="D569" s="70" t="s">
        <v>2495</v>
      </c>
      <c r="E569" s="70" t="s">
        <v>2494</v>
      </c>
      <c r="F569" s="71">
        <v>45</v>
      </c>
      <c r="G569" s="71">
        <v>4</v>
      </c>
      <c r="H569" s="72" t="s">
        <v>4315</v>
      </c>
      <c r="I569" s="71" t="b">
        <v>1</v>
      </c>
      <c r="J569" s="71">
        <v>76</v>
      </c>
      <c r="K569" s="71">
        <v>72</v>
      </c>
      <c r="L569" s="71">
        <v>74</v>
      </c>
      <c r="M569" s="71">
        <v>5</v>
      </c>
      <c r="N569" s="71">
        <v>21</v>
      </c>
      <c r="O569" s="71">
        <v>0</v>
      </c>
      <c r="P569" s="71">
        <v>13</v>
      </c>
      <c r="Q569" s="71">
        <v>88</v>
      </c>
      <c r="R569" s="71">
        <v>130</v>
      </c>
      <c r="S569" s="71" t="s">
        <v>61</v>
      </c>
      <c r="T569" s="73" t="s">
        <v>4392</v>
      </c>
      <c r="U569" s="71" t="s">
        <v>3708</v>
      </c>
      <c r="V569" s="71" t="b">
        <v>0</v>
      </c>
    </row>
    <row r="570" spans="1:22" ht="17.25">
      <c r="A570" s="70">
        <v>391</v>
      </c>
      <c r="B570" s="70" t="s">
        <v>2511</v>
      </c>
      <c r="C570" s="70" t="s">
        <v>485</v>
      </c>
      <c r="D570" s="70" t="s">
        <v>2495</v>
      </c>
      <c r="E570" s="70" t="s">
        <v>2494</v>
      </c>
      <c r="F570" s="71">
        <v>45</v>
      </c>
      <c r="G570" s="71">
        <v>4</v>
      </c>
      <c r="H570" s="72" t="s">
        <v>4315</v>
      </c>
      <c r="I570" s="71" t="b">
        <v>1</v>
      </c>
      <c r="J570" s="71">
        <v>76</v>
      </c>
      <c r="K570" s="71">
        <v>72</v>
      </c>
      <c r="L570" s="71">
        <v>74</v>
      </c>
      <c r="M570" s="71">
        <v>5</v>
      </c>
      <c r="N570" s="71">
        <v>21</v>
      </c>
      <c r="O570" s="71">
        <v>0</v>
      </c>
      <c r="P570" s="71">
        <v>13</v>
      </c>
      <c r="Q570" s="71">
        <v>88</v>
      </c>
      <c r="R570" s="71">
        <v>130</v>
      </c>
      <c r="S570" s="71" t="s">
        <v>61</v>
      </c>
      <c r="T570" s="73" t="s">
        <v>4392</v>
      </c>
      <c r="U570" s="71" t="s">
        <v>3708</v>
      </c>
      <c r="V570" s="71" t="b">
        <v>0</v>
      </c>
    </row>
    <row r="571" spans="1:22" ht="17.25">
      <c r="A571" s="70">
        <v>392</v>
      </c>
      <c r="B571" s="70" t="s">
        <v>2510</v>
      </c>
      <c r="C571" s="70" t="s">
        <v>4449</v>
      </c>
      <c r="D571" s="70" t="s">
        <v>2509</v>
      </c>
      <c r="E571" s="70" t="s">
        <v>222</v>
      </c>
      <c r="F571" s="71">
        <v>117</v>
      </c>
      <c r="G571" s="71">
        <v>1</v>
      </c>
      <c r="H571" s="72">
        <v>0.13333333333333333</v>
      </c>
      <c r="I571" s="71" t="b">
        <v>1</v>
      </c>
      <c r="J571" s="71">
        <v>78</v>
      </c>
      <c r="K571" s="71">
        <v>74</v>
      </c>
      <c r="L571" s="71">
        <v>80</v>
      </c>
      <c r="M571" s="71">
        <v>10</v>
      </c>
      <c r="N571" s="71">
        <v>15</v>
      </c>
      <c r="O571" s="71">
        <v>0</v>
      </c>
      <c r="P571" s="71">
        <v>12</v>
      </c>
      <c r="Q571" s="71">
        <v>58</v>
      </c>
      <c r="R571" s="71">
        <v>108</v>
      </c>
      <c r="S571" s="71" t="s">
        <v>61</v>
      </c>
      <c r="T571" s="73">
        <v>45758</v>
      </c>
      <c r="U571" s="71" t="s">
        <v>3709</v>
      </c>
      <c r="V571" s="71" t="b">
        <v>0</v>
      </c>
    </row>
    <row r="572" spans="1:22" ht="17.25">
      <c r="A572" s="70">
        <v>392</v>
      </c>
      <c r="B572" s="70" t="s">
        <v>2510</v>
      </c>
      <c r="C572" s="70" t="s">
        <v>1987</v>
      </c>
      <c r="D572" s="70" t="s">
        <v>2509</v>
      </c>
      <c r="E572" s="70" t="s">
        <v>222</v>
      </c>
      <c r="F572" s="71">
        <v>117</v>
      </c>
      <c r="G572" s="71">
        <v>1</v>
      </c>
      <c r="H572" s="72">
        <v>0.13333333333333333</v>
      </c>
      <c r="I572" s="71" t="b">
        <v>1</v>
      </c>
      <c r="J572" s="71">
        <v>78</v>
      </c>
      <c r="K572" s="71">
        <v>74</v>
      </c>
      <c r="L572" s="71">
        <v>80</v>
      </c>
      <c r="M572" s="71">
        <v>10</v>
      </c>
      <c r="N572" s="71">
        <v>15</v>
      </c>
      <c r="O572" s="71">
        <v>0</v>
      </c>
      <c r="P572" s="71">
        <v>12</v>
      </c>
      <c r="Q572" s="71">
        <v>58</v>
      </c>
      <c r="R572" s="71">
        <v>108</v>
      </c>
      <c r="S572" s="71" t="s">
        <v>61</v>
      </c>
      <c r="T572" s="73">
        <v>45758</v>
      </c>
      <c r="U572" s="71" t="s">
        <v>3709</v>
      </c>
      <c r="V572" s="71" t="b">
        <v>0</v>
      </c>
    </row>
    <row r="573" spans="1:22" ht="17.25">
      <c r="A573" s="70">
        <v>393</v>
      </c>
      <c r="B573" s="70" t="s">
        <v>2508</v>
      </c>
      <c r="C573" s="70" t="s">
        <v>2507</v>
      </c>
      <c r="D573" s="70" t="s">
        <v>2506</v>
      </c>
      <c r="E573" s="70" t="s">
        <v>2331</v>
      </c>
      <c r="F573" s="71">
        <v>21</v>
      </c>
      <c r="G573" s="71">
        <v>40</v>
      </c>
      <c r="H573" s="72">
        <v>0.16666666666666666</v>
      </c>
      <c r="I573" s="71" t="b">
        <v>0</v>
      </c>
      <c r="J573" s="71">
        <v>58</v>
      </c>
      <c r="K573" s="71">
        <v>55</v>
      </c>
      <c r="L573" s="71">
        <v>74</v>
      </c>
      <c r="M573" s="71">
        <v>4</v>
      </c>
      <c r="N573" s="71">
        <v>45</v>
      </c>
      <c r="O573" s="71">
        <v>0</v>
      </c>
      <c r="P573" s="71">
        <v>14</v>
      </c>
      <c r="Q573" s="71">
        <v>75</v>
      </c>
      <c r="R573" s="71">
        <v>130</v>
      </c>
      <c r="S573" s="71" t="s">
        <v>29</v>
      </c>
      <c r="T573" s="73">
        <v>31747</v>
      </c>
      <c r="U573" s="71" t="s">
        <v>3710</v>
      </c>
      <c r="V573" s="71" t="b">
        <v>1</v>
      </c>
    </row>
    <row r="574" spans="1:22" ht="17.25">
      <c r="A574" s="70">
        <v>394</v>
      </c>
      <c r="B574" s="70" t="s">
        <v>2505</v>
      </c>
      <c r="C574" s="70" t="s">
        <v>1286</v>
      </c>
      <c r="D574" s="70" t="s">
        <v>2504</v>
      </c>
      <c r="E574" s="70" t="s">
        <v>124</v>
      </c>
      <c r="F574" s="71">
        <v>2</v>
      </c>
      <c r="G574" s="71">
        <v>44</v>
      </c>
      <c r="H574" s="72">
        <v>0.13750000000000001</v>
      </c>
      <c r="I574" s="71" t="b">
        <v>0</v>
      </c>
      <c r="J574" s="71">
        <v>73</v>
      </c>
      <c r="K574" s="71">
        <v>56</v>
      </c>
      <c r="L574" s="71">
        <v>91</v>
      </c>
      <c r="M574" s="71">
        <v>3</v>
      </c>
      <c r="N574" s="71">
        <v>48</v>
      </c>
      <c r="O574" s="71">
        <v>0</v>
      </c>
      <c r="P574" s="71">
        <v>10</v>
      </c>
      <c r="Q574" s="71">
        <v>76</v>
      </c>
      <c r="R574" s="71">
        <v>112</v>
      </c>
      <c r="S574" s="71" t="s">
        <v>96</v>
      </c>
      <c r="T574" s="73">
        <v>45611</v>
      </c>
      <c r="U574" s="71" t="s">
        <v>3711</v>
      </c>
      <c r="V574" s="71" t="b">
        <v>0</v>
      </c>
    </row>
    <row r="575" spans="1:22" ht="17.25">
      <c r="A575" s="70">
        <v>395</v>
      </c>
      <c r="B575" s="70" t="s">
        <v>2503</v>
      </c>
      <c r="C575" s="70" t="s">
        <v>4664</v>
      </c>
      <c r="D575" s="70" t="s">
        <v>2502</v>
      </c>
      <c r="E575" s="70" t="s">
        <v>2501</v>
      </c>
      <c r="F575" s="71">
        <v>164</v>
      </c>
      <c r="G575" s="71">
        <v>3</v>
      </c>
      <c r="H575" s="72">
        <v>0.12152777777777778</v>
      </c>
      <c r="I575" s="71" t="b">
        <v>0</v>
      </c>
      <c r="J575" s="71">
        <v>56</v>
      </c>
      <c r="K575" s="71">
        <v>71</v>
      </c>
      <c r="L575" s="71">
        <v>89</v>
      </c>
      <c r="M575" s="71">
        <v>3</v>
      </c>
      <c r="N575" s="71">
        <v>35</v>
      </c>
      <c r="O575" s="71">
        <v>0</v>
      </c>
      <c r="P575" s="71">
        <v>6</v>
      </c>
      <c r="Q575" s="71">
        <v>92</v>
      </c>
      <c r="R575" s="71">
        <v>134</v>
      </c>
      <c r="S575" s="71" t="s">
        <v>312</v>
      </c>
      <c r="T575" s="73">
        <v>45793</v>
      </c>
      <c r="U575" s="71" t="s">
        <v>3712</v>
      </c>
      <c r="V575" s="71" t="b">
        <v>0</v>
      </c>
    </row>
    <row r="576" spans="1:22" ht="17.25">
      <c r="A576" s="70">
        <v>395</v>
      </c>
      <c r="B576" s="70" t="s">
        <v>2503</v>
      </c>
      <c r="C576" s="70" t="s">
        <v>4460</v>
      </c>
      <c r="D576" s="70" t="s">
        <v>2502</v>
      </c>
      <c r="E576" s="70" t="s">
        <v>2501</v>
      </c>
      <c r="F576" s="71">
        <v>164</v>
      </c>
      <c r="G576" s="71">
        <v>3</v>
      </c>
      <c r="H576" s="72">
        <v>0.12152777777777778</v>
      </c>
      <c r="I576" s="71" t="b">
        <v>0</v>
      </c>
      <c r="J576" s="71">
        <v>56</v>
      </c>
      <c r="K576" s="71">
        <v>71</v>
      </c>
      <c r="L576" s="71">
        <v>89</v>
      </c>
      <c r="M576" s="71">
        <v>3</v>
      </c>
      <c r="N576" s="71">
        <v>35</v>
      </c>
      <c r="O576" s="71">
        <v>0</v>
      </c>
      <c r="P576" s="71">
        <v>6</v>
      </c>
      <c r="Q576" s="71">
        <v>92</v>
      </c>
      <c r="R576" s="71">
        <v>134</v>
      </c>
      <c r="S576" s="71" t="s">
        <v>312</v>
      </c>
      <c r="T576" s="73">
        <v>45793</v>
      </c>
      <c r="U576" s="71" t="s">
        <v>3712</v>
      </c>
      <c r="V576" s="71" t="b">
        <v>0</v>
      </c>
    </row>
    <row r="577" spans="1:22" ht="17.25">
      <c r="A577" s="70">
        <v>396</v>
      </c>
      <c r="B577" s="70" t="s">
        <v>2500</v>
      </c>
      <c r="C577" s="70" t="s">
        <v>2372</v>
      </c>
      <c r="D577" s="70" t="s">
        <v>2499</v>
      </c>
      <c r="E577" s="70" t="s">
        <v>2498</v>
      </c>
      <c r="F577" s="71">
        <v>3</v>
      </c>
      <c r="G577" s="71">
        <v>204</v>
      </c>
      <c r="H577" s="72">
        <v>0.16597222222222222</v>
      </c>
      <c r="I577" s="71" t="b">
        <v>1</v>
      </c>
      <c r="J577" s="71">
        <v>51</v>
      </c>
      <c r="K577" s="71">
        <v>57</v>
      </c>
      <c r="L577" s="71">
        <v>88</v>
      </c>
      <c r="M577" s="71">
        <v>20</v>
      </c>
      <c r="N577" s="71">
        <v>35</v>
      </c>
      <c r="O577" s="71">
        <v>0</v>
      </c>
      <c r="P577" s="71">
        <v>34</v>
      </c>
      <c r="Q577" s="71">
        <v>22</v>
      </c>
      <c r="R577" s="71">
        <v>84</v>
      </c>
      <c r="S577" s="71" t="s">
        <v>768</v>
      </c>
      <c r="T577" s="73">
        <v>43224</v>
      </c>
      <c r="U577" s="71" t="s">
        <v>3713</v>
      </c>
      <c r="V577" s="71" t="b">
        <v>0</v>
      </c>
    </row>
    <row r="578" spans="1:22" ht="17.25">
      <c r="A578" s="70">
        <v>397</v>
      </c>
      <c r="B578" s="70" t="s">
        <v>2497</v>
      </c>
      <c r="C578" s="70" t="s">
        <v>54</v>
      </c>
      <c r="D578" s="70" t="s">
        <v>2496</v>
      </c>
      <c r="E578" s="70" t="s">
        <v>324</v>
      </c>
      <c r="F578" s="71">
        <v>17</v>
      </c>
      <c r="G578" s="71">
        <v>19</v>
      </c>
      <c r="H578" s="72" t="s">
        <v>4320</v>
      </c>
      <c r="I578" s="71" t="b">
        <v>0</v>
      </c>
      <c r="J578" s="71">
        <v>71</v>
      </c>
      <c r="K578" s="71">
        <v>55</v>
      </c>
      <c r="L578" s="71">
        <v>71</v>
      </c>
      <c r="M578" s="71">
        <v>6</v>
      </c>
      <c r="N578" s="71">
        <v>35</v>
      </c>
      <c r="O578" s="71">
        <v>0</v>
      </c>
      <c r="P578" s="71">
        <v>14</v>
      </c>
      <c r="Q578" s="71">
        <v>50</v>
      </c>
      <c r="R578" s="71">
        <v>140</v>
      </c>
      <c r="S578" s="71" t="s">
        <v>96</v>
      </c>
      <c r="T578" s="73" t="s">
        <v>4368</v>
      </c>
      <c r="U578" s="71" t="s">
        <v>3387</v>
      </c>
      <c r="V578" s="71" t="b">
        <v>0</v>
      </c>
    </row>
    <row r="579" spans="1:22" ht="17.25">
      <c r="A579" s="70">
        <v>399</v>
      </c>
      <c r="B579" s="70" t="s">
        <v>2493</v>
      </c>
      <c r="C579" s="70" t="s">
        <v>4665</v>
      </c>
      <c r="D579" s="70" t="s">
        <v>2492</v>
      </c>
      <c r="E579" s="70" t="s">
        <v>1068</v>
      </c>
      <c r="F579" s="71">
        <v>153</v>
      </c>
      <c r="G579" s="71">
        <v>3</v>
      </c>
      <c r="H579" s="72">
        <v>0.12847222222222221</v>
      </c>
      <c r="I579" s="71" t="b">
        <v>0</v>
      </c>
      <c r="J579" s="71">
        <v>77</v>
      </c>
      <c r="K579" s="71">
        <v>58</v>
      </c>
      <c r="L579" s="71">
        <v>86</v>
      </c>
      <c r="M579" s="71">
        <v>10</v>
      </c>
      <c r="N579" s="71">
        <v>31</v>
      </c>
      <c r="O579" s="71">
        <v>0</v>
      </c>
      <c r="P579" s="71">
        <v>35</v>
      </c>
      <c r="Q579" s="71">
        <v>77</v>
      </c>
      <c r="R579" s="71">
        <v>100</v>
      </c>
      <c r="S579" s="71" t="s">
        <v>96</v>
      </c>
      <c r="T579" s="73">
        <v>45765</v>
      </c>
      <c r="U579" s="71" t="s">
        <v>3714</v>
      </c>
      <c r="V579" s="71" t="b">
        <v>0</v>
      </c>
    </row>
    <row r="580" spans="1:22" ht="17.25">
      <c r="A580" s="70">
        <v>399</v>
      </c>
      <c r="B580" s="70" t="s">
        <v>2493</v>
      </c>
      <c r="C580" s="70" t="s">
        <v>4461</v>
      </c>
      <c r="D580" s="70" t="s">
        <v>2492</v>
      </c>
      <c r="E580" s="70" t="s">
        <v>1068</v>
      </c>
      <c r="F580" s="71">
        <v>153</v>
      </c>
      <c r="G580" s="71">
        <v>3</v>
      </c>
      <c r="H580" s="72">
        <v>0.12847222222222221</v>
      </c>
      <c r="I580" s="71" t="b">
        <v>0</v>
      </c>
      <c r="J580" s="71">
        <v>77</v>
      </c>
      <c r="K580" s="71">
        <v>58</v>
      </c>
      <c r="L580" s="71">
        <v>86</v>
      </c>
      <c r="M580" s="71">
        <v>10</v>
      </c>
      <c r="N580" s="71">
        <v>31</v>
      </c>
      <c r="O580" s="71">
        <v>0</v>
      </c>
      <c r="P580" s="71">
        <v>35</v>
      </c>
      <c r="Q580" s="71">
        <v>77</v>
      </c>
      <c r="R580" s="71">
        <v>100</v>
      </c>
      <c r="S580" s="71" t="s">
        <v>96</v>
      </c>
      <c r="T580" s="73">
        <v>45765</v>
      </c>
      <c r="U580" s="71" t="s">
        <v>3714</v>
      </c>
      <c r="V580" s="71" t="b">
        <v>0</v>
      </c>
    </row>
    <row r="581" spans="1:22" ht="17.25">
      <c r="A581" s="70">
        <v>400</v>
      </c>
      <c r="B581" s="70" t="s">
        <v>2491</v>
      </c>
      <c r="C581" s="70" t="s">
        <v>2490</v>
      </c>
      <c r="D581" s="70" t="s">
        <v>2489</v>
      </c>
      <c r="E581" s="70" t="s">
        <v>2488</v>
      </c>
      <c r="F581" s="71">
        <v>90</v>
      </c>
      <c r="G581" s="71">
        <v>17</v>
      </c>
      <c r="H581" s="72" t="s">
        <v>4315</v>
      </c>
      <c r="I581" s="71" t="b">
        <v>0</v>
      </c>
      <c r="J581" s="71">
        <v>84</v>
      </c>
      <c r="K581" s="71">
        <v>78</v>
      </c>
      <c r="L581" s="71">
        <v>75</v>
      </c>
      <c r="M581" s="71">
        <v>6</v>
      </c>
      <c r="N581" s="71">
        <v>15</v>
      </c>
      <c r="O581" s="71">
        <v>0</v>
      </c>
      <c r="P581" s="71">
        <v>13</v>
      </c>
      <c r="Q581" s="71">
        <v>81</v>
      </c>
      <c r="R581" s="71">
        <v>120</v>
      </c>
      <c r="S581" s="71" t="s">
        <v>115</v>
      </c>
      <c r="T581" s="73" t="s">
        <v>4386</v>
      </c>
      <c r="U581" s="71" t="s">
        <v>3715</v>
      </c>
      <c r="V581" s="71" t="b">
        <v>0</v>
      </c>
    </row>
    <row r="582" spans="1:22" ht="17.25">
      <c r="A582" s="70">
        <v>401</v>
      </c>
      <c r="B582" s="70" t="s">
        <v>2487</v>
      </c>
      <c r="C582" s="70" t="s">
        <v>32</v>
      </c>
      <c r="D582" s="70" t="s">
        <v>1686</v>
      </c>
      <c r="E582" s="70" t="s">
        <v>30</v>
      </c>
      <c r="F582" s="71">
        <v>1</v>
      </c>
      <c r="G582" s="71">
        <v>69</v>
      </c>
      <c r="H582" s="72" t="s">
        <v>4374</v>
      </c>
      <c r="I582" s="71" t="b">
        <v>0</v>
      </c>
      <c r="J582" s="71">
        <v>75</v>
      </c>
      <c r="K582" s="71">
        <v>60</v>
      </c>
      <c r="L582" s="71">
        <v>72</v>
      </c>
      <c r="M582" s="71">
        <v>7</v>
      </c>
      <c r="N582" s="71">
        <v>25</v>
      </c>
      <c r="O582" s="71">
        <v>0</v>
      </c>
      <c r="P582" s="71">
        <v>10</v>
      </c>
      <c r="Q582" s="71">
        <v>69</v>
      </c>
      <c r="R582" s="71">
        <v>118</v>
      </c>
      <c r="S582" s="71" t="s">
        <v>96</v>
      </c>
      <c r="T582" s="73" t="s">
        <v>4372</v>
      </c>
      <c r="U582" s="71" t="s">
        <v>3507</v>
      </c>
      <c r="V582" s="71" t="b">
        <v>0</v>
      </c>
    </row>
    <row r="583" spans="1:22" ht="17.25">
      <c r="A583" s="70">
        <v>402</v>
      </c>
      <c r="B583" s="70" t="s">
        <v>2486</v>
      </c>
      <c r="C583" s="70" t="s">
        <v>292</v>
      </c>
      <c r="D583" s="70" t="s">
        <v>2485</v>
      </c>
      <c r="E583" s="70" t="s">
        <v>2340</v>
      </c>
      <c r="F583" s="71">
        <v>2</v>
      </c>
      <c r="G583" s="71">
        <v>72</v>
      </c>
      <c r="H583" s="72">
        <v>0.12152777777777778</v>
      </c>
      <c r="I583" s="71" t="b">
        <v>0</v>
      </c>
      <c r="J583" s="71">
        <v>71</v>
      </c>
      <c r="K583" s="71">
        <v>57</v>
      </c>
      <c r="L583" s="71">
        <v>87</v>
      </c>
      <c r="M583" s="71">
        <v>12</v>
      </c>
      <c r="N583" s="71">
        <v>25</v>
      </c>
      <c r="O583" s="71">
        <v>0</v>
      </c>
      <c r="P583" s="71">
        <v>25</v>
      </c>
      <c r="Q583" s="71">
        <v>58</v>
      </c>
      <c r="R583" s="71">
        <v>138</v>
      </c>
      <c r="S583" s="71" t="s">
        <v>48</v>
      </c>
      <c r="T583" s="73">
        <v>45618</v>
      </c>
      <c r="U583" s="71" t="s">
        <v>3716</v>
      </c>
      <c r="V583" s="71" t="b">
        <v>0</v>
      </c>
    </row>
    <row r="584" spans="1:22" ht="17.25">
      <c r="A584" s="70">
        <v>402</v>
      </c>
      <c r="B584" s="70" t="s">
        <v>2486</v>
      </c>
      <c r="C584" s="70" t="s">
        <v>1026</v>
      </c>
      <c r="D584" s="70" t="s">
        <v>2485</v>
      </c>
      <c r="E584" s="70" t="s">
        <v>2340</v>
      </c>
      <c r="F584" s="71">
        <v>2</v>
      </c>
      <c r="G584" s="71">
        <v>72</v>
      </c>
      <c r="H584" s="72">
        <v>0.12152777777777778</v>
      </c>
      <c r="I584" s="71" t="b">
        <v>0</v>
      </c>
      <c r="J584" s="71">
        <v>71</v>
      </c>
      <c r="K584" s="71">
        <v>57</v>
      </c>
      <c r="L584" s="71">
        <v>87</v>
      </c>
      <c r="M584" s="71">
        <v>12</v>
      </c>
      <c r="N584" s="71">
        <v>25</v>
      </c>
      <c r="O584" s="71">
        <v>0</v>
      </c>
      <c r="P584" s="71">
        <v>25</v>
      </c>
      <c r="Q584" s="71">
        <v>58</v>
      </c>
      <c r="R584" s="71">
        <v>138</v>
      </c>
      <c r="S584" s="71" t="s">
        <v>48</v>
      </c>
      <c r="T584" s="73">
        <v>45618</v>
      </c>
      <c r="U584" s="71" t="s">
        <v>3716</v>
      </c>
      <c r="V584" s="71" t="b">
        <v>0</v>
      </c>
    </row>
    <row r="585" spans="1:22" ht="17.25">
      <c r="A585" s="70">
        <v>404</v>
      </c>
      <c r="B585" s="70" t="s">
        <v>2483</v>
      </c>
      <c r="C585" s="70" t="s">
        <v>131</v>
      </c>
      <c r="D585" s="70" t="s">
        <v>2482</v>
      </c>
      <c r="E585" s="70" t="s">
        <v>129</v>
      </c>
      <c r="F585" s="71">
        <v>9</v>
      </c>
      <c r="G585" s="71">
        <v>40</v>
      </c>
      <c r="H585" s="72">
        <v>0.2048611111111111</v>
      </c>
      <c r="I585" s="71" t="b">
        <v>1</v>
      </c>
      <c r="J585" s="71">
        <v>61</v>
      </c>
      <c r="K585" s="71">
        <v>83</v>
      </c>
      <c r="L585" s="71">
        <v>93</v>
      </c>
      <c r="M585" s="71">
        <v>38</v>
      </c>
      <c r="N585" s="71">
        <v>1</v>
      </c>
      <c r="O585" s="71">
        <v>0</v>
      </c>
      <c r="P585" s="71">
        <v>11</v>
      </c>
      <c r="Q585" s="71">
        <v>68</v>
      </c>
      <c r="R585" s="71">
        <v>96</v>
      </c>
      <c r="S585" s="71" t="s">
        <v>128</v>
      </c>
      <c r="T585" s="73">
        <v>43889</v>
      </c>
      <c r="U585" s="71" t="s">
        <v>3717</v>
      </c>
      <c r="V585" s="71" t="b">
        <v>0</v>
      </c>
    </row>
    <row r="586" spans="1:22" ht="17.25">
      <c r="A586" s="70">
        <v>404</v>
      </c>
      <c r="B586" s="70" t="s">
        <v>2483</v>
      </c>
      <c r="C586" s="70" t="s">
        <v>4666</v>
      </c>
      <c r="D586" s="70" t="s">
        <v>2482</v>
      </c>
      <c r="E586" s="70" t="s">
        <v>129</v>
      </c>
      <c r="F586" s="71">
        <v>9</v>
      </c>
      <c r="G586" s="71">
        <v>40</v>
      </c>
      <c r="H586" s="72">
        <v>0.2048611111111111</v>
      </c>
      <c r="I586" s="71" t="b">
        <v>1</v>
      </c>
      <c r="J586" s="71">
        <v>61</v>
      </c>
      <c r="K586" s="71">
        <v>83</v>
      </c>
      <c r="L586" s="71">
        <v>93</v>
      </c>
      <c r="M586" s="71">
        <v>38</v>
      </c>
      <c r="N586" s="71">
        <v>1</v>
      </c>
      <c r="O586" s="71">
        <v>0</v>
      </c>
      <c r="P586" s="71">
        <v>11</v>
      </c>
      <c r="Q586" s="71">
        <v>68</v>
      </c>
      <c r="R586" s="71">
        <v>96</v>
      </c>
      <c r="S586" s="71" t="s">
        <v>128</v>
      </c>
      <c r="T586" s="73">
        <v>43889</v>
      </c>
      <c r="U586" s="71" t="s">
        <v>3717</v>
      </c>
      <c r="V586" s="71" t="b">
        <v>0</v>
      </c>
    </row>
    <row r="587" spans="1:22" ht="17.25">
      <c r="A587" s="70">
        <v>404</v>
      </c>
      <c r="B587" s="70" t="s">
        <v>2483</v>
      </c>
      <c r="C587" s="70" t="s">
        <v>4641</v>
      </c>
      <c r="D587" s="70" t="s">
        <v>2482</v>
      </c>
      <c r="E587" s="70" t="s">
        <v>129</v>
      </c>
      <c r="F587" s="71">
        <v>9</v>
      </c>
      <c r="G587" s="71">
        <v>40</v>
      </c>
      <c r="H587" s="72">
        <v>0.2048611111111111</v>
      </c>
      <c r="I587" s="71" t="b">
        <v>1</v>
      </c>
      <c r="J587" s="71">
        <v>61</v>
      </c>
      <c r="K587" s="71">
        <v>83</v>
      </c>
      <c r="L587" s="71">
        <v>93</v>
      </c>
      <c r="M587" s="71">
        <v>38</v>
      </c>
      <c r="N587" s="71">
        <v>1</v>
      </c>
      <c r="O587" s="71">
        <v>0</v>
      </c>
      <c r="P587" s="71">
        <v>11</v>
      </c>
      <c r="Q587" s="71">
        <v>68</v>
      </c>
      <c r="R587" s="71">
        <v>96</v>
      </c>
      <c r="S587" s="71" t="s">
        <v>128</v>
      </c>
      <c r="T587" s="73">
        <v>43889</v>
      </c>
      <c r="U587" s="71" t="s">
        <v>3717</v>
      </c>
      <c r="V587" s="71" t="b">
        <v>0</v>
      </c>
    </row>
    <row r="588" spans="1:22" ht="17.25">
      <c r="A588" s="70">
        <v>405</v>
      </c>
      <c r="B588" s="70" t="s">
        <v>2481</v>
      </c>
      <c r="C588" s="70" t="s">
        <v>2480</v>
      </c>
      <c r="D588" s="70" t="s">
        <v>2479</v>
      </c>
      <c r="E588" s="70" t="s">
        <v>2478</v>
      </c>
      <c r="F588" s="71">
        <v>64</v>
      </c>
      <c r="G588" s="71">
        <v>6</v>
      </c>
      <c r="H588" s="72">
        <v>0.13750000000000001</v>
      </c>
      <c r="I588" s="71" t="b">
        <v>0</v>
      </c>
      <c r="J588" s="71">
        <v>57</v>
      </c>
      <c r="K588" s="71">
        <v>54</v>
      </c>
      <c r="L588" s="71">
        <v>85</v>
      </c>
      <c r="M588" s="71">
        <v>3</v>
      </c>
      <c r="N588" s="71">
        <v>10</v>
      </c>
      <c r="O588" s="71">
        <v>0</v>
      </c>
      <c r="P588" s="71">
        <v>22</v>
      </c>
      <c r="Q588" s="71">
        <v>68</v>
      </c>
      <c r="R588" s="71">
        <v>144</v>
      </c>
      <c r="S588" s="71" t="s">
        <v>96</v>
      </c>
      <c r="T588" s="73">
        <v>45702</v>
      </c>
      <c r="U588" s="71" t="s">
        <v>3718</v>
      </c>
      <c r="V588" s="71" t="b">
        <v>0</v>
      </c>
    </row>
    <row r="589" spans="1:22" ht="17.25">
      <c r="A589" s="70">
        <v>406</v>
      </c>
      <c r="B589" s="70" t="s">
        <v>2477</v>
      </c>
      <c r="C589" s="70" t="s">
        <v>2476</v>
      </c>
      <c r="D589" s="70" t="s">
        <v>2475</v>
      </c>
      <c r="E589" s="70" t="s">
        <v>2474</v>
      </c>
      <c r="F589" s="71">
        <v>198</v>
      </c>
      <c r="G589" s="71">
        <v>1</v>
      </c>
      <c r="H589" s="72">
        <v>0.14583333333333334</v>
      </c>
      <c r="I589" s="71" t="b">
        <v>0</v>
      </c>
      <c r="J589" s="71">
        <v>42</v>
      </c>
      <c r="K589" s="71">
        <v>93</v>
      </c>
      <c r="L589" s="71">
        <v>93</v>
      </c>
      <c r="M589" s="71">
        <v>12</v>
      </c>
      <c r="N589" s="71">
        <v>0</v>
      </c>
      <c r="O589" s="71">
        <v>0</v>
      </c>
      <c r="P589" s="71">
        <v>13</v>
      </c>
      <c r="Q589" s="71">
        <v>29</v>
      </c>
      <c r="R589" s="71">
        <v>127</v>
      </c>
      <c r="S589" s="71" t="s">
        <v>860</v>
      </c>
      <c r="T589" s="73">
        <v>37116</v>
      </c>
      <c r="U589" s="71" t="s">
        <v>3719</v>
      </c>
      <c r="V589" s="71" t="b">
        <v>0</v>
      </c>
    </row>
    <row r="590" spans="1:22" ht="17.25">
      <c r="A590" s="70">
        <v>407</v>
      </c>
      <c r="B590" s="70" t="s">
        <v>2473</v>
      </c>
      <c r="C590" s="70" t="s">
        <v>1026</v>
      </c>
      <c r="D590" s="70" t="s">
        <v>2472</v>
      </c>
      <c r="E590" s="70" t="s">
        <v>579</v>
      </c>
      <c r="F590" s="71">
        <v>190</v>
      </c>
      <c r="G590" s="71">
        <v>1</v>
      </c>
      <c r="H590" s="72">
        <v>0.11666666666666667</v>
      </c>
      <c r="I590" s="71" t="b">
        <v>1</v>
      </c>
      <c r="J590" s="71">
        <v>75</v>
      </c>
      <c r="K590" s="71">
        <v>73</v>
      </c>
      <c r="L590" s="71">
        <v>89</v>
      </c>
      <c r="M590" s="71">
        <v>3</v>
      </c>
      <c r="N590" s="71">
        <v>46</v>
      </c>
      <c r="O590" s="71">
        <v>0</v>
      </c>
      <c r="P590" s="71">
        <v>10</v>
      </c>
      <c r="Q590" s="71">
        <v>80</v>
      </c>
      <c r="R590" s="71">
        <v>104</v>
      </c>
      <c r="S590" s="71" t="s">
        <v>26</v>
      </c>
      <c r="T590" s="73">
        <v>44904</v>
      </c>
      <c r="U590" s="71" t="s">
        <v>3720</v>
      </c>
      <c r="V590" s="71" t="b">
        <v>0</v>
      </c>
    </row>
    <row r="591" spans="1:22" ht="17.25">
      <c r="A591" s="70">
        <v>408</v>
      </c>
      <c r="B591" s="70" t="s">
        <v>2471</v>
      </c>
      <c r="C591" s="70" t="s">
        <v>37</v>
      </c>
      <c r="D591" s="70" t="s">
        <v>2470</v>
      </c>
      <c r="E591" s="70" t="s">
        <v>35</v>
      </c>
      <c r="F591" s="71">
        <v>99</v>
      </c>
      <c r="G591" s="71">
        <v>49</v>
      </c>
      <c r="H591" s="72">
        <v>0.16319444444444445</v>
      </c>
      <c r="I591" s="71" t="b">
        <v>0</v>
      </c>
      <c r="J591" s="71">
        <v>79</v>
      </c>
      <c r="K591" s="71">
        <v>71</v>
      </c>
      <c r="L591" s="71">
        <v>93</v>
      </c>
      <c r="M591" s="71">
        <v>4</v>
      </c>
      <c r="N591" s="71">
        <v>11</v>
      </c>
      <c r="O591" s="71">
        <v>0</v>
      </c>
      <c r="P591" s="71">
        <v>6</v>
      </c>
      <c r="Q591" s="71">
        <v>64</v>
      </c>
      <c r="R591" s="71">
        <v>126</v>
      </c>
      <c r="S591" s="71" t="s">
        <v>34</v>
      </c>
      <c r="T591" s="73">
        <v>40431</v>
      </c>
      <c r="U591" s="71" t="s">
        <v>3721</v>
      </c>
      <c r="V591" s="71" t="b">
        <v>0</v>
      </c>
    </row>
    <row r="592" spans="1:22" ht="17.25">
      <c r="A592" s="70">
        <v>409</v>
      </c>
      <c r="B592" s="70" t="s">
        <v>2469</v>
      </c>
      <c r="C592" s="70" t="s">
        <v>383</v>
      </c>
      <c r="D592" s="70" t="s">
        <v>2468</v>
      </c>
      <c r="E592" s="70" t="s">
        <v>381</v>
      </c>
      <c r="F592" s="71">
        <v>59</v>
      </c>
      <c r="G592" s="71">
        <v>2</v>
      </c>
      <c r="H592" s="72">
        <v>0.12847222222222221</v>
      </c>
      <c r="I592" s="71" t="b">
        <v>0</v>
      </c>
      <c r="J592" s="71">
        <v>73</v>
      </c>
      <c r="K592" s="71">
        <v>74</v>
      </c>
      <c r="L592" s="71">
        <v>91</v>
      </c>
      <c r="M592" s="71">
        <v>3</v>
      </c>
      <c r="N592" s="71">
        <v>8</v>
      </c>
      <c r="O592" s="71">
        <v>0</v>
      </c>
      <c r="P592" s="71">
        <v>28</v>
      </c>
      <c r="Q592" s="71">
        <v>44</v>
      </c>
      <c r="R592" s="71">
        <v>98</v>
      </c>
      <c r="S592" s="71" t="s">
        <v>96</v>
      </c>
      <c r="T592" s="73">
        <v>45709</v>
      </c>
      <c r="U592" s="71" t="s">
        <v>3411</v>
      </c>
      <c r="V592" s="71" t="b">
        <v>0</v>
      </c>
    </row>
    <row r="593" spans="1:22" ht="17.25">
      <c r="A593" s="70">
        <v>410</v>
      </c>
      <c r="B593" s="70" t="s">
        <v>2467</v>
      </c>
      <c r="C593" s="70" t="s">
        <v>2466</v>
      </c>
      <c r="D593" s="70" t="s">
        <v>2465</v>
      </c>
      <c r="E593" s="70" t="s">
        <v>2464</v>
      </c>
      <c r="F593" s="71">
        <v>3</v>
      </c>
      <c r="G593" s="71">
        <v>60</v>
      </c>
      <c r="H593" s="72">
        <v>8.7499999999999994E-2</v>
      </c>
      <c r="I593" s="71" t="b">
        <v>0</v>
      </c>
      <c r="J593" s="71">
        <v>60</v>
      </c>
      <c r="K593" s="71">
        <v>47</v>
      </c>
      <c r="L593" s="71">
        <v>85</v>
      </c>
      <c r="M593" s="71">
        <v>5</v>
      </c>
      <c r="N593" s="71">
        <v>62</v>
      </c>
      <c r="O593" s="71">
        <v>0</v>
      </c>
      <c r="P593" s="71">
        <v>50</v>
      </c>
      <c r="Q593" s="71">
        <v>88</v>
      </c>
      <c r="R593" s="71">
        <v>67</v>
      </c>
      <c r="S593" s="71" t="s">
        <v>29</v>
      </c>
      <c r="T593" s="73">
        <v>21513</v>
      </c>
      <c r="U593" s="71" t="s">
        <v>3722</v>
      </c>
      <c r="V593" s="71" t="b">
        <v>1</v>
      </c>
    </row>
    <row r="594" spans="1:22" ht="17.25">
      <c r="A594" s="70">
        <v>411</v>
      </c>
      <c r="B594" s="70" t="s">
        <v>2463</v>
      </c>
      <c r="C594" s="70" t="s">
        <v>2061</v>
      </c>
      <c r="D594" s="70" t="s">
        <v>2462</v>
      </c>
      <c r="E594" s="70" t="s">
        <v>1485</v>
      </c>
      <c r="F594" s="71">
        <v>104</v>
      </c>
      <c r="G594" s="71">
        <v>1</v>
      </c>
      <c r="H594" s="72">
        <v>0.13750000000000001</v>
      </c>
      <c r="I594" s="71" t="b">
        <v>1</v>
      </c>
      <c r="J594" s="71">
        <v>72</v>
      </c>
      <c r="K594" s="71">
        <v>78</v>
      </c>
      <c r="L594" s="71">
        <v>81</v>
      </c>
      <c r="M594" s="71">
        <v>16</v>
      </c>
      <c r="N594" s="71">
        <v>5</v>
      </c>
      <c r="O594" s="71">
        <v>0</v>
      </c>
      <c r="P594" s="71">
        <v>12</v>
      </c>
      <c r="Q594" s="71">
        <v>48</v>
      </c>
      <c r="R594" s="71">
        <v>130</v>
      </c>
      <c r="S594" s="71" t="s">
        <v>48</v>
      </c>
      <c r="T594" s="73">
        <v>45793</v>
      </c>
      <c r="U594" s="71" t="s">
        <v>3423</v>
      </c>
      <c r="V594" s="71" t="b">
        <v>0</v>
      </c>
    </row>
    <row r="595" spans="1:22" ht="17.25">
      <c r="A595" s="70">
        <v>411</v>
      </c>
      <c r="B595" s="70" t="s">
        <v>2463</v>
      </c>
      <c r="C595" s="70" t="s">
        <v>4667</v>
      </c>
      <c r="D595" s="70" t="s">
        <v>2462</v>
      </c>
      <c r="E595" s="70" t="s">
        <v>1485</v>
      </c>
      <c r="F595" s="71">
        <v>104</v>
      </c>
      <c r="G595" s="71">
        <v>1</v>
      </c>
      <c r="H595" s="72">
        <v>0.13750000000000001</v>
      </c>
      <c r="I595" s="71" t="b">
        <v>1</v>
      </c>
      <c r="J595" s="71">
        <v>72</v>
      </c>
      <c r="K595" s="71">
        <v>78</v>
      </c>
      <c r="L595" s="71">
        <v>81</v>
      </c>
      <c r="M595" s="71">
        <v>16</v>
      </c>
      <c r="N595" s="71">
        <v>5</v>
      </c>
      <c r="O595" s="71">
        <v>0</v>
      </c>
      <c r="P595" s="71">
        <v>12</v>
      </c>
      <c r="Q595" s="71">
        <v>48</v>
      </c>
      <c r="R595" s="71">
        <v>130</v>
      </c>
      <c r="S595" s="71" t="s">
        <v>48</v>
      </c>
      <c r="T595" s="73">
        <v>45793</v>
      </c>
      <c r="U595" s="71" t="s">
        <v>3423</v>
      </c>
      <c r="V595" s="71" t="b">
        <v>0</v>
      </c>
    </row>
    <row r="596" spans="1:22" ht="17.25">
      <c r="A596" s="70">
        <v>412</v>
      </c>
      <c r="B596" s="70" t="s">
        <v>2461</v>
      </c>
      <c r="C596" s="70" t="s">
        <v>4462</v>
      </c>
      <c r="D596" s="70" t="s">
        <v>2460</v>
      </c>
      <c r="E596" s="70" t="s">
        <v>778</v>
      </c>
      <c r="F596" s="71">
        <v>55</v>
      </c>
      <c r="G596" s="71">
        <v>34</v>
      </c>
      <c r="H596" s="72">
        <v>0.13750000000000001</v>
      </c>
      <c r="I596" s="71" t="b">
        <v>0</v>
      </c>
      <c r="J596" s="71">
        <v>62</v>
      </c>
      <c r="K596" s="71">
        <v>84</v>
      </c>
      <c r="L596" s="71">
        <v>91</v>
      </c>
      <c r="M596" s="71">
        <v>8</v>
      </c>
      <c r="N596" s="71">
        <v>1</v>
      </c>
      <c r="O596" s="71">
        <v>0</v>
      </c>
      <c r="P596" s="71">
        <v>55</v>
      </c>
      <c r="Q596" s="71">
        <v>24</v>
      </c>
      <c r="R596" s="71">
        <v>138</v>
      </c>
      <c r="S596" s="71" t="s">
        <v>247</v>
      </c>
      <c r="T596" s="73">
        <v>45506</v>
      </c>
      <c r="U596" s="71" t="s">
        <v>3723</v>
      </c>
      <c r="V596" s="71" t="b">
        <v>0</v>
      </c>
    </row>
    <row r="597" spans="1:22" ht="17.25">
      <c r="A597" s="70">
        <v>412</v>
      </c>
      <c r="B597" s="70" t="s">
        <v>2461</v>
      </c>
      <c r="C597" s="70" t="s">
        <v>4668</v>
      </c>
      <c r="D597" s="70" t="s">
        <v>2460</v>
      </c>
      <c r="E597" s="70" t="s">
        <v>778</v>
      </c>
      <c r="F597" s="71">
        <v>55</v>
      </c>
      <c r="G597" s="71">
        <v>34</v>
      </c>
      <c r="H597" s="72">
        <v>0.13750000000000001</v>
      </c>
      <c r="I597" s="71" t="b">
        <v>0</v>
      </c>
      <c r="J597" s="71">
        <v>62</v>
      </c>
      <c r="K597" s="71">
        <v>84</v>
      </c>
      <c r="L597" s="71">
        <v>91</v>
      </c>
      <c r="M597" s="71">
        <v>8</v>
      </c>
      <c r="N597" s="71">
        <v>1</v>
      </c>
      <c r="O597" s="71">
        <v>0</v>
      </c>
      <c r="P597" s="71">
        <v>55</v>
      </c>
      <c r="Q597" s="71">
        <v>24</v>
      </c>
      <c r="R597" s="71">
        <v>138</v>
      </c>
      <c r="S597" s="71" t="s">
        <v>247</v>
      </c>
      <c r="T597" s="73">
        <v>45506</v>
      </c>
      <c r="U597" s="71" t="s">
        <v>3723</v>
      </c>
      <c r="V597" s="71" t="b">
        <v>0</v>
      </c>
    </row>
    <row r="598" spans="1:22" ht="17.25">
      <c r="A598" s="70">
        <v>413</v>
      </c>
      <c r="B598" s="70" t="s">
        <v>2459</v>
      </c>
      <c r="C598" s="70" t="s">
        <v>1598</v>
      </c>
      <c r="D598" s="70" t="s">
        <v>2458</v>
      </c>
      <c r="E598" s="70" t="s">
        <v>104</v>
      </c>
      <c r="F598" s="71">
        <v>37</v>
      </c>
      <c r="G598" s="71">
        <v>11</v>
      </c>
      <c r="H598" s="72">
        <v>0.11666666666666667</v>
      </c>
      <c r="I598" s="71" t="b">
        <v>0</v>
      </c>
      <c r="J598" s="71">
        <v>52</v>
      </c>
      <c r="K598" s="71">
        <v>50</v>
      </c>
      <c r="L598" s="71">
        <v>73</v>
      </c>
      <c r="M598" s="71">
        <v>3</v>
      </c>
      <c r="N598" s="71">
        <v>55</v>
      </c>
      <c r="O598" s="71">
        <v>0</v>
      </c>
      <c r="P598" s="71">
        <v>15</v>
      </c>
      <c r="Q598" s="71">
        <v>72</v>
      </c>
      <c r="R598" s="71">
        <v>120</v>
      </c>
      <c r="S598" s="71" t="s">
        <v>29</v>
      </c>
      <c r="T598" s="73">
        <v>21125</v>
      </c>
      <c r="U598" s="71" t="s">
        <v>3724</v>
      </c>
      <c r="V598" s="71" t="b">
        <v>1</v>
      </c>
    </row>
    <row r="599" spans="1:22" ht="17.25">
      <c r="A599" s="70">
        <v>414</v>
      </c>
      <c r="B599" s="70" t="s">
        <v>2457</v>
      </c>
      <c r="C599" s="70" t="s">
        <v>2456</v>
      </c>
      <c r="D599" s="70" t="s">
        <v>886</v>
      </c>
      <c r="E599" s="70" t="s">
        <v>84</v>
      </c>
      <c r="F599" s="71">
        <v>1</v>
      </c>
      <c r="G599" s="71">
        <v>69</v>
      </c>
      <c r="H599" s="72">
        <v>0.18194444444444444</v>
      </c>
      <c r="I599" s="71" t="b">
        <v>0</v>
      </c>
      <c r="J599" s="71">
        <v>74</v>
      </c>
      <c r="K599" s="71">
        <v>48</v>
      </c>
      <c r="L599" s="71">
        <v>79</v>
      </c>
      <c r="M599" s="71">
        <v>3</v>
      </c>
      <c r="N599" s="71">
        <v>19</v>
      </c>
      <c r="O599" s="71">
        <v>0</v>
      </c>
      <c r="P599" s="71">
        <v>36</v>
      </c>
      <c r="Q599" s="71">
        <v>95</v>
      </c>
      <c r="R599" s="71">
        <v>108</v>
      </c>
      <c r="S599" s="71" t="s">
        <v>29</v>
      </c>
      <c r="T599" s="73">
        <v>31019</v>
      </c>
      <c r="U599" s="71" t="s">
        <v>3725</v>
      </c>
      <c r="V599" s="71" t="b">
        <v>1</v>
      </c>
    </row>
    <row r="600" spans="1:22" ht="17.25">
      <c r="A600" s="70">
        <v>415</v>
      </c>
      <c r="B600" s="70" t="s">
        <v>2455</v>
      </c>
      <c r="C600" s="70" t="s">
        <v>347</v>
      </c>
      <c r="D600" s="70" t="s">
        <v>2454</v>
      </c>
      <c r="E600" s="70" t="s">
        <v>171</v>
      </c>
      <c r="F600" s="71">
        <v>115</v>
      </c>
      <c r="G600" s="71">
        <v>1</v>
      </c>
      <c r="H600" s="72" t="s">
        <v>4320</v>
      </c>
      <c r="I600" s="71" t="b">
        <v>0</v>
      </c>
      <c r="J600" s="71">
        <v>82</v>
      </c>
      <c r="K600" s="71">
        <v>71</v>
      </c>
      <c r="L600" s="71">
        <v>74</v>
      </c>
      <c r="M600" s="71">
        <v>6</v>
      </c>
      <c r="N600" s="71">
        <v>14</v>
      </c>
      <c r="O600" s="71">
        <v>0</v>
      </c>
      <c r="P600" s="71">
        <v>11</v>
      </c>
      <c r="Q600" s="71">
        <v>78</v>
      </c>
      <c r="R600" s="71">
        <v>122</v>
      </c>
      <c r="S600" s="71" t="s">
        <v>96</v>
      </c>
      <c r="T600" s="73" t="s">
        <v>4385</v>
      </c>
      <c r="U600" s="71" t="s">
        <v>3726</v>
      </c>
      <c r="V600" s="71" t="b">
        <v>0</v>
      </c>
    </row>
    <row r="601" spans="1:22" ht="17.25">
      <c r="A601" s="70">
        <v>416</v>
      </c>
      <c r="B601" s="70" t="s">
        <v>2453</v>
      </c>
      <c r="C601" s="70" t="s">
        <v>477</v>
      </c>
      <c r="D601" s="70" t="s">
        <v>2452</v>
      </c>
      <c r="E601" s="70" t="s">
        <v>475</v>
      </c>
      <c r="F601" s="71">
        <v>91</v>
      </c>
      <c r="G601" s="71">
        <v>1</v>
      </c>
      <c r="H601" s="72" t="s">
        <v>4320</v>
      </c>
      <c r="I601" s="71" t="b">
        <v>1</v>
      </c>
      <c r="J601" s="71">
        <v>75</v>
      </c>
      <c r="K601" s="71">
        <v>64</v>
      </c>
      <c r="L601" s="71">
        <v>72</v>
      </c>
      <c r="M601" s="71">
        <v>18</v>
      </c>
      <c r="N601" s="71">
        <v>25</v>
      </c>
      <c r="O601" s="71">
        <v>0</v>
      </c>
      <c r="P601" s="71">
        <v>13</v>
      </c>
      <c r="Q601" s="71">
        <v>55</v>
      </c>
      <c r="R601" s="71">
        <v>92</v>
      </c>
      <c r="S601" s="71" t="s">
        <v>48</v>
      </c>
      <c r="T601" s="73" t="s">
        <v>4385</v>
      </c>
      <c r="U601" s="71" t="s">
        <v>3651</v>
      </c>
      <c r="V601" s="71" t="b">
        <v>0</v>
      </c>
    </row>
    <row r="602" spans="1:22" ht="17.25">
      <c r="A602" s="70">
        <v>417</v>
      </c>
      <c r="B602" s="70" t="s">
        <v>2451</v>
      </c>
      <c r="C602" s="70" t="s">
        <v>2061</v>
      </c>
      <c r="D602" s="70" t="s">
        <v>2450</v>
      </c>
      <c r="E602" s="70" t="s">
        <v>1485</v>
      </c>
      <c r="F602" s="71">
        <v>116</v>
      </c>
      <c r="G602" s="71">
        <v>1</v>
      </c>
      <c r="H602" s="72">
        <v>0.12847222222222221</v>
      </c>
      <c r="I602" s="71" t="b">
        <v>1</v>
      </c>
      <c r="J602" s="71">
        <v>72</v>
      </c>
      <c r="K602" s="71">
        <v>75</v>
      </c>
      <c r="L602" s="71">
        <v>80</v>
      </c>
      <c r="M602" s="71">
        <v>14</v>
      </c>
      <c r="N602" s="71">
        <v>5</v>
      </c>
      <c r="O602" s="71">
        <v>0</v>
      </c>
      <c r="P602" s="71">
        <v>12</v>
      </c>
      <c r="Q602" s="71">
        <v>48</v>
      </c>
      <c r="R602" s="71">
        <v>128</v>
      </c>
      <c r="S602" s="71" t="s">
        <v>48</v>
      </c>
      <c r="T602" s="73">
        <v>45793</v>
      </c>
      <c r="U602" s="71" t="s">
        <v>3396</v>
      </c>
      <c r="V602" s="71" t="b">
        <v>0</v>
      </c>
    </row>
    <row r="603" spans="1:22" ht="17.25">
      <c r="A603" s="70">
        <v>418</v>
      </c>
      <c r="B603" s="70" t="s">
        <v>2449</v>
      </c>
      <c r="C603" s="70" t="s">
        <v>4455</v>
      </c>
      <c r="D603" s="70" t="s">
        <v>2448</v>
      </c>
      <c r="E603" s="70" t="s">
        <v>2447</v>
      </c>
      <c r="F603" s="71">
        <v>81</v>
      </c>
      <c r="G603" s="71">
        <v>29</v>
      </c>
      <c r="H603" s="72">
        <v>0.12847222222222221</v>
      </c>
      <c r="I603" s="71" t="b">
        <v>0</v>
      </c>
      <c r="J603" s="71">
        <v>81</v>
      </c>
      <c r="K603" s="71">
        <v>72</v>
      </c>
      <c r="L603" s="71">
        <v>90</v>
      </c>
      <c r="M603" s="71">
        <v>7</v>
      </c>
      <c r="N603" s="71">
        <v>2</v>
      </c>
      <c r="O603" s="71">
        <v>0</v>
      </c>
      <c r="P603" s="71">
        <v>21</v>
      </c>
      <c r="Q603" s="71">
        <v>79</v>
      </c>
      <c r="R603" s="71">
        <v>80</v>
      </c>
      <c r="S603" s="71" t="s">
        <v>61</v>
      </c>
      <c r="T603" s="73">
        <v>45758</v>
      </c>
      <c r="U603" s="71" t="s">
        <v>3727</v>
      </c>
      <c r="V603" s="71" t="b">
        <v>0</v>
      </c>
    </row>
    <row r="604" spans="1:22" ht="17.25">
      <c r="A604" s="70">
        <v>418</v>
      </c>
      <c r="B604" s="70" t="s">
        <v>2449</v>
      </c>
      <c r="C604" s="70" t="s">
        <v>3097</v>
      </c>
      <c r="D604" s="70" t="s">
        <v>2448</v>
      </c>
      <c r="E604" s="70" t="s">
        <v>2447</v>
      </c>
      <c r="F604" s="71">
        <v>81</v>
      </c>
      <c r="G604" s="71">
        <v>29</v>
      </c>
      <c r="H604" s="72">
        <v>0.12847222222222221</v>
      </c>
      <c r="I604" s="71" t="b">
        <v>0</v>
      </c>
      <c r="J604" s="71">
        <v>81</v>
      </c>
      <c r="K604" s="71">
        <v>72</v>
      </c>
      <c r="L604" s="71">
        <v>90</v>
      </c>
      <c r="M604" s="71">
        <v>7</v>
      </c>
      <c r="N604" s="71">
        <v>2</v>
      </c>
      <c r="O604" s="71">
        <v>0</v>
      </c>
      <c r="P604" s="71">
        <v>21</v>
      </c>
      <c r="Q604" s="71">
        <v>79</v>
      </c>
      <c r="R604" s="71">
        <v>80</v>
      </c>
      <c r="S604" s="71" t="s">
        <v>61</v>
      </c>
      <c r="T604" s="73">
        <v>45758</v>
      </c>
      <c r="U604" s="71" t="s">
        <v>3727</v>
      </c>
      <c r="V604" s="71" t="b">
        <v>0</v>
      </c>
    </row>
    <row r="605" spans="1:22" ht="17.25">
      <c r="A605" s="70">
        <v>419</v>
      </c>
      <c r="B605" s="70" t="s">
        <v>2446</v>
      </c>
      <c r="C605" s="70" t="s">
        <v>4670</v>
      </c>
      <c r="D605" s="70" t="s">
        <v>2445</v>
      </c>
      <c r="E605" s="70" t="s">
        <v>2444</v>
      </c>
      <c r="F605" s="71">
        <v>121</v>
      </c>
      <c r="G605" s="71">
        <v>11</v>
      </c>
      <c r="H605" s="72">
        <v>0.1076388888888889</v>
      </c>
      <c r="I605" s="71" t="b">
        <v>1</v>
      </c>
      <c r="J605" s="71">
        <v>85</v>
      </c>
      <c r="K605" s="71">
        <v>82</v>
      </c>
      <c r="L605" s="71">
        <v>82</v>
      </c>
      <c r="M605" s="71">
        <v>14</v>
      </c>
      <c r="N605" s="71">
        <v>5</v>
      </c>
      <c r="O605" s="71">
        <v>0</v>
      </c>
      <c r="P605" s="71">
        <v>15</v>
      </c>
      <c r="Q605" s="71">
        <v>72</v>
      </c>
      <c r="R605" s="71">
        <v>130</v>
      </c>
      <c r="S605" s="71" t="s">
        <v>88</v>
      </c>
      <c r="T605" s="73">
        <v>45765</v>
      </c>
      <c r="U605" s="71" t="s">
        <v>3728</v>
      </c>
      <c r="V605" s="71" t="b">
        <v>0</v>
      </c>
    </row>
    <row r="606" spans="1:22" ht="17.25">
      <c r="A606" s="70">
        <v>419</v>
      </c>
      <c r="B606" s="70" t="s">
        <v>2446</v>
      </c>
      <c r="C606" s="70" t="s">
        <v>4669</v>
      </c>
      <c r="D606" s="70" t="s">
        <v>2445</v>
      </c>
      <c r="E606" s="70" t="s">
        <v>2444</v>
      </c>
      <c r="F606" s="71">
        <v>121</v>
      </c>
      <c r="G606" s="71">
        <v>11</v>
      </c>
      <c r="H606" s="72">
        <v>0.1076388888888889</v>
      </c>
      <c r="I606" s="71" t="b">
        <v>1</v>
      </c>
      <c r="J606" s="71">
        <v>85</v>
      </c>
      <c r="K606" s="71">
        <v>82</v>
      </c>
      <c r="L606" s="71">
        <v>82</v>
      </c>
      <c r="M606" s="71">
        <v>14</v>
      </c>
      <c r="N606" s="71">
        <v>5</v>
      </c>
      <c r="O606" s="71">
        <v>0</v>
      </c>
      <c r="P606" s="71">
        <v>15</v>
      </c>
      <c r="Q606" s="71">
        <v>72</v>
      </c>
      <c r="R606" s="71">
        <v>130</v>
      </c>
      <c r="S606" s="71" t="s">
        <v>88</v>
      </c>
      <c r="T606" s="73">
        <v>45765</v>
      </c>
      <c r="U606" s="71" t="s">
        <v>3728</v>
      </c>
      <c r="V606" s="71" t="b">
        <v>0</v>
      </c>
    </row>
    <row r="607" spans="1:22" ht="17.25">
      <c r="A607" s="70">
        <v>419</v>
      </c>
      <c r="B607" s="70" t="s">
        <v>2446</v>
      </c>
      <c r="C607" s="70" t="s">
        <v>2439</v>
      </c>
      <c r="D607" s="70" t="s">
        <v>2445</v>
      </c>
      <c r="E607" s="70" t="s">
        <v>2444</v>
      </c>
      <c r="F607" s="71">
        <v>121</v>
      </c>
      <c r="G607" s="71">
        <v>11</v>
      </c>
      <c r="H607" s="72">
        <v>0.1076388888888889</v>
      </c>
      <c r="I607" s="71" t="b">
        <v>1</v>
      </c>
      <c r="J607" s="71">
        <v>85</v>
      </c>
      <c r="K607" s="71">
        <v>82</v>
      </c>
      <c r="L607" s="71">
        <v>82</v>
      </c>
      <c r="M607" s="71">
        <v>14</v>
      </c>
      <c r="N607" s="71">
        <v>5</v>
      </c>
      <c r="O607" s="71">
        <v>0</v>
      </c>
      <c r="P607" s="71">
        <v>15</v>
      </c>
      <c r="Q607" s="71">
        <v>72</v>
      </c>
      <c r="R607" s="71">
        <v>130</v>
      </c>
      <c r="S607" s="71" t="s">
        <v>88</v>
      </c>
      <c r="T607" s="73">
        <v>45765</v>
      </c>
      <c r="U607" s="71" t="s">
        <v>3728</v>
      </c>
      <c r="V607" s="71" t="b">
        <v>0</v>
      </c>
    </row>
    <row r="608" spans="1:22" ht="17.25">
      <c r="A608" s="70">
        <v>420</v>
      </c>
      <c r="B608" s="70" t="s">
        <v>2443</v>
      </c>
      <c r="C608" s="70" t="s">
        <v>4672</v>
      </c>
      <c r="D608" s="70" t="s">
        <v>2442</v>
      </c>
      <c r="E608" s="70" t="s">
        <v>2441</v>
      </c>
      <c r="F608" s="71">
        <v>129</v>
      </c>
      <c r="G608" s="71">
        <v>2</v>
      </c>
      <c r="H608" s="72" t="s">
        <v>4317</v>
      </c>
      <c r="I608" s="71" t="b">
        <v>1</v>
      </c>
      <c r="J608" s="71">
        <v>82</v>
      </c>
      <c r="K608" s="71">
        <v>78</v>
      </c>
      <c r="L608" s="71">
        <v>75</v>
      </c>
      <c r="M608" s="71">
        <v>8</v>
      </c>
      <c r="N608" s="71">
        <v>16</v>
      </c>
      <c r="O608" s="71">
        <v>0</v>
      </c>
      <c r="P608" s="71">
        <v>20</v>
      </c>
      <c r="Q608" s="71">
        <v>83</v>
      </c>
      <c r="R608" s="71">
        <v>128</v>
      </c>
      <c r="S608" s="71" t="s">
        <v>312</v>
      </c>
      <c r="T608" s="73" t="s">
        <v>4392</v>
      </c>
      <c r="U608" s="71" t="s">
        <v>3729</v>
      </c>
      <c r="V608" s="71" t="b">
        <v>0</v>
      </c>
    </row>
    <row r="609" spans="1:22" ht="17.25">
      <c r="A609" s="70">
        <v>420</v>
      </c>
      <c r="B609" s="70" t="s">
        <v>2443</v>
      </c>
      <c r="C609" s="70" t="s">
        <v>4463</v>
      </c>
      <c r="D609" s="70" t="s">
        <v>2442</v>
      </c>
      <c r="E609" s="70" t="s">
        <v>2441</v>
      </c>
      <c r="F609" s="71">
        <v>129</v>
      </c>
      <c r="G609" s="71">
        <v>2</v>
      </c>
      <c r="H609" s="72" t="s">
        <v>4317</v>
      </c>
      <c r="I609" s="71" t="b">
        <v>1</v>
      </c>
      <c r="J609" s="71">
        <v>82</v>
      </c>
      <c r="K609" s="71">
        <v>78</v>
      </c>
      <c r="L609" s="71">
        <v>75</v>
      </c>
      <c r="M609" s="71">
        <v>8</v>
      </c>
      <c r="N609" s="71">
        <v>16</v>
      </c>
      <c r="O609" s="71">
        <v>0</v>
      </c>
      <c r="P609" s="71">
        <v>20</v>
      </c>
      <c r="Q609" s="71">
        <v>83</v>
      </c>
      <c r="R609" s="71">
        <v>128</v>
      </c>
      <c r="S609" s="71" t="s">
        <v>312</v>
      </c>
      <c r="T609" s="73" t="s">
        <v>4392</v>
      </c>
      <c r="U609" s="71" t="s">
        <v>3729</v>
      </c>
      <c r="V609" s="71" t="b">
        <v>0</v>
      </c>
    </row>
    <row r="610" spans="1:22" ht="17.25">
      <c r="A610" s="70">
        <v>420</v>
      </c>
      <c r="B610" s="70" t="s">
        <v>2443</v>
      </c>
      <c r="C610" s="70" t="s">
        <v>4673</v>
      </c>
      <c r="D610" s="70" t="s">
        <v>2442</v>
      </c>
      <c r="E610" s="70" t="s">
        <v>2441</v>
      </c>
      <c r="F610" s="71">
        <v>129</v>
      </c>
      <c r="G610" s="71">
        <v>2</v>
      </c>
      <c r="H610" s="72" t="s">
        <v>4317</v>
      </c>
      <c r="I610" s="71" t="b">
        <v>1</v>
      </c>
      <c r="J610" s="71">
        <v>82</v>
      </c>
      <c r="K610" s="71">
        <v>78</v>
      </c>
      <c r="L610" s="71">
        <v>75</v>
      </c>
      <c r="M610" s="71">
        <v>8</v>
      </c>
      <c r="N610" s="71">
        <v>16</v>
      </c>
      <c r="O610" s="71">
        <v>0</v>
      </c>
      <c r="P610" s="71">
        <v>20</v>
      </c>
      <c r="Q610" s="71">
        <v>83</v>
      </c>
      <c r="R610" s="71">
        <v>128</v>
      </c>
      <c r="S610" s="71" t="s">
        <v>312</v>
      </c>
      <c r="T610" s="73" t="s">
        <v>4392</v>
      </c>
      <c r="U610" s="71" t="s">
        <v>3729</v>
      </c>
      <c r="V610" s="71" t="b">
        <v>0</v>
      </c>
    </row>
    <row r="611" spans="1:22" ht="17.25">
      <c r="A611" s="70">
        <v>420</v>
      </c>
      <c r="B611" s="70" t="s">
        <v>2443</v>
      </c>
      <c r="C611" s="70" t="s">
        <v>4671</v>
      </c>
      <c r="D611" s="70" t="s">
        <v>2442</v>
      </c>
      <c r="E611" s="70" t="s">
        <v>2441</v>
      </c>
      <c r="F611" s="71">
        <v>129</v>
      </c>
      <c r="G611" s="71">
        <v>2</v>
      </c>
      <c r="H611" s="72" t="s">
        <v>4317</v>
      </c>
      <c r="I611" s="71" t="b">
        <v>1</v>
      </c>
      <c r="J611" s="71">
        <v>82</v>
      </c>
      <c r="K611" s="71">
        <v>78</v>
      </c>
      <c r="L611" s="71">
        <v>75</v>
      </c>
      <c r="M611" s="71">
        <v>8</v>
      </c>
      <c r="N611" s="71">
        <v>16</v>
      </c>
      <c r="O611" s="71">
        <v>0</v>
      </c>
      <c r="P611" s="71">
        <v>20</v>
      </c>
      <c r="Q611" s="71">
        <v>83</v>
      </c>
      <c r="R611" s="71">
        <v>128</v>
      </c>
      <c r="S611" s="71" t="s">
        <v>312</v>
      </c>
      <c r="T611" s="73" t="s">
        <v>4392</v>
      </c>
      <c r="U611" s="71" t="s">
        <v>3729</v>
      </c>
      <c r="V611" s="71" t="b">
        <v>0</v>
      </c>
    </row>
    <row r="612" spans="1:22" ht="17.25">
      <c r="A612" s="70">
        <v>421</v>
      </c>
      <c r="B612" s="70" t="s">
        <v>2440</v>
      </c>
      <c r="C612" s="70" t="s">
        <v>4530</v>
      </c>
      <c r="D612" s="70" t="s">
        <v>1089</v>
      </c>
      <c r="E612" s="70" t="s">
        <v>124</v>
      </c>
      <c r="F612" s="71">
        <v>24</v>
      </c>
      <c r="G612" s="71">
        <v>1</v>
      </c>
      <c r="H612" s="72">
        <v>0.12847222222222221</v>
      </c>
      <c r="I612" s="71" t="b">
        <v>1</v>
      </c>
      <c r="J612" s="71">
        <v>77</v>
      </c>
      <c r="K612" s="71">
        <v>92</v>
      </c>
      <c r="L612" s="71">
        <v>92</v>
      </c>
      <c r="M612" s="71">
        <v>6</v>
      </c>
      <c r="N612" s="71">
        <v>0</v>
      </c>
      <c r="O612" s="71">
        <v>0</v>
      </c>
      <c r="P612" s="71">
        <v>27</v>
      </c>
      <c r="Q612" s="71">
        <v>71</v>
      </c>
      <c r="R612" s="71">
        <v>97</v>
      </c>
      <c r="S612" s="71" t="s">
        <v>48</v>
      </c>
      <c r="T612" s="73">
        <v>45723</v>
      </c>
      <c r="U612" s="71" t="s">
        <v>3730</v>
      </c>
      <c r="V612" s="71" t="b">
        <v>0</v>
      </c>
    </row>
    <row r="613" spans="1:22" ht="17.25">
      <c r="A613" s="70">
        <v>421</v>
      </c>
      <c r="B613" s="70" t="s">
        <v>2440</v>
      </c>
      <c r="C613" s="70" t="s">
        <v>1158</v>
      </c>
      <c r="D613" s="70" t="s">
        <v>1089</v>
      </c>
      <c r="E613" s="70" t="s">
        <v>124</v>
      </c>
      <c r="F613" s="71">
        <v>24</v>
      </c>
      <c r="G613" s="71">
        <v>1</v>
      </c>
      <c r="H613" s="72">
        <v>0.12847222222222221</v>
      </c>
      <c r="I613" s="71" t="b">
        <v>1</v>
      </c>
      <c r="J613" s="71">
        <v>77</v>
      </c>
      <c r="K613" s="71">
        <v>92</v>
      </c>
      <c r="L613" s="71">
        <v>92</v>
      </c>
      <c r="M613" s="71">
        <v>6</v>
      </c>
      <c r="N613" s="71">
        <v>0</v>
      </c>
      <c r="O613" s="71">
        <v>0</v>
      </c>
      <c r="P613" s="71">
        <v>27</v>
      </c>
      <c r="Q613" s="71">
        <v>71</v>
      </c>
      <c r="R613" s="71">
        <v>97</v>
      </c>
      <c r="S613" s="71" t="s">
        <v>48</v>
      </c>
      <c r="T613" s="73">
        <v>45723</v>
      </c>
      <c r="U613" s="71" t="s">
        <v>3730</v>
      </c>
      <c r="V613" s="71" t="b">
        <v>0</v>
      </c>
    </row>
    <row r="614" spans="1:22" ht="17.25">
      <c r="A614" s="70">
        <v>423</v>
      </c>
      <c r="B614" s="70" t="s">
        <v>2436</v>
      </c>
      <c r="C614" s="70" t="s">
        <v>570</v>
      </c>
      <c r="D614" s="70" t="s">
        <v>2292</v>
      </c>
      <c r="E614" s="70" t="s">
        <v>568</v>
      </c>
      <c r="F614" s="71">
        <v>137</v>
      </c>
      <c r="G614" s="71">
        <v>1</v>
      </c>
      <c r="H614" s="72">
        <v>0.11666666666666667</v>
      </c>
      <c r="I614" s="71" t="b">
        <v>0</v>
      </c>
      <c r="J614" s="71">
        <v>80</v>
      </c>
      <c r="K614" s="71">
        <v>80</v>
      </c>
      <c r="L614" s="71">
        <v>81</v>
      </c>
      <c r="M614" s="71">
        <v>10</v>
      </c>
      <c r="N614" s="71">
        <v>8</v>
      </c>
      <c r="O614" s="71">
        <v>0</v>
      </c>
      <c r="P614" s="71">
        <v>13</v>
      </c>
      <c r="Q614" s="71">
        <v>65</v>
      </c>
      <c r="R614" s="71">
        <v>122</v>
      </c>
      <c r="S614" s="71" t="s">
        <v>115</v>
      </c>
      <c r="T614" s="73">
        <v>45765</v>
      </c>
      <c r="U614" s="71" t="s">
        <v>3731</v>
      </c>
      <c r="V614" s="71" t="b">
        <v>0</v>
      </c>
    </row>
    <row r="615" spans="1:22" ht="17.25">
      <c r="A615" s="70">
        <v>424</v>
      </c>
      <c r="B615" s="70" t="s">
        <v>2435</v>
      </c>
      <c r="C615" s="70" t="s">
        <v>4405</v>
      </c>
      <c r="D615" s="70" t="s">
        <v>2434</v>
      </c>
      <c r="E615" s="70" t="s">
        <v>124</v>
      </c>
      <c r="F615" s="71">
        <v>1</v>
      </c>
      <c r="G615" s="71">
        <v>157</v>
      </c>
      <c r="H615" s="72">
        <v>0.12777777777777777</v>
      </c>
      <c r="I615" s="71" t="b">
        <v>1</v>
      </c>
      <c r="J615" s="71">
        <v>79</v>
      </c>
      <c r="K615" s="71">
        <v>83</v>
      </c>
      <c r="L615" s="71">
        <v>93</v>
      </c>
      <c r="M615" s="71">
        <v>4</v>
      </c>
      <c r="N615" s="71">
        <v>31</v>
      </c>
      <c r="O615" s="71">
        <v>0</v>
      </c>
      <c r="P615" s="71">
        <v>8</v>
      </c>
      <c r="Q615" s="71">
        <v>87</v>
      </c>
      <c r="R615" s="71">
        <v>125</v>
      </c>
      <c r="S615" s="71" t="s">
        <v>96</v>
      </c>
      <c r="T615" s="73">
        <v>45121</v>
      </c>
      <c r="U615" s="71" t="s">
        <v>3732</v>
      </c>
      <c r="V615" s="71" t="b">
        <v>0</v>
      </c>
    </row>
    <row r="616" spans="1:22" ht="17.25">
      <c r="A616" s="70">
        <v>424</v>
      </c>
      <c r="B616" s="70" t="s">
        <v>2435</v>
      </c>
      <c r="C616" s="70" t="s">
        <v>4674</v>
      </c>
      <c r="D616" s="70" t="s">
        <v>2434</v>
      </c>
      <c r="E616" s="70" t="s">
        <v>124</v>
      </c>
      <c r="F616" s="71">
        <v>1</v>
      </c>
      <c r="G616" s="71">
        <v>157</v>
      </c>
      <c r="H616" s="72">
        <v>0.12777777777777777</v>
      </c>
      <c r="I616" s="71" t="b">
        <v>1</v>
      </c>
      <c r="J616" s="71">
        <v>79</v>
      </c>
      <c r="K616" s="71">
        <v>83</v>
      </c>
      <c r="L616" s="71">
        <v>93</v>
      </c>
      <c r="M616" s="71">
        <v>4</v>
      </c>
      <c r="N616" s="71">
        <v>31</v>
      </c>
      <c r="O616" s="71">
        <v>0</v>
      </c>
      <c r="P616" s="71">
        <v>8</v>
      </c>
      <c r="Q616" s="71">
        <v>87</v>
      </c>
      <c r="R616" s="71">
        <v>125</v>
      </c>
      <c r="S616" s="71" t="s">
        <v>96</v>
      </c>
      <c r="T616" s="73">
        <v>45121</v>
      </c>
      <c r="U616" s="71" t="s">
        <v>3732</v>
      </c>
      <c r="V616" s="71" t="b">
        <v>0</v>
      </c>
    </row>
    <row r="617" spans="1:22" ht="17.25">
      <c r="A617" s="70">
        <v>425</v>
      </c>
      <c r="B617" s="70" t="s">
        <v>2433</v>
      </c>
      <c r="C617" s="70" t="s">
        <v>32</v>
      </c>
      <c r="D617" s="70" t="s">
        <v>2432</v>
      </c>
      <c r="E617" s="70" t="s">
        <v>30</v>
      </c>
      <c r="F617" s="71">
        <v>1</v>
      </c>
      <c r="G617" s="71">
        <v>129</v>
      </c>
      <c r="H617" s="72">
        <v>0.12152777777777778</v>
      </c>
      <c r="I617" s="71" t="b">
        <v>1</v>
      </c>
      <c r="J617" s="71">
        <v>70</v>
      </c>
      <c r="K617" s="71">
        <v>78</v>
      </c>
      <c r="L617" s="71">
        <v>91</v>
      </c>
      <c r="M617" s="71">
        <v>3</v>
      </c>
      <c r="N617" s="71">
        <v>13</v>
      </c>
      <c r="O617" s="71">
        <v>0</v>
      </c>
      <c r="P617" s="71">
        <v>20</v>
      </c>
      <c r="Q617" s="71">
        <v>71</v>
      </c>
      <c r="R617" s="71">
        <v>104</v>
      </c>
      <c r="S617" s="71" t="s">
        <v>96</v>
      </c>
      <c r="T617" s="73">
        <v>45393</v>
      </c>
      <c r="U617" s="71" t="s">
        <v>3621</v>
      </c>
      <c r="V617" s="71" t="b">
        <v>0</v>
      </c>
    </row>
    <row r="618" spans="1:22" ht="17.25">
      <c r="A618" s="70">
        <v>426</v>
      </c>
      <c r="B618" s="70" t="s">
        <v>2431</v>
      </c>
      <c r="C618" s="70" t="s">
        <v>4675</v>
      </c>
      <c r="D618" s="70" t="s">
        <v>2430</v>
      </c>
      <c r="E618" s="70" t="s">
        <v>290</v>
      </c>
      <c r="F618" s="71">
        <v>47</v>
      </c>
      <c r="G618" s="71">
        <v>74</v>
      </c>
      <c r="H618" s="72">
        <v>0.26805555555555555</v>
      </c>
      <c r="I618" s="71" t="b">
        <v>1</v>
      </c>
      <c r="J618" s="71">
        <v>72</v>
      </c>
      <c r="K618" s="71">
        <v>53</v>
      </c>
      <c r="L618" s="71">
        <v>88</v>
      </c>
      <c r="M618" s="71">
        <v>16</v>
      </c>
      <c r="N618" s="71">
        <v>7</v>
      </c>
      <c r="O618" s="71">
        <v>0</v>
      </c>
      <c r="P618" s="71">
        <v>22</v>
      </c>
      <c r="Q618" s="71">
        <v>34</v>
      </c>
      <c r="R618" s="71">
        <v>72</v>
      </c>
      <c r="S618" s="71" t="s">
        <v>48</v>
      </c>
      <c r="T618" s="73">
        <v>41204</v>
      </c>
      <c r="U618" s="71" t="s">
        <v>3733</v>
      </c>
      <c r="V618" s="71" t="b">
        <v>0</v>
      </c>
    </row>
    <row r="619" spans="1:22" ht="17.25">
      <c r="A619" s="70">
        <v>426</v>
      </c>
      <c r="B619" s="70" t="s">
        <v>2431</v>
      </c>
      <c r="C619" s="70" t="s">
        <v>292</v>
      </c>
      <c r="D619" s="70" t="s">
        <v>2430</v>
      </c>
      <c r="E619" s="70" t="s">
        <v>290</v>
      </c>
      <c r="F619" s="71">
        <v>47</v>
      </c>
      <c r="G619" s="71">
        <v>74</v>
      </c>
      <c r="H619" s="72">
        <v>0.26805555555555555</v>
      </c>
      <c r="I619" s="71" t="b">
        <v>1</v>
      </c>
      <c r="J619" s="71">
        <v>72</v>
      </c>
      <c r="K619" s="71">
        <v>53</v>
      </c>
      <c r="L619" s="71">
        <v>88</v>
      </c>
      <c r="M619" s="71">
        <v>16</v>
      </c>
      <c r="N619" s="71">
        <v>7</v>
      </c>
      <c r="O619" s="71">
        <v>0</v>
      </c>
      <c r="P619" s="71">
        <v>22</v>
      </c>
      <c r="Q619" s="71">
        <v>34</v>
      </c>
      <c r="R619" s="71">
        <v>72</v>
      </c>
      <c r="S619" s="71" t="s">
        <v>48</v>
      </c>
      <c r="T619" s="73">
        <v>41204</v>
      </c>
      <c r="U619" s="71" t="s">
        <v>3733</v>
      </c>
      <c r="V619" s="71" t="b">
        <v>0</v>
      </c>
    </row>
    <row r="620" spans="1:22" ht="17.25">
      <c r="A620" s="70">
        <v>427</v>
      </c>
      <c r="B620" s="70" t="s">
        <v>2429</v>
      </c>
      <c r="C620" s="70" t="s">
        <v>4676</v>
      </c>
      <c r="D620" s="70" t="s">
        <v>2428</v>
      </c>
      <c r="E620" s="70" t="s">
        <v>2427</v>
      </c>
      <c r="F620" s="71">
        <v>57</v>
      </c>
      <c r="G620" s="71">
        <v>2</v>
      </c>
      <c r="H620" s="72" t="s">
        <v>4315</v>
      </c>
      <c r="I620" s="71" t="b">
        <v>1</v>
      </c>
      <c r="J620" s="71">
        <v>74</v>
      </c>
      <c r="K620" s="71">
        <v>64</v>
      </c>
      <c r="L620" s="71">
        <v>72</v>
      </c>
      <c r="M620" s="71">
        <v>16</v>
      </c>
      <c r="N620" s="71">
        <v>28</v>
      </c>
      <c r="O620" s="71">
        <v>0</v>
      </c>
      <c r="P620" s="71">
        <v>15</v>
      </c>
      <c r="Q620" s="71">
        <v>52</v>
      </c>
      <c r="R620" s="71">
        <v>120</v>
      </c>
      <c r="S620" s="71" t="s">
        <v>56</v>
      </c>
      <c r="T620" s="73" t="s">
        <v>4388</v>
      </c>
      <c r="U620" s="71" t="s">
        <v>3734</v>
      </c>
      <c r="V620" s="71" t="b">
        <v>0</v>
      </c>
    </row>
    <row r="621" spans="1:22" ht="17.25">
      <c r="A621" s="70">
        <v>427</v>
      </c>
      <c r="B621" s="70" t="s">
        <v>2429</v>
      </c>
      <c r="C621" s="70" t="s">
        <v>4464</v>
      </c>
      <c r="D621" s="70" t="s">
        <v>2428</v>
      </c>
      <c r="E621" s="70" t="s">
        <v>2427</v>
      </c>
      <c r="F621" s="71">
        <v>57</v>
      </c>
      <c r="G621" s="71">
        <v>2</v>
      </c>
      <c r="H621" s="72" t="s">
        <v>4315</v>
      </c>
      <c r="I621" s="71" t="b">
        <v>1</v>
      </c>
      <c r="J621" s="71">
        <v>74</v>
      </c>
      <c r="K621" s="71">
        <v>64</v>
      </c>
      <c r="L621" s="71">
        <v>72</v>
      </c>
      <c r="M621" s="71">
        <v>16</v>
      </c>
      <c r="N621" s="71">
        <v>28</v>
      </c>
      <c r="O621" s="71">
        <v>0</v>
      </c>
      <c r="P621" s="71">
        <v>15</v>
      </c>
      <c r="Q621" s="71">
        <v>52</v>
      </c>
      <c r="R621" s="71">
        <v>120</v>
      </c>
      <c r="S621" s="71" t="s">
        <v>56</v>
      </c>
      <c r="T621" s="73" t="s">
        <v>4388</v>
      </c>
      <c r="U621" s="71" t="s">
        <v>3734</v>
      </c>
      <c r="V621" s="71" t="b">
        <v>0</v>
      </c>
    </row>
    <row r="622" spans="1:22" ht="17.25">
      <c r="A622" s="70">
        <v>428</v>
      </c>
      <c r="B622" s="70" t="s">
        <v>2426</v>
      </c>
      <c r="C622" s="70" t="s">
        <v>511</v>
      </c>
      <c r="D622" s="70" t="s">
        <v>2425</v>
      </c>
      <c r="E622" s="70" t="s">
        <v>124</v>
      </c>
      <c r="F622" s="71">
        <v>8</v>
      </c>
      <c r="G622" s="71">
        <v>13</v>
      </c>
      <c r="H622" s="72" t="s">
        <v>4320</v>
      </c>
      <c r="I622" s="71" t="b">
        <v>0</v>
      </c>
      <c r="J622" s="71">
        <v>73</v>
      </c>
      <c r="K622" s="71">
        <v>68</v>
      </c>
      <c r="L622" s="71">
        <v>73</v>
      </c>
      <c r="M622" s="71">
        <v>7</v>
      </c>
      <c r="N622" s="71">
        <v>16</v>
      </c>
      <c r="O622" s="71">
        <v>0</v>
      </c>
      <c r="P622" s="71">
        <v>12</v>
      </c>
      <c r="Q622" s="71">
        <v>63</v>
      </c>
      <c r="R622" s="71">
        <v>130</v>
      </c>
      <c r="S622" s="71" t="s">
        <v>115</v>
      </c>
      <c r="T622" s="73" t="s">
        <v>4341</v>
      </c>
      <c r="U622" s="71" t="s">
        <v>3435</v>
      </c>
      <c r="V622" s="71" t="b">
        <v>0</v>
      </c>
    </row>
    <row r="623" spans="1:22" ht="17.25">
      <c r="A623" s="70">
        <v>429</v>
      </c>
      <c r="B623" s="70" t="s">
        <v>2424</v>
      </c>
      <c r="C623" s="70" t="s">
        <v>430</v>
      </c>
      <c r="D623" s="70" t="s">
        <v>2423</v>
      </c>
      <c r="E623" s="70" t="s">
        <v>75</v>
      </c>
      <c r="F623" s="71">
        <v>61</v>
      </c>
      <c r="G623" s="71">
        <v>1</v>
      </c>
      <c r="H623" s="72">
        <v>0.12152777777777778</v>
      </c>
      <c r="I623" s="71" t="b">
        <v>1</v>
      </c>
      <c r="J623" s="71">
        <v>51</v>
      </c>
      <c r="K623" s="71">
        <v>62</v>
      </c>
      <c r="L623" s="71">
        <v>90</v>
      </c>
      <c r="M623" s="71">
        <v>14</v>
      </c>
      <c r="N623" s="71">
        <v>37</v>
      </c>
      <c r="O623" s="71">
        <v>0</v>
      </c>
      <c r="P623" s="71">
        <v>8</v>
      </c>
      <c r="Q623" s="71">
        <v>42</v>
      </c>
      <c r="R623" s="71">
        <v>187</v>
      </c>
      <c r="S623" s="71" t="s">
        <v>96</v>
      </c>
      <c r="T623" s="73">
        <v>45359</v>
      </c>
      <c r="U623" s="71" t="s">
        <v>3735</v>
      </c>
      <c r="V623" s="71" t="b">
        <v>0</v>
      </c>
    </row>
    <row r="624" spans="1:22" ht="17.25">
      <c r="A624" s="70">
        <v>430</v>
      </c>
      <c r="B624" s="70" t="s">
        <v>2422</v>
      </c>
      <c r="C624" s="70" t="s">
        <v>461</v>
      </c>
      <c r="D624" s="70" t="s">
        <v>2421</v>
      </c>
      <c r="E624" s="70" t="s">
        <v>461</v>
      </c>
      <c r="F624" s="71">
        <v>123</v>
      </c>
      <c r="G624" s="71">
        <v>14</v>
      </c>
      <c r="H624" s="72">
        <v>0.15833333333333333</v>
      </c>
      <c r="I624" s="71" t="b">
        <v>0</v>
      </c>
      <c r="J624" s="71">
        <v>55</v>
      </c>
      <c r="K624" s="71">
        <v>55</v>
      </c>
      <c r="L624" s="71">
        <v>74</v>
      </c>
      <c r="M624" s="71">
        <v>5</v>
      </c>
      <c r="N624" s="71">
        <v>45</v>
      </c>
      <c r="O624" s="71">
        <v>0</v>
      </c>
      <c r="P624" s="71">
        <v>10</v>
      </c>
      <c r="Q624" s="71">
        <v>48</v>
      </c>
      <c r="R624" s="71">
        <v>90</v>
      </c>
      <c r="S624" s="71" t="s">
        <v>74</v>
      </c>
      <c r="T624" s="73">
        <v>45632</v>
      </c>
      <c r="U624" s="71" t="s">
        <v>3736</v>
      </c>
      <c r="V624" s="71" t="b">
        <v>0</v>
      </c>
    </row>
    <row r="625" spans="1:22" ht="17.25">
      <c r="A625" s="70">
        <v>431</v>
      </c>
      <c r="B625" s="70" t="s">
        <v>2420</v>
      </c>
      <c r="C625" s="70" t="s">
        <v>301</v>
      </c>
      <c r="D625" s="70" t="s">
        <v>2419</v>
      </c>
      <c r="E625" s="70" t="s">
        <v>44</v>
      </c>
      <c r="F625" s="71">
        <v>56</v>
      </c>
      <c r="G625" s="71">
        <v>1</v>
      </c>
      <c r="H625" s="72" t="s">
        <v>4320</v>
      </c>
      <c r="I625" s="71" t="b">
        <v>0</v>
      </c>
      <c r="J625" s="71">
        <v>75</v>
      </c>
      <c r="K625" s="71">
        <v>67</v>
      </c>
      <c r="L625" s="71">
        <v>73</v>
      </c>
      <c r="M625" s="71">
        <v>7</v>
      </c>
      <c r="N625" s="71">
        <v>28</v>
      </c>
      <c r="O625" s="71">
        <v>0</v>
      </c>
      <c r="P625" s="71">
        <v>13</v>
      </c>
      <c r="Q625" s="71">
        <v>59</v>
      </c>
      <c r="R625" s="71">
        <v>126</v>
      </c>
      <c r="S625" s="71" t="s">
        <v>183</v>
      </c>
      <c r="T625" s="73" t="s">
        <v>4359</v>
      </c>
      <c r="U625" s="71" t="s">
        <v>3638</v>
      </c>
      <c r="V625" s="71" t="b">
        <v>0</v>
      </c>
    </row>
    <row r="626" spans="1:22" ht="17.25">
      <c r="A626" s="70">
        <v>432</v>
      </c>
      <c r="B626" s="70" t="s">
        <v>2418</v>
      </c>
      <c r="C626" s="70" t="s">
        <v>67</v>
      </c>
      <c r="D626" s="70" t="s">
        <v>2417</v>
      </c>
      <c r="E626" s="70" t="s">
        <v>65</v>
      </c>
      <c r="F626" s="71">
        <v>94</v>
      </c>
      <c r="G626" s="71">
        <v>1</v>
      </c>
      <c r="H626" s="72">
        <v>0.11666666666666667</v>
      </c>
      <c r="I626" s="71" t="b">
        <v>1</v>
      </c>
      <c r="J626" s="71">
        <v>73</v>
      </c>
      <c r="K626" s="71">
        <v>66</v>
      </c>
      <c r="L626" s="71">
        <v>84</v>
      </c>
      <c r="M626" s="71">
        <v>5</v>
      </c>
      <c r="N626" s="71">
        <v>0</v>
      </c>
      <c r="O626" s="71">
        <v>0</v>
      </c>
      <c r="P626" s="71">
        <v>14</v>
      </c>
      <c r="Q626" s="71">
        <v>4</v>
      </c>
      <c r="R626" s="71">
        <v>112</v>
      </c>
      <c r="S626" s="71" t="s">
        <v>48</v>
      </c>
      <c r="T626" s="73">
        <v>45730</v>
      </c>
      <c r="U626" s="71" t="s">
        <v>3386</v>
      </c>
      <c r="V626" s="71" t="b">
        <v>0</v>
      </c>
    </row>
    <row r="627" spans="1:22" ht="17.25">
      <c r="A627" s="70">
        <v>433</v>
      </c>
      <c r="B627" s="70" t="s">
        <v>2416</v>
      </c>
      <c r="C627" s="70" t="s">
        <v>4465</v>
      </c>
      <c r="D627" s="70" t="s">
        <v>411</v>
      </c>
      <c r="E627" s="70" t="s">
        <v>410</v>
      </c>
      <c r="F627" s="71">
        <v>15</v>
      </c>
      <c r="G627" s="71">
        <v>32</v>
      </c>
      <c r="H627" s="72">
        <v>0.12847222222222221</v>
      </c>
      <c r="I627" s="71" t="b">
        <v>0</v>
      </c>
      <c r="J627" s="71">
        <v>80</v>
      </c>
      <c r="K627" s="71">
        <v>76</v>
      </c>
      <c r="L627" s="71">
        <v>91</v>
      </c>
      <c r="M627" s="71">
        <v>7</v>
      </c>
      <c r="N627" s="71">
        <v>19</v>
      </c>
      <c r="O627" s="71">
        <v>0</v>
      </c>
      <c r="P627" s="71">
        <v>9</v>
      </c>
      <c r="Q627" s="71">
        <v>45</v>
      </c>
      <c r="R627" s="71">
        <v>100</v>
      </c>
      <c r="S627" s="71" t="s">
        <v>61</v>
      </c>
      <c r="T627" s="73">
        <v>45730</v>
      </c>
      <c r="U627" s="71" t="s">
        <v>3737</v>
      </c>
      <c r="V627" s="71" t="b">
        <v>0</v>
      </c>
    </row>
    <row r="628" spans="1:22" ht="17.25">
      <c r="A628" s="70">
        <v>433</v>
      </c>
      <c r="B628" s="70" t="s">
        <v>2416</v>
      </c>
      <c r="C628" s="70" t="s">
        <v>485</v>
      </c>
      <c r="D628" s="70" t="s">
        <v>411</v>
      </c>
      <c r="E628" s="70" t="s">
        <v>410</v>
      </c>
      <c r="F628" s="71">
        <v>15</v>
      </c>
      <c r="G628" s="71">
        <v>32</v>
      </c>
      <c r="H628" s="72">
        <v>0.12847222222222221</v>
      </c>
      <c r="I628" s="71" t="b">
        <v>0</v>
      </c>
      <c r="J628" s="71">
        <v>80</v>
      </c>
      <c r="K628" s="71">
        <v>76</v>
      </c>
      <c r="L628" s="71">
        <v>91</v>
      </c>
      <c r="M628" s="71">
        <v>7</v>
      </c>
      <c r="N628" s="71">
        <v>19</v>
      </c>
      <c r="O628" s="71">
        <v>0</v>
      </c>
      <c r="P628" s="71">
        <v>9</v>
      </c>
      <c r="Q628" s="71">
        <v>45</v>
      </c>
      <c r="R628" s="71">
        <v>100</v>
      </c>
      <c r="S628" s="71" t="s">
        <v>61</v>
      </c>
      <c r="T628" s="73">
        <v>45730</v>
      </c>
      <c r="U628" s="71" t="s">
        <v>3737</v>
      </c>
      <c r="V628" s="71" t="b">
        <v>0</v>
      </c>
    </row>
    <row r="629" spans="1:22" ht="17.25">
      <c r="A629" s="70">
        <v>434</v>
      </c>
      <c r="B629" s="70" t="s">
        <v>2415</v>
      </c>
      <c r="C629" s="70" t="s">
        <v>615</v>
      </c>
      <c r="D629" s="70" t="s">
        <v>2414</v>
      </c>
      <c r="E629" s="70" t="s">
        <v>613</v>
      </c>
      <c r="F629" s="71">
        <v>105</v>
      </c>
      <c r="G629" s="71">
        <v>2</v>
      </c>
      <c r="H629" s="72">
        <v>0.14166666666666666</v>
      </c>
      <c r="I629" s="71" t="b">
        <v>0</v>
      </c>
      <c r="J629" s="71">
        <v>55</v>
      </c>
      <c r="K629" s="71">
        <v>50</v>
      </c>
      <c r="L629" s="71">
        <v>73</v>
      </c>
      <c r="M629" s="71">
        <v>4</v>
      </c>
      <c r="N629" s="71">
        <v>55</v>
      </c>
      <c r="O629" s="71">
        <v>0</v>
      </c>
      <c r="P629" s="71">
        <v>15</v>
      </c>
      <c r="Q629" s="71">
        <v>72</v>
      </c>
      <c r="R629" s="71">
        <v>120</v>
      </c>
      <c r="S629" s="71" t="s">
        <v>29</v>
      </c>
      <c r="T629" s="73">
        <v>45597</v>
      </c>
      <c r="U629" s="71" t="s">
        <v>3738</v>
      </c>
      <c r="V629" s="71" t="b">
        <v>1</v>
      </c>
    </row>
    <row r="630" spans="1:22" ht="17.25">
      <c r="A630" s="70">
        <v>435</v>
      </c>
      <c r="B630" s="70" t="s">
        <v>2413</v>
      </c>
      <c r="C630" s="70" t="s">
        <v>2171</v>
      </c>
      <c r="D630" s="70" t="s">
        <v>2412</v>
      </c>
      <c r="E630" s="70" t="s">
        <v>44</v>
      </c>
      <c r="F630" s="71">
        <v>35</v>
      </c>
      <c r="G630" s="71">
        <v>46</v>
      </c>
      <c r="H630" s="72">
        <v>0.14374999999999999</v>
      </c>
      <c r="I630" s="71" t="b">
        <v>0</v>
      </c>
      <c r="J630" s="71">
        <v>57</v>
      </c>
      <c r="K630" s="71">
        <v>57</v>
      </c>
      <c r="L630" s="71">
        <v>91</v>
      </c>
      <c r="M630" s="71">
        <v>3</v>
      </c>
      <c r="N630" s="71">
        <v>5</v>
      </c>
      <c r="O630" s="71">
        <v>0</v>
      </c>
      <c r="P630" s="71">
        <v>29</v>
      </c>
      <c r="Q630" s="71">
        <v>37</v>
      </c>
      <c r="R630" s="71">
        <v>94</v>
      </c>
      <c r="S630" s="71" t="s">
        <v>74</v>
      </c>
      <c r="T630" s="73">
        <v>43406</v>
      </c>
      <c r="U630" s="71" t="s">
        <v>3739</v>
      </c>
      <c r="V630" s="71" t="b">
        <v>0</v>
      </c>
    </row>
    <row r="631" spans="1:22" ht="17.25">
      <c r="A631" s="70">
        <v>436</v>
      </c>
      <c r="B631" s="70" t="s">
        <v>2411</v>
      </c>
      <c r="C631" s="70" t="s">
        <v>118</v>
      </c>
      <c r="D631" s="70" t="s">
        <v>2410</v>
      </c>
      <c r="E631" s="70" t="s">
        <v>116</v>
      </c>
      <c r="F631" s="71">
        <v>91</v>
      </c>
      <c r="G631" s="71">
        <v>1</v>
      </c>
      <c r="H631" s="72" t="s">
        <v>4315</v>
      </c>
      <c r="I631" s="71" t="b">
        <v>0</v>
      </c>
      <c r="J631" s="71">
        <v>84</v>
      </c>
      <c r="K631" s="71">
        <v>78</v>
      </c>
      <c r="L631" s="71">
        <v>76</v>
      </c>
      <c r="M631" s="71">
        <v>9</v>
      </c>
      <c r="N631" s="71">
        <v>15</v>
      </c>
      <c r="O631" s="71">
        <v>0</v>
      </c>
      <c r="P631" s="71">
        <v>14</v>
      </c>
      <c r="Q631" s="71">
        <v>72</v>
      </c>
      <c r="R631" s="71">
        <v>175</v>
      </c>
      <c r="S631" s="71" t="s">
        <v>115</v>
      </c>
      <c r="T631" s="73" t="s">
        <v>4316</v>
      </c>
      <c r="U631" s="71" t="s">
        <v>3740</v>
      </c>
      <c r="V631" s="71" t="b">
        <v>0</v>
      </c>
    </row>
    <row r="632" spans="1:22" ht="17.25">
      <c r="A632" s="70">
        <v>438</v>
      </c>
      <c r="B632" s="70" t="s">
        <v>2408</v>
      </c>
      <c r="C632" s="70" t="s">
        <v>1566</v>
      </c>
      <c r="D632" s="70" t="s">
        <v>1642</v>
      </c>
      <c r="E632" s="70" t="s">
        <v>104</v>
      </c>
      <c r="F632" s="71">
        <v>116</v>
      </c>
      <c r="G632" s="71">
        <v>9</v>
      </c>
      <c r="H632" s="72">
        <v>9.3055555555555558E-2</v>
      </c>
      <c r="I632" s="71" t="b">
        <v>0</v>
      </c>
      <c r="J632" s="71">
        <v>55</v>
      </c>
      <c r="K632" s="71">
        <v>50</v>
      </c>
      <c r="L632" s="71">
        <v>72</v>
      </c>
      <c r="M632" s="71">
        <v>4</v>
      </c>
      <c r="N632" s="71">
        <v>55</v>
      </c>
      <c r="O632" s="71">
        <v>0</v>
      </c>
      <c r="P632" s="71">
        <v>15</v>
      </c>
      <c r="Q632" s="71">
        <v>78</v>
      </c>
      <c r="R632" s="71">
        <v>120</v>
      </c>
      <c r="S632" s="71" t="s">
        <v>29</v>
      </c>
      <c r="T632" s="73">
        <v>21855</v>
      </c>
      <c r="U632" s="71" t="s">
        <v>3741</v>
      </c>
      <c r="V632" s="71" t="b">
        <v>1</v>
      </c>
    </row>
    <row r="633" spans="1:22" ht="17.25">
      <c r="A633" s="70">
        <v>439</v>
      </c>
      <c r="B633" s="70" t="s">
        <v>2407</v>
      </c>
      <c r="C633" s="70" t="s">
        <v>237</v>
      </c>
      <c r="D633" s="70" t="s">
        <v>2406</v>
      </c>
      <c r="E633" s="70" t="s">
        <v>235</v>
      </c>
      <c r="F633" s="71">
        <v>12</v>
      </c>
      <c r="G633" s="71">
        <v>228</v>
      </c>
      <c r="H633" s="72">
        <v>0.18055555555555555</v>
      </c>
      <c r="I633" s="71" t="b">
        <v>0</v>
      </c>
      <c r="J633" s="71">
        <v>59</v>
      </c>
      <c r="K633" s="71">
        <v>52</v>
      </c>
      <c r="L633" s="71">
        <v>88</v>
      </c>
      <c r="M633" s="71">
        <v>6</v>
      </c>
      <c r="N633" s="71">
        <v>11</v>
      </c>
      <c r="O633" s="71">
        <v>0</v>
      </c>
      <c r="P633" s="71">
        <v>13</v>
      </c>
      <c r="Q633" s="71">
        <v>51</v>
      </c>
      <c r="R633" s="71">
        <v>134</v>
      </c>
      <c r="S633" s="71" t="s">
        <v>26</v>
      </c>
      <c r="T633" s="73">
        <v>42699</v>
      </c>
      <c r="U633" s="71" t="s">
        <v>3742</v>
      </c>
      <c r="V633" s="71" t="b">
        <v>0</v>
      </c>
    </row>
    <row r="634" spans="1:22" ht="17.25">
      <c r="A634" s="70">
        <v>440</v>
      </c>
      <c r="B634" s="70" t="s">
        <v>2405</v>
      </c>
      <c r="C634" s="70" t="s">
        <v>705</v>
      </c>
      <c r="D634" s="70" t="s">
        <v>1019</v>
      </c>
      <c r="E634" s="70" t="s">
        <v>133</v>
      </c>
      <c r="F634" s="71">
        <v>7</v>
      </c>
      <c r="G634" s="71">
        <v>34</v>
      </c>
      <c r="H634" s="72">
        <v>0.15555555555555556</v>
      </c>
      <c r="I634" s="71" t="b">
        <v>0</v>
      </c>
      <c r="J634" s="71">
        <v>68</v>
      </c>
      <c r="K634" s="71">
        <v>91</v>
      </c>
      <c r="L634" s="71">
        <v>94</v>
      </c>
      <c r="M634" s="71">
        <v>6</v>
      </c>
      <c r="N634" s="71">
        <v>1</v>
      </c>
      <c r="O634" s="71">
        <v>0</v>
      </c>
      <c r="P634" s="71">
        <v>22</v>
      </c>
      <c r="Q634" s="71">
        <v>63</v>
      </c>
      <c r="R634" s="71">
        <v>126</v>
      </c>
      <c r="S634" s="71" t="s">
        <v>96</v>
      </c>
      <c r="T634" s="73">
        <v>45690</v>
      </c>
      <c r="U634" s="71" t="s">
        <v>3418</v>
      </c>
      <c r="V634" s="71" t="b">
        <v>0</v>
      </c>
    </row>
    <row r="635" spans="1:22" ht="17.25">
      <c r="A635" s="70">
        <v>441</v>
      </c>
      <c r="B635" s="70" t="s">
        <v>2404</v>
      </c>
      <c r="C635" s="70" t="s">
        <v>1587</v>
      </c>
      <c r="D635" s="70" t="s">
        <v>1586</v>
      </c>
      <c r="E635" s="70" t="s">
        <v>1585</v>
      </c>
      <c r="F635" s="71">
        <v>155</v>
      </c>
      <c r="G635" s="71">
        <v>2</v>
      </c>
      <c r="H635" s="72" t="s">
        <v>4318</v>
      </c>
      <c r="I635" s="71" t="b">
        <v>0</v>
      </c>
      <c r="J635" s="71">
        <v>69</v>
      </c>
      <c r="K635" s="71">
        <v>61</v>
      </c>
      <c r="L635" s="71">
        <v>72</v>
      </c>
      <c r="M635" s="71">
        <v>7</v>
      </c>
      <c r="N635" s="71">
        <v>30</v>
      </c>
      <c r="O635" s="71">
        <v>0</v>
      </c>
      <c r="P635" s="71">
        <v>15</v>
      </c>
      <c r="Q635" s="71">
        <v>59</v>
      </c>
      <c r="R635" s="71">
        <v>114</v>
      </c>
      <c r="S635" s="71" t="s">
        <v>96</v>
      </c>
      <c r="T635" s="73" t="s">
        <v>4327</v>
      </c>
      <c r="U635" s="71" t="s">
        <v>3743</v>
      </c>
      <c r="V635" s="71" t="b">
        <v>0</v>
      </c>
    </row>
    <row r="636" spans="1:22" ht="17.25">
      <c r="A636" s="70">
        <v>442</v>
      </c>
      <c r="B636" s="70" t="s">
        <v>2403</v>
      </c>
      <c r="C636" s="70" t="s">
        <v>1627</v>
      </c>
      <c r="D636" s="70" t="s">
        <v>2402</v>
      </c>
      <c r="E636" s="70" t="s">
        <v>1625</v>
      </c>
      <c r="F636" s="71">
        <v>75</v>
      </c>
      <c r="G636" s="71">
        <v>91</v>
      </c>
      <c r="H636" s="72">
        <v>0.11041666666666666</v>
      </c>
      <c r="I636" s="71" t="b">
        <v>0</v>
      </c>
      <c r="J636" s="71">
        <v>74</v>
      </c>
      <c r="K636" s="71">
        <v>70</v>
      </c>
      <c r="L636" s="71">
        <v>88</v>
      </c>
      <c r="M636" s="71">
        <v>3</v>
      </c>
      <c r="N636" s="71">
        <v>7</v>
      </c>
      <c r="O636" s="71">
        <v>0</v>
      </c>
      <c r="P636" s="71">
        <v>13</v>
      </c>
      <c r="Q636" s="71">
        <v>77</v>
      </c>
      <c r="R636" s="71">
        <v>116</v>
      </c>
      <c r="S636" s="71" t="s">
        <v>69</v>
      </c>
      <c r="T636" s="73">
        <v>25903</v>
      </c>
      <c r="U636" s="71" t="s">
        <v>3744</v>
      </c>
      <c r="V636" s="71" t="b">
        <v>0</v>
      </c>
    </row>
    <row r="637" spans="1:22" ht="17.25">
      <c r="A637" s="70">
        <v>443</v>
      </c>
      <c r="B637" s="70" t="s">
        <v>2401</v>
      </c>
      <c r="C637" s="70" t="s">
        <v>178</v>
      </c>
      <c r="D637" s="70" t="s">
        <v>2400</v>
      </c>
      <c r="E637" s="70" t="s">
        <v>84</v>
      </c>
      <c r="F637" s="71">
        <v>55</v>
      </c>
      <c r="G637" s="71">
        <v>19</v>
      </c>
      <c r="H637" s="72">
        <v>0.24791666666666667</v>
      </c>
      <c r="I637" s="71" t="b">
        <v>0</v>
      </c>
      <c r="J637" s="71">
        <v>77</v>
      </c>
      <c r="K637" s="71">
        <v>69</v>
      </c>
      <c r="L637" s="71">
        <v>84</v>
      </c>
      <c r="M637" s="71">
        <v>7</v>
      </c>
      <c r="N637" s="71">
        <v>3</v>
      </c>
      <c r="O637" s="71">
        <v>0</v>
      </c>
      <c r="P637" s="71">
        <v>89</v>
      </c>
      <c r="Q637" s="71">
        <v>78</v>
      </c>
      <c r="R637" s="71">
        <v>118</v>
      </c>
      <c r="S637" s="71" t="s">
        <v>96</v>
      </c>
      <c r="T637" s="73">
        <v>30285</v>
      </c>
      <c r="U637" s="71" t="s">
        <v>3647</v>
      </c>
      <c r="V637" s="71" t="b">
        <v>0</v>
      </c>
    </row>
    <row r="638" spans="1:22" ht="17.25">
      <c r="A638" s="70">
        <v>444</v>
      </c>
      <c r="B638" s="70" t="s">
        <v>2399</v>
      </c>
      <c r="C638" s="70" t="s">
        <v>2398</v>
      </c>
      <c r="D638" s="70" t="s">
        <v>2397</v>
      </c>
      <c r="E638" s="70" t="s">
        <v>1942</v>
      </c>
      <c r="F638" s="71">
        <v>46</v>
      </c>
      <c r="G638" s="71">
        <v>3</v>
      </c>
      <c r="H638" s="72">
        <v>0.19791666666666666</v>
      </c>
      <c r="I638" s="71" t="b">
        <v>0</v>
      </c>
      <c r="J638" s="71">
        <v>70</v>
      </c>
      <c r="K638" s="71">
        <v>83</v>
      </c>
      <c r="L638" s="71">
        <v>88</v>
      </c>
      <c r="M638" s="71">
        <v>3</v>
      </c>
      <c r="N638" s="71">
        <v>3</v>
      </c>
      <c r="O638" s="71">
        <v>1</v>
      </c>
      <c r="P638" s="71">
        <v>18</v>
      </c>
      <c r="Q638" s="71">
        <v>94</v>
      </c>
      <c r="R638" s="71">
        <v>104</v>
      </c>
      <c r="S638" s="71" t="s">
        <v>1760</v>
      </c>
      <c r="T638" s="73">
        <v>28472</v>
      </c>
      <c r="U638" s="71" t="s">
        <v>3745</v>
      </c>
      <c r="V638" s="71" t="b">
        <v>0</v>
      </c>
    </row>
    <row r="639" spans="1:22" ht="17.25">
      <c r="A639" s="70">
        <v>446</v>
      </c>
      <c r="B639" s="70" t="s">
        <v>2395</v>
      </c>
      <c r="C639" s="70" t="s">
        <v>1158</v>
      </c>
      <c r="D639" s="70" t="s">
        <v>2394</v>
      </c>
      <c r="E639" s="70" t="s">
        <v>1431</v>
      </c>
      <c r="F639" s="71">
        <v>25</v>
      </c>
      <c r="G639" s="71">
        <v>14</v>
      </c>
      <c r="H639" s="72" t="s">
        <v>4317</v>
      </c>
      <c r="I639" s="71" t="b">
        <v>0</v>
      </c>
      <c r="J639" s="71">
        <v>84</v>
      </c>
      <c r="K639" s="71">
        <v>81</v>
      </c>
      <c r="L639" s="71">
        <v>76</v>
      </c>
      <c r="M639" s="71">
        <v>10</v>
      </c>
      <c r="N639" s="71">
        <v>12</v>
      </c>
      <c r="O639" s="71">
        <v>0</v>
      </c>
      <c r="P639" s="71">
        <v>17</v>
      </c>
      <c r="Q639" s="71">
        <v>80</v>
      </c>
      <c r="R639" s="71">
        <v>125</v>
      </c>
      <c r="S639" s="71" t="s">
        <v>115</v>
      </c>
      <c r="T639" s="73" t="s">
        <v>4362</v>
      </c>
      <c r="U639" s="71" t="s">
        <v>3746</v>
      </c>
      <c r="V639" s="71" t="b">
        <v>0</v>
      </c>
    </row>
    <row r="640" spans="1:22" ht="17.25">
      <c r="A640" s="70">
        <v>446</v>
      </c>
      <c r="B640" s="70" t="s">
        <v>2395</v>
      </c>
      <c r="C640" s="70" t="s">
        <v>1433</v>
      </c>
      <c r="D640" s="70" t="s">
        <v>2394</v>
      </c>
      <c r="E640" s="70" t="s">
        <v>1431</v>
      </c>
      <c r="F640" s="71">
        <v>25</v>
      </c>
      <c r="G640" s="71">
        <v>14</v>
      </c>
      <c r="H640" s="72" t="s">
        <v>4317</v>
      </c>
      <c r="I640" s="71" t="b">
        <v>0</v>
      </c>
      <c r="J640" s="71">
        <v>84</v>
      </c>
      <c r="K640" s="71">
        <v>81</v>
      </c>
      <c r="L640" s="71">
        <v>76</v>
      </c>
      <c r="M640" s="71">
        <v>10</v>
      </c>
      <c r="N640" s="71">
        <v>12</v>
      </c>
      <c r="O640" s="71">
        <v>0</v>
      </c>
      <c r="P640" s="71">
        <v>17</v>
      </c>
      <c r="Q640" s="71">
        <v>80</v>
      </c>
      <c r="R640" s="71">
        <v>125</v>
      </c>
      <c r="S640" s="71" t="s">
        <v>115</v>
      </c>
      <c r="T640" s="73" t="s">
        <v>4362</v>
      </c>
      <c r="U640" s="71" t="s">
        <v>3746</v>
      </c>
      <c r="V640" s="71" t="b">
        <v>0</v>
      </c>
    </row>
    <row r="641" spans="1:22" ht="17.25">
      <c r="A641" s="70">
        <v>447</v>
      </c>
      <c r="B641" s="70" t="s">
        <v>2393</v>
      </c>
      <c r="C641" s="70" t="s">
        <v>430</v>
      </c>
      <c r="D641" s="70" t="s">
        <v>2392</v>
      </c>
      <c r="E641" s="70" t="s">
        <v>171</v>
      </c>
      <c r="F641" s="71">
        <v>32</v>
      </c>
      <c r="G641" s="71">
        <v>15</v>
      </c>
      <c r="H641" s="72">
        <v>0.15138888888888888</v>
      </c>
      <c r="I641" s="71" t="b">
        <v>0</v>
      </c>
      <c r="J641" s="71">
        <v>62</v>
      </c>
      <c r="K641" s="71">
        <v>65</v>
      </c>
      <c r="L641" s="71">
        <v>77</v>
      </c>
      <c r="M641" s="71">
        <v>5</v>
      </c>
      <c r="N641" s="71">
        <v>30</v>
      </c>
      <c r="O641" s="71">
        <v>0</v>
      </c>
      <c r="P641" s="71">
        <v>14</v>
      </c>
      <c r="Q641" s="71">
        <v>78</v>
      </c>
      <c r="R641" s="71">
        <v>120</v>
      </c>
      <c r="S641" s="71" t="s">
        <v>29</v>
      </c>
      <c r="T641" s="73">
        <v>44483</v>
      </c>
      <c r="U641" s="71" t="s">
        <v>3747</v>
      </c>
      <c r="V641" s="71" t="b">
        <v>1</v>
      </c>
    </row>
    <row r="642" spans="1:22" ht="17.25">
      <c r="A642" s="70">
        <v>447</v>
      </c>
      <c r="B642" s="70" t="s">
        <v>2393</v>
      </c>
      <c r="C642" s="70" t="s">
        <v>1787</v>
      </c>
      <c r="D642" s="70" t="s">
        <v>2392</v>
      </c>
      <c r="E642" s="70" t="s">
        <v>171</v>
      </c>
      <c r="F642" s="71">
        <v>32</v>
      </c>
      <c r="G642" s="71">
        <v>15</v>
      </c>
      <c r="H642" s="72">
        <v>0.15138888888888888</v>
      </c>
      <c r="I642" s="71" t="b">
        <v>0</v>
      </c>
      <c r="J642" s="71">
        <v>62</v>
      </c>
      <c r="K642" s="71">
        <v>65</v>
      </c>
      <c r="L642" s="71">
        <v>77</v>
      </c>
      <c r="M642" s="71">
        <v>5</v>
      </c>
      <c r="N642" s="71">
        <v>30</v>
      </c>
      <c r="O642" s="71">
        <v>0</v>
      </c>
      <c r="P642" s="71">
        <v>14</v>
      </c>
      <c r="Q642" s="71">
        <v>78</v>
      </c>
      <c r="R642" s="71">
        <v>120</v>
      </c>
      <c r="S642" s="71" t="s">
        <v>29</v>
      </c>
      <c r="T642" s="73">
        <v>44483</v>
      </c>
      <c r="U642" s="71" t="s">
        <v>3747</v>
      </c>
      <c r="V642" s="71" t="b">
        <v>1</v>
      </c>
    </row>
    <row r="643" spans="1:22" ht="17.25">
      <c r="A643" s="70">
        <v>448</v>
      </c>
      <c r="B643" s="70" t="s">
        <v>2391</v>
      </c>
      <c r="C643" s="70" t="s">
        <v>347</v>
      </c>
      <c r="D643" s="70" t="s">
        <v>2390</v>
      </c>
      <c r="E643" s="70" t="s">
        <v>44</v>
      </c>
      <c r="F643" s="71">
        <v>155</v>
      </c>
      <c r="G643" s="71">
        <v>1</v>
      </c>
      <c r="H643" s="72" t="s">
        <v>4315</v>
      </c>
      <c r="I643" s="71" t="b">
        <v>0</v>
      </c>
      <c r="J643" s="71">
        <v>70</v>
      </c>
      <c r="K643" s="71">
        <v>63</v>
      </c>
      <c r="L643" s="71">
        <v>73</v>
      </c>
      <c r="M643" s="71">
        <v>5</v>
      </c>
      <c r="N643" s="71">
        <v>32</v>
      </c>
      <c r="O643" s="71">
        <v>0</v>
      </c>
      <c r="P643" s="71">
        <v>12</v>
      </c>
      <c r="Q643" s="71">
        <v>59</v>
      </c>
      <c r="R643" s="71">
        <v>118</v>
      </c>
      <c r="S643" s="71" t="s">
        <v>96</v>
      </c>
      <c r="T643" s="73" t="s">
        <v>4385</v>
      </c>
      <c r="U643" s="71" t="s">
        <v>3748</v>
      </c>
      <c r="V643" s="71" t="b">
        <v>0</v>
      </c>
    </row>
    <row r="644" spans="1:22" ht="17.25">
      <c r="A644" s="70">
        <v>449</v>
      </c>
      <c r="B644" s="70" t="s">
        <v>2389</v>
      </c>
      <c r="C644" s="70" t="s">
        <v>1112</v>
      </c>
      <c r="D644" s="70" t="s">
        <v>1111</v>
      </c>
      <c r="E644" s="70" t="s">
        <v>1110</v>
      </c>
      <c r="F644" s="71">
        <v>99</v>
      </c>
      <c r="G644" s="71">
        <v>2</v>
      </c>
      <c r="H644" s="72" t="s">
        <v>4361</v>
      </c>
      <c r="I644" s="71" t="b">
        <v>0</v>
      </c>
      <c r="J644" s="71">
        <v>55</v>
      </c>
      <c r="K644" s="71">
        <v>58</v>
      </c>
      <c r="L644" s="71">
        <v>71</v>
      </c>
      <c r="M644" s="71">
        <v>5</v>
      </c>
      <c r="N644" s="71">
        <v>52</v>
      </c>
      <c r="O644" s="71">
        <v>1</v>
      </c>
      <c r="P644" s="71">
        <v>12</v>
      </c>
      <c r="Q644" s="71">
        <v>34</v>
      </c>
      <c r="R644" s="71">
        <v>100</v>
      </c>
      <c r="S644" s="71" t="s">
        <v>1109</v>
      </c>
      <c r="T644" s="73" t="s">
        <v>4392</v>
      </c>
      <c r="U644" s="71" t="s">
        <v>3542</v>
      </c>
      <c r="V644" s="71" t="b">
        <v>0</v>
      </c>
    </row>
    <row r="645" spans="1:22" ht="17.25">
      <c r="A645" s="70">
        <v>450</v>
      </c>
      <c r="B645" s="70" t="s">
        <v>2388</v>
      </c>
      <c r="C645" s="70" t="s">
        <v>4677</v>
      </c>
      <c r="D645" s="70" t="s">
        <v>2387</v>
      </c>
      <c r="E645" s="70" t="s">
        <v>2386</v>
      </c>
      <c r="F645" s="71">
        <v>51</v>
      </c>
      <c r="G645" s="71">
        <v>15</v>
      </c>
      <c r="H645" s="72">
        <v>0.11666666666666667</v>
      </c>
      <c r="I645" s="71" t="b">
        <v>0</v>
      </c>
      <c r="J645" s="71">
        <v>65</v>
      </c>
      <c r="K645" s="71">
        <v>62</v>
      </c>
      <c r="L645" s="71">
        <v>77</v>
      </c>
      <c r="M645" s="71">
        <v>5</v>
      </c>
      <c r="N645" s="71">
        <v>35</v>
      </c>
      <c r="O645" s="71">
        <v>0</v>
      </c>
      <c r="P645" s="71">
        <v>14</v>
      </c>
      <c r="Q645" s="71">
        <v>78</v>
      </c>
      <c r="R645" s="71">
        <v>122</v>
      </c>
      <c r="S645" s="71" t="s">
        <v>29</v>
      </c>
      <c r="T645" s="73">
        <v>43000</v>
      </c>
      <c r="U645" s="71" t="s">
        <v>3749</v>
      </c>
      <c r="V645" s="71" t="b">
        <v>1</v>
      </c>
    </row>
    <row r="646" spans="1:22" ht="17.25">
      <c r="A646" s="70">
        <v>450</v>
      </c>
      <c r="B646" s="70" t="s">
        <v>2388</v>
      </c>
      <c r="C646" s="70" t="s">
        <v>4466</v>
      </c>
      <c r="D646" s="70" t="s">
        <v>2387</v>
      </c>
      <c r="E646" s="70" t="s">
        <v>2386</v>
      </c>
      <c r="F646" s="71">
        <v>51</v>
      </c>
      <c r="G646" s="71">
        <v>15</v>
      </c>
      <c r="H646" s="72">
        <v>0.11666666666666667</v>
      </c>
      <c r="I646" s="71" t="b">
        <v>0</v>
      </c>
      <c r="J646" s="71">
        <v>65</v>
      </c>
      <c r="K646" s="71">
        <v>62</v>
      </c>
      <c r="L646" s="71">
        <v>77</v>
      </c>
      <c r="M646" s="71">
        <v>5</v>
      </c>
      <c r="N646" s="71">
        <v>35</v>
      </c>
      <c r="O646" s="71">
        <v>0</v>
      </c>
      <c r="P646" s="71">
        <v>14</v>
      </c>
      <c r="Q646" s="71">
        <v>78</v>
      </c>
      <c r="R646" s="71">
        <v>122</v>
      </c>
      <c r="S646" s="71" t="s">
        <v>29</v>
      </c>
      <c r="T646" s="73">
        <v>43000</v>
      </c>
      <c r="U646" s="71" t="s">
        <v>3749</v>
      </c>
      <c r="V646" s="71" t="b">
        <v>1</v>
      </c>
    </row>
    <row r="647" spans="1:22" ht="17.25">
      <c r="A647" s="70">
        <v>451</v>
      </c>
      <c r="B647" s="70" t="s">
        <v>2385</v>
      </c>
      <c r="C647" s="70" t="s">
        <v>542</v>
      </c>
      <c r="D647" s="70" t="s">
        <v>2384</v>
      </c>
      <c r="E647" s="70" t="s">
        <v>2383</v>
      </c>
      <c r="F647" s="71">
        <v>27</v>
      </c>
      <c r="G647" s="71">
        <v>3</v>
      </c>
      <c r="H647" s="72">
        <v>0.12152777777777778</v>
      </c>
      <c r="I647" s="71" t="b">
        <v>0</v>
      </c>
      <c r="J647" s="71">
        <v>62</v>
      </c>
      <c r="K647" s="71">
        <v>58</v>
      </c>
      <c r="L647" s="71">
        <v>75</v>
      </c>
      <c r="M647" s="71">
        <v>6</v>
      </c>
      <c r="N647" s="71">
        <v>35</v>
      </c>
      <c r="O647" s="71">
        <v>0</v>
      </c>
      <c r="P647" s="71">
        <v>11</v>
      </c>
      <c r="Q647" s="71">
        <v>48</v>
      </c>
      <c r="R647" s="71">
        <v>95</v>
      </c>
      <c r="S647" s="71" t="s">
        <v>74</v>
      </c>
      <c r="T647" s="73">
        <v>45786</v>
      </c>
      <c r="U647" s="71" t="s">
        <v>3750</v>
      </c>
      <c r="V647" s="71" t="b">
        <v>0</v>
      </c>
    </row>
    <row r="648" spans="1:22" ht="17.25">
      <c r="A648" s="70">
        <v>452</v>
      </c>
      <c r="B648" s="70" t="s">
        <v>2382</v>
      </c>
      <c r="C648" s="70" t="s">
        <v>461</v>
      </c>
      <c r="D648" s="70" t="s">
        <v>2381</v>
      </c>
      <c r="E648" s="70" t="s">
        <v>461</v>
      </c>
      <c r="F648" s="71">
        <v>86</v>
      </c>
      <c r="G648" s="71">
        <v>12</v>
      </c>
      <c r="H648" s="72">
        <v>0.15833333333333333</v>
      </c>
      <c r="I648" s="71" t="b">
        <v>0</v>
      </c>
      <c r="J648" s="71">
        <v>55</v>
      </c>
      <c r="K648" s="71">
        <v>55</v>
      </c>
      <c r="L648" s="71">
        <v>74</v>
      </c>
      <c r="M648" s="71">
        <v>5</v>
      </c>
      <c r="N648" s="71">
        <v>45</v>
      </c>
      <c r="O648" s="71">
        <v>0</v>
      </c>
      <c r="P648" s="71">
        <v>10</v>
      </c>
      <c r="Q648" s="71">
        <v>50</v>
      </c>
      <c r="R648" s="71">
        <v>90</v>
      </c>
      <c r="S648" s="71" t="s">
        <v>74</v>
      </c>
      <c r="T648" s="73">
        <v>45702</v>
      </c>
      <c r="U648" s="71" t="s">
        <v>3751</v>
      </c>
      <c r="V648" s="71" t="b">
        <v>0</v>
      </c>
    </row>
    <row r="649" spans="1:22" ht="17.25">
      <c r="A649" s="70">
        <v>453</v>
      </c>
      <c r="B649" s="70" t="s">
        <v>2380</v>
      </c>
      <c r="C649" s="70" t="s">
        <v>2556</v>
      </c>
      <c r="D649" s="70" t="s">
        <v>2379</v>
      </c>
      <c r="E649" s="70" t="s">
        <v>97</v>
      </c>
      <c r="F649" s="71">
        <v>1</v>
      </c>
      <c r="G649" s="71">
        <v>34</v>
      </c>
      <c r="H649" s="72">
        <v>0.15833333333333333</v>
      </c>
      <c r="I649" s="71" t="b">
        <v>0</v>
      </c>
      <c r="J649" s="71">
        <v>50</v>
      </c>
      <c r="K649" s="71">
        <v>39</v>
      </c>
      <c r="L649" s="71">
        <v>82</v>
      </c>
      <c r="M649" s="71">
        <v>3</v>
      </c>
      <c r="N649" s="71">
        <v>50</v>
      </c>
      <c r="O649" s="71">
        <v>0</v>
      </c>
      <c r="P649" s="71">
        <v>10</v>
      </c>
      <c r="Q649" s="71">
        <v>28</v>
      </c>
      <c r="R649" s="71">
        <v>192</v>
      </c>
      <c r="S649" s="71" t="s">
        <v>96</v>
      </c>
      <c r="T649" s="73">
        <v>45401</v>
      </c>
      <c r="U649" s="71" t="s">
        <v>3752</v>
      </c>
      <c r="V649" s="71" t="b">
        <v>0</v>
      </c>
    </row>
    <row r="650" spans="1:22" ht="17.25">
      <c r="A650" s="70">
        <v>453</v>
      </c>
      <c r="B650" s="70" t="s">
        <v>2380</v>
      </c>
      <c r="C650" s="70" t="s">
        <v>97</v>
      </c>
      <c r="D650" s="70" t="s">
        <v>2379</v>
      </c>
      <c r="E650" s="70" t="s">
        <v>97</v>
      </c>
      <c r="F650" s="71">
        <v>1</v>
      </c>
      <c r="G650" s="71">
        <v>34</v>
      </c>
      <c r="H650" s="72">
        <v>0.15833333333333333</v>
      </c>
      <c r="I650" s="71" t="b">
        <v>0</v>
      </c>
      <c r="J650" s="71">
        <v>50</v>
      </c>
      <c r="K650" s="71">
        <v>39</v>
      </c>
      <c r="L650" s="71">
        <v>82</v>
      </c>
      <c r="M650" s="71">
        <v>3</v>
      </c>
      <c r="N650" s="71">
        <v>50</v>
      </c>
      <c r="O650" s="71">
        <v>0</v>
      </c>
      <c r="P650" s="71">
        <v>10</v>
      </c>
      <c r="Q650" s="71">
        <v>28</v>
      </c>
      <c r="R650" s="71">
        <v>192</v>
      </c>
      <c r="S650" s="71" t="s">
        <v>96</v>
      </c>
      <c r="T650" s="73">
        <v>45401</v>
      </c>
      <c r="U650" s="71" t="s">
        <v>3752</v>
      </c>
      <c r="V650" s="71" t="b">
        <v>0</v>
      </c>
    </row>
    <row r="651" spans="1:22" ht="17.25">
      <c r="A651" s="70">
        <v>455</v>
      </c>
      <c r="B651" s="70" t="s">
        <v>2377</v>
      </c>
      <c r="C651" s="70" t="s">
        <v>1703</v>
      </c>
      <c r="D651" s="70" t="s">
        <v>1814</v>
      </c>
      <c r="E651" s="70" t="s">
        <v>1813</v>
      </c>
      <c r="F651" s="71">
        <v>195</v>
      </c>
      <c r="G651" s="71">
        <v>1</v>
      </c>
      <c r="H651" s="72">
        <v>0.17499999999999999</v>
      </c>
      <c r="I651" s="71" t="b">
        <v>1</v>
      </c>
      <c r="J651" s="71">
        <v>79</v>
      </c>
      <c r="K651" s="71">
        <v>77</v>
      </c>
      <c r="L651" s="71">
        <v>94</v>
      </c>
      <c r="M651" s="71">
        <v>4</v>
      </c>
      <c r="N651" s="71">
        <v>1</v>
      </c>
      <c r="O651" s="71">
        <v>0</v>
      </c>
      <c r="P651" s="71">
        <v>8</v>
      </c>
      <c r="Q651" s="71">
        <v>55</v>
      </c>
      <c r="R651" s="71">
        <v>127</v>
      </c>
      <c r="S651" s="71" t="s">
        <v>74</v>
      </c>
      <c r="T651" s="73">
        <v>40855</v>
      </c>
      <c r="U651" s="71" t="s">
        <v>3753</v>
      </c>
      <c r="V651" s="71" t="b">
        <v>0</v>
      </c>
    </row>
    <row r="652" spans="1:22" ht="17.25">
      <c r="A652" s="70">
        <v>455</v>
      </c>
      <c r="B652" s="70" t="s">
        <v>2377</v>
      </c>
      <c r="C652" s="70" t="s">
        <v>4467</v>
      </c>
      <c r="D652" s="70" t="s">
        <v>1814</v>
      </c>
      <c r="E652" s="70" t="s">
        <v>1813</v>
      </c>
      <c r="F652" s="71">
        <v>195</v>
      </c>
      <c r="G652" s="71">
        <v>1</v>
      </c>
      <c r="H652" s="72">
        <v>0.17499999999999999</v>
      </c>
      <c r="I652" s="71" t="b">
        <v>1</v>
      </c>
      <c r="J652" s="71">
        <v>79</v>
      </c>
      <c r="K652" s="71">
        <v>77</v>
      </c>
      <c r="L652" s="71">
        <v>94</v>
      </c>
      <c r="M652" s="71">
        <v>4</v>
      </c>
      <c r="N652" s="71">
        <v>1</v>
      </c>
      <c r="O652" s="71">
        <v>0</v>
      </c>
      <c r="P652" s="71">
        <v>8</v>
      </c>
      <c r="Q652" s="71">
        <v>55</v>
      </c>
      <c r="R652" s="71">
        <v>127</v>
      </c>
      <c r="S652" s="71" t="s">
        <v>74</v>
      </c>
      <c r="T652" s="73">
        <v>40855</v>
      </c>
      <c r="U652" s="71" t="s">
        <v>3753</v>
      </c>
      <c r="V652" s="71" t="b">
        <v>0</v>
      </c>
    </row>
    <row r="653" spans="1:22" ht="17.25">
      <c r="A653" s="70">
        <v>456</v>
      </c>
      <c r="B653" s="70" t="s">
        <v>2376</v>
      </c>
      <c r="C653" s="70" t="s">
        <v>1603</v>
      </c>
      <c r="D653" s="70" t="s">
        <v>2375</v>
      </c>
      <c r="E653" s="70" t="s">
        <v>153</v>
      </c>
      <c r="F653" s="71">
        <v>140</v>
      </c>
      <c r="G653" s="71">
        <v>12</v>
      </c>
      <c r="H653" s="72">
        <v>0.12152777777777778</v>
      </c>
      <c r="I653" s="71" t="b">
        <v>0</v>
      </c>
      <c r="J653" s="71">
        <v>82</v>
      </c>
      <c r="K653" s="71">
        <v>73</v>
      </c>
      <c r="L653" s="71">
        <v>93</v>
      </c>
      <c r="M653" s="71">
        <v>11</v>
      </c>
      <c r="N653" s="71">
        <v>14</v>
      </c>
      <c r="O653" s="71">
        <v>0</v>
      </c>
      <c r="P653" s="71">
        <v>4</v>
      </c>
      <c r="Q653" s="71">
        <v>77</v>
      </c>
      <c r="R653" s="71">
        <v>100</v>
      </c>
      <c r="S653" s="71" t="s">
        <v>128</v>
      </c>
      <c r="T653" s="73">
        <v>45702</v>
      </c>
      <c r="U653" s="71" t="s">
        <v>3575</v>
      </c>
      <c r="V653" s="71" t="b">
        <v>0</v>
      </c>
    </row>
    <row r="654" spans="1:22" ht="17.25">
      <c r="A654" s="70">
        <v>457</v>
      </c>
      <c r="B654" s="70" t="s">
        <v>2374</v>
      </c>
      <c r="C654" s="70" t="s">
        <v>2104</v>
      </c>
      <c r="D654" s="70" t="s">
        <v>2103</v>
      </c>
      <c r="E654" s="70" t="s">
        <v>2102</v>
      </c>
      <c r="F654" s="71">
        <v>86</v>
      </c>
      <c r="G654" s="71">
        <v>14</v>
      </c>
      <c r="H654" s="72" t="s">
        <v>4357</v>
      </c>
      <c r="I654" s="71" t="b">
        <v>0</v>
      </c>
      <c r="J654" s="71">
        <v>64</v>
      </c>
      <c r="K654" s="71">
        <v>48</v>
      </c>
      <c r="L654" s="71">
        <v>71</v>
      </c>
      <c r="M654" s="71">
        <v>5</v>
      </c>
      <c r="N654" s="71">
        <v>54</v>
      </c>
      <c r="O654" s="71">
        <v>0</v>
      </c>
      <c r="P654" s="71">
        <v>11</v>
      </c>
      <c r="Q654" s="71">
        <v>42</v>
      </c>
      <c r="R654" s="71">
        <v>94</v>
      </c>
      <c r="S654" s="71" t="s">
        <v>74</v>
      </c>
      <c r="T654" s="73" t="s">
        <v>4358</v>
      </c>
      <c r="U654" s="71" t="s">
        <v>3754</v>
      </c>
      <c r="V654" s="71" t="b">
        <v>0</v>
      </c>
    </row>
    <row r="655" spans="1:22" ht="17.25">
      <c r="A655" s="70">
        <v>458</v>
      </c>
      <c r="B655" s="70" t="s">
        <v>2373</v>
      </c>
      <c r="C655" s="70" t="s">
        <v>2372</v>
      </c>
      <c r="D655" s="70" t="s">
        <v>2371</v>
      </c>
      <c r="E655" s="70" t="s">
        <v>2370</v>
      </c>
      <c r="F655" s="71">
        <v>88</v>
      </c>
      <c r="G655" s="71">
        <v>4</v>
      </c>
      <c r="H655" s="72">
        <v>0.11666666666666667</v>
      </c>
      <c r="I655" s="71" t="b">
        <v>1</v>
      </c>
      <c r="J655" s="71">
        <v>74</v>
      </c>
      <c r="K655" s="71">
        <v>72</v>
      </c>
      <c r="L655" s="71">
        <v>90</v>
      </c>
      <c r="M655" s="71">
        <v>13</v>
      </c>
      <c r="N655" s="71">
        <v>33</v>
      </c>
      <c r="O655" s="71">
        <v>0</v>
      </c>
      <c r="P655" s="71">
        <v>38</v>
      </c>
      <c r="Q655" s="71">
        <v>34</v>
      </c>
      <c r="R655" s="71">
        <v>92</v>
      </c>
      <c r="S655" s="71" t="s">
        <v>768</v>
      </c>
      <c r="T655" s="73">
        <v>45625</v>
      </c>
      <c r="U655" s="71" t="s">
        <v>3755</v>
      </c>
      <c r="V655" s="71" t="b">
        <v>0</v>
      </c>
    </row>
    <row r="656" spans="1:22" ht="17.25">
      <c r="A656" s="70">
        <v>459</v>
      </c>
      <c r="B656" s="70" t="s">
        <v>2369</v>
      </c>
      <c r="C656" s="70" t="s">
        <v>159</v>
      </c>
      <c r="D656" s="70" t="s">
        <v>2368</v>
      </c>
      <c r="E656" s="70" t="s">
        <v>319</v>
      </c>
      <c r="F656" s="71">
        <v>190</v>
      </c>
      <c r="G656" s="71">
        <v>1</v>
      </c>
      <c r="H656" s="72" t="s">
        <v>4315</v>
      </c>
      <c r="I656" s="71" t="b">
        <v>0</v>
      </c>
      <c r="J656" s="71">
        <v>59</v>
      </c>
      <c r="K656" s="71">
        <v>42</v>
      </c>
      <c r="L656" s="71">
        <v>69</v>
      </c>
      <c r="M656" s="71">
        <v>4</v>
      </c>
      <c r="N656" s="71">
        <v>67</v>
      </c>
      <c r="O656" s="71">
        <v>0</v>
      </c>
      <c r="P656" s="71">
        <v>11</v>
      </c>
      <c r="Q656" s="71">
        <v>39</v>
      </c>
      <c r="R656" s="71">
        <v>85</v>
      </c>
      <c r="S656" s="71" t="s">
        <v>96</v>
      </c>
      <c r="T656" s="73" t="s">
        <v>4368</v>
      </c>
      <c r="U656" s="71" t="s">
        <v>3756</v>
      </c>
      <c r="V656" s="71" t="b">
        <v>0</v>
      </c>
    </row>
    <row r="657" spans="1:22" ht="17.25">
      <c r="A657" s="70">
        <v>460</v>
      </c>
      <c r="B657" s="70" t="s">
        <v>2367</v>
      </c>
      <c r="C657" s="70" t="s">
        <v>415</v>
      </c>
      <c r="D657" s="70" t="s">
        <v>2366</v>
      </c>
      <c r="E657" s="70" t="s">
        <v>157</v>
      </c>
      <c r="F657" s="71">
        <v>34</v>
      </c>
      <c r="G657" s="71">
        <v>22</v>
      </c>
      <c r="H657" s="72">
        <v>0.11666666666666667</v>
      </c>
      <c r="I657" s="71" t="b">
        <v>0</v>
      </c>
      <c r="J657" s="71">
        <v>58</v>
      </c>
      <c r="K657" s="71">
        <v>52</v>
      </c>
      <c r="L657" s="71">
        <v>86</v>
      </c>
      <c r="M657" s="71">
        <v>10</v>
      </c>
      <c r="N657" s="71">
        <v>76</v>
      </c>
      <c r="O657" s="71">
        <v>0</v>
      </c>
      <c r="P657" s="71">
        <v>66</v>
      </c>
      <c r="Q657" s="71">
        <v>24</v>
      </c>
      <c r="R657" s="71">
        <v>79</v>
      </c>
      <c r="S657" s="71" t="s">
        <v>413</v>
      </c>
      <c r="T657" s="73">
        <v>43966</v>
      </c>
      <c r="U657" s="71" t="s">
        <v>3757</v>
      </c>
      <c r="V657" s="71" t="b">
        <v>0</v>
      </c>
    </row>
    <row r="658" spans="1:22" ht="17.25">
      <c r="A658" s="70">
        <v>461</v>
      </c>
      <c r="B658" s="70" t="s">
        <v>2365</v>
      </c>
      <c r="C658" s="70" t="s">
        <v>173</v>
      </c>
      <c r="D658" s="70" t="s">
        <v>548</v>
      </c>
      <c r="E658" s="70" t="s">
        <v>171</v>
      </c>
      <c r="F658" s="71">
        <v>1</v>
      </c>
      <c r="G658" s="71">
        <v>86</v>
      </c>
      <c r="H658" s="72">
        <v>0.13055555555555556</v>
      </c>
      <c r="I658" s="71" t="b">
        <v>0</v>
      </c>
      <c r="J658" s="71">
        <v>45</v>
      </c>
      <c r="K658" s="71">
        <v>68</v>
      </c>
      <c r="L658" s="71">
        <v>90</v>
      </c>
      <c r="M658" s="71">
        <v>5</v>
      </c>
      <c r="N658" s="71">
        <v>74</v>
      </c>
      <c r="O658" s="71">
        <v>0</v>
      </c>
      <c r="P658" s="71">
        <v>6</v>
      </c>
      <c r="Q658" s="71">
        <v>38</v>
      </c>
      <c r="R658" s="71">
        <v>112</v>
      </c>
      <c r="S658" s="71" t="s">
        <v>96</v>
      </c>
      <c r="T658" s="73">
        <v>45695</v>
      </c>
      <c r="U658" s="71" t="s">
        <v>3758</v>
      </c>
      <c r="V658" s="71" t="b">
        <v>0</v>
      </c>
    </row>
    <row r="659" spans="1:22" ht="17.25">
      <c r="A659" s="70">
        <v>462</v>
      </c>
      <c r="B659" s="70" t="s">
        <v>2364</v>
      </c>
      <c r="C659" s="70" t="s">
        <v>2363</v>
      </c>
      <c r="D659" s="70" t="s">
        <v>2362</v>
      </c>
      <c r="E659" s="70" t="s">
        <v>2361</v>
      </c>
      <c r="F659" s="71">
        <v>158</v>
      </c>
      <c r="G659" s="71">
        <v>6</v>
      </c>
      <c r="H659" s="72" t="s">
        <v>4320</v>
      </c>
      <c r="I659" s="71" t="b">
        <v>0</v>
      </c>
      <c r="J659" s="71">
        <v>58</v>
      </c>
      <c r="K659" s="71">
        <v>64</v>
      </c>
      <c r="L659" s="71">
        <v>72</v>
      </c>
      <c r="M659" s="71">
        <v>5</v>
      </c>
      <c r="N659" s="71">
        <v>32</v>
      </c>
      <c r="O659" s="71">
        <v>0</v>
      </c>
      <c r="P659" s="71">
        <v>14</v>
      </c>
      <c r="Q659" s="71">
        <v>45</v>
      </c>
      <c r="R659" s="71">
        <v>126</v>
      </c>
      <c r="S659" s="71" t="s">
        <v>79</v>
      </c>
      <c r="T659" s="73" t="s">
        <v>4390</v>
      </c>
      <c r="U659" s="71" t="s">
        <v>3759</v>
      </c>
      <c r="V659" s="71" t="b">
        <v>0</v>
      </c>
    </row>
    <row r="660" spans="1:22" ht="17.25">
      <c r="A660" s="70">
        <v>463</v>
      </c>
      <c r="B660" s="70" t="s">
        <v>2360</v>
      </c>
      <c r="C660" s="70" t="s">
        <v>4679</v>
      </c>
      <c r="D660" s="70" t="s">
        <v>2359</v>
      </c>
      <c r="E660" s="70" t="s">
        <v>327</v>
      </c>
      <c r="F660" s="71">
        <v>44</v>
      </c>
      <c r="G660" s="71">
        <v>2</v>
      </c>
      <c r="H660" s="72" t="s">
        <v>4322</v>
      </c>
      <c r="I660" s="71" t="b">
        <v>1</v>
      </c>
      <c r="J660" s="71">
        <v>72</v>
      </c>
      <c r="K660" s="71">
        <v>65</v>
      </c>
      <c r="L660" s="71">
        <v>73</v>
      </c>
      <c r="M660" s="71">
        <v>12</v>
      </c>
      <c r="N660" s="71">
        <v>24</v>
      </c>
      <c r="O660" s="71">
        <v>0</v>
      </c>
      <c r="P660" s="71">
        <v>17</v>
      </c>
      <c r="Q660" s="71">
        <v>46</v>
      </c>
      <c r="R660" s="71">
        <v>125</v>
      </c>
      <c r="S660" s="71" t="s">
        <v>48</v>
      </c>
      <c r="T660" s="73" t="s">
        <v>4337</v>
      </c>
      <c r="U660" s="71" t="s">
        <v>3760</v>
      </c>
      <c r="V660" s="71" t="b">
        <v>0</v>
      </c>
    </row>
    <row r="661" spans="1:22" ht="17.25">
      <c r="A661" s="70">
        <v>463</v>
      </c>
      <c r="B661" s="70" t="s">
        <v>2360</v>
      </c>
      <c r="C661" s="70" t="s">
        <v>1613</v>
      </c>
      <c r="D661" s="70" t="s">
        <v>2359</v>
      </c>
      <c r="E661" s="70" t="s">
        <v>327</v>
      </c>
      <c r="F661" s="71">
        <v>44</v>
      </c>
      <c r="G661" s="71">
        <v>2</v>
      </c>
      <c r="H661" s="72" t="s">
        <v>4322</v>
      </c>
      <c r="I661" s="71" t="b">
        <v>1</v>
      </c>
      <c r="J661" s="71">
        <v>72</v>
      </c>
      <c r="K661" s="71">
        <v>65</v>
      </c>
      <c r="L661" s="71">
        <v>73</v>
      </c>
      <c r="M661" s="71">
        <v>12</v>
      </c>
      <c r="N661" s="71">
        <v>24</v>
      </c>
      <c r="O661" s="71">
        <v>0</v>
      </c>
      <c r="P661" s="71">
        <v>17</v>
      </c>
      <c r="Q661" s="71">
        <v>46</v>
      </c>
      <c r="R661" s="71">
        <v>125</v>
      </c>
      <c r="S661" s="71" t="s">
        <v>48</v>
      </c>
      <c r="T661" s="73" t="s">
        <v>4337</v>
      </c>
      <c r="U661" s="71" t="s">
        <v>3760</v>
      </c>
      <c r="V661" s="71" t="b">
        <v>0</v>
      </c>
    </row>
    <row r="662" spans="1:22" ht="17.25">
      <c r="A662" s="70">
        <v>463</v>
      </c>
      <c r="B662" s="70" t="s">
        <v>2360</v>
      </c>
      <c r="C662" s="70" t="s">
        <v>4678</v>
      </c>
      <c r="D662" s="70" t="s">
        <v>2359</v>
      </c>
      <c r="E662" s="70" t="s">
        <v>327</v>
      </c>
      <c r="F662" s="71">
        <v>44</v>
      </c>
      <c r="G662" s="71">
        <v>2</v>
      </c>
      <c r="H662" s="72" t="s">
        <v>4322</v>
      </c>
      <c r="I662" s="71" t="b">
        <v>1</v>
      </c>
      <c r="J662" s="71">
        <v>72</v>
      </c>
      <c r="K662" s="71">
        <v>65</v>
      </c>
      <c r="L662" s="71">
        <v>73</v>
      </c>
      <c r="M662" s="71">
        <v>12</v>
      </c>
      <c r="N662" s="71">
        <v>24</v>
      </c>
      <c r="O662" s="71">
        <v>0</v>
      </c>
      <c r="P662" s="71">
        <v>17</v>
      </c>
      <c r="Q662" s="71">
        <v>46</v>
      </c>
      <c r="R662" s="71">
        <v>125</v>
      </c>
      <c r="S662" s="71" t="s">
        <v>48</v>
      </c>
      <c r="T662" s="73" t="s">
        <v>4337</v>
      </c>
      <c r="U662" s="71" t="s">
        <v>3760</v>
      </c>
      <c r="V662" s="71" t="b">
        <v>0</v>
      </c>
    </row>
    <row r="663" spans="1:22" ht="17.25">
      <c r="A663" s="70">
        <v>464</v>
      </c>
      <c r="B663" s="70" t="s">
        <v>2358</v>
      </c>
      <c r="C663" s="70" t="s">
        <v>4680</v>
      </c>
      <c r="D663" s="70" t="s">
        <v>2357</v>
      </c>
      <c r="E663" s="70" t="s">
        <v>133</v>
      </c>
      <c r="F663" s="71">
        <v>98</v>
      </c>
      <c r="G663" s="71">
        <v>16</v>
      </c>
      <c r="H663" s="72">
        <v>0.12847222222222221</v>
      </c>
      <c r="I663" s="71" t="b">
        <v>0</v>
      </c>
      <c r="J663" s="71">
        <v>83</v>
      </c>
      <c r="K663" s="71">
        <v>86</v>
      </c>
      <c r="L663" s="71">
        <v>94</v>
      </c>
      <c r="M663" s="71">
        <v>4</v>
      </c>
      <c r="N663" s="71">
        <v>11</v>
      </c>
      <c r="O663" s="71">
        <v>0</v>
      </c>
      <c r="P663" s="71">
        <v>14</v>
      </c>
      <c r="Q663" s="71">
        <v>91</v>
      </c>
      <c r="R663" s="71">
        <v>127</v>
      </c>
      <c r="S663" s="71" t="s">
        <v>61</v>
      </c>
      <c r="T663" s="73">
        <v>45730</v>
      </c>
      <c r="U663" s="71" t="s">
        <v>3761</v>
      </c>
      <c r="V663" s="71" t="b">
        <v>0</v>
      </c>
    </row>
    <row r="664" spans="1:22" ht="17.25">
      <c r="A664" s="70">
        <v>464</v>
      </c>
      <c r="B664" s="70" t="s">
        <v>2358</v>
      </c>
      <c r="C664" s="70" t="s">
        <v>4468</v>
      </c>
      <c r="D664" s="70" t="s">
        <v>2357</v>
      </c>
      <c r="E664" s="70" t="s">
        <v>133</v>
      </c>
      <c r="F664" s="71">
        <v>98</v>
      </c>
      <c r="G664" s="71">
        <v>16</v>
      </c>
      <c r="H664" s="72">
        <v>0.12847222222222221</v>
      </c>
      <c r="I664" s="71" t="b">
        <v>0</v>
      </c>
      <c r="J664" s="71">
        <v>83</v>
      </c>
      <c r="K664" s="71">
        <v>86</v>
      </c>
      <c r="L664" s="71">
        <v>94</v>
      </c>
      <c r="M664" s="71">
        <v>4</v>
      </c>
      <c r="N664" s="71">
        <v>11</v>
      </c>
      <c r="O664" s="71">
        <v>0</v>
      </c>
      <c r="P664" s="71">
        <v>14</v>
      </c>
      <c r="Q664" s="71">
        <v>91</v>
      </c>
      <c r="R664" s="71">
        <v>127</v>
      </c>
      <c r="S664" s="71" t="s">
        <v>61</v>
      </c>
      <c r="T664" s="73">
        <v>45730</v>
      </c>
      <c r="U664" s="71" t="s">
        <v>3761</v>
      </c>
      <c r="V664" s="71" t="b">
        <v>0</v>
      </c>
    </row>
    <row r="665" spans="1:22" ht="17.25">
      <c r="A665" s="70">
        <v>465</v>
      </c>
      <c r="B665" s="70" t="s">
        <v>2356</v>
      </c>
      <c r="C665" s="70" t="s">
        <v>336</v>
      </c>
      <c r="D665" s="70" t="s">
        <v>2355</v>
      </c>
      <c r="E665" s="70" t="s">
        <v>334</v>
      </c>
      <c r="F665" s="71">
        <v>3</v>
      </c>
      <c r="G665" s="71">
        <v>11</v>
      </c>
      <c r="H665" s="72" t="s">
        <v>4315</v>
      </c>
      <c r="I665" s="71" t="b">
        <v>0</v>
      </c>
      <c r="J665" s="71">
        <v>55</v>
      </c>
      <c r="K665" s="71">
        <v>45</v>
      </c>
      <c r="L665" s="71">
        <v>70</v>
      </c>
      <c r="M665" s="71">
        <v>4</v>
      </c>
      <c r="N665" s="71">
        <v>64</v>
      </c>
      <c r="O665" s="71">
        <v>0</v>
      </c>
      <c r="P665" s="71">
        <v>11</v>
      </c>
      <c r="Q665" s="71">
        <v>34</v>
      </c>
      <c r="R665" s="71">
        <v>118</v>
      </c>
      <c r="S665" s="71" t="s">
        <v>96</v>
      </c>
      <c r="T665" s="73" t="s">
        <v>4379</v>
      </c>
      <c r="U665" s="71" t="s">
        <v>3762</v>
      </c>
      <c r="V665" s="71" t="b">
        <v>0</v>
      </c>
    </row>
    <row r="666" spans="1:22" ht="17.25">
      <c r="A666" s="70">
        <v>466</v>
      </c>
      <c r="B666" s="70" t="s">
        <v>2354</v>
      </c>
      <c r="C666" s="70" t="s">
        <v>2353</v>
      </c>
      <c r="D666" s="70" t="s">
        <v>2352</v>
      </c>
      <c r="E666" s="70" t="s">
        <v>2351</v>
      </c>
      <c r="F666" s="71">
        <v>133</v>
      </c>
      <c r="G666" s="71">
        <v>4</v>
      </c>
      <c r="H666" s="72">
        <v>0.12847222222222221</v>
      </c>
      <c r="I666" s="71" t="b">
        <v>1</v>
      </c>
      <c r="J666" s="71">
        <v>80</v>
      </c>
      <c r="K666" s="71">
        <v>75</v>
      </c>
      <c r="L666" s="71">
        <v>80</v>
      </c>
      <c r="M666" s="71">
        <v>10</v>
      </c>
      <c r="N666" s="71">
        <v>12</v>
      </c>
      <c r="O666" s="71">
        <v>0</v>
      </c>
      <c r="P666" s="71">
        <v>12</v>
      </c>
      <c r="Q666" s="71">
        <v>58</v>
      </c>
      <c r="R666" s="71">
        <v>108</v>
      </c>
      <c r="S666" s="71" t="s">
        <v>61</v>
      </c>
      <c r="T666" s="73">
        <v>45772</v>
      </c>
      <c r="U666" s="71" t="s">
        <v>3763</v>
      </c>
      <c r="V666" s="71" t="b">
        <v>0</v>
      </c>
    </row>
    <row r="667" spans="1:22" ht="17.25">
      <c r="A667" s="70">
        <v>467</v>
      </c>
      <c r="B667" s="70" t="s">
        <v>2350</v>
      </c>
      <c r="C667" s="70" t="s">
        <v>4681</v>
      </c>
      <c r="D667" s="70" t="s">
        <v>2349</v>
      </c>
      <c r="E667" s="70" t="s">
        <v>44</v>
      </c>
      <c r="F667" s="71">
        <v>17</v>
      </c>
      <c r="G667" s="71">
        <v>5</v>
      </c>
      <c r="H667" s="72" t="s">
        <v>4361</v>
      </c>
      <c r="I667" s="71" t="b">
        <v>0</v>
      </c>
      <c r="J667" s="71">
        <v>66</v>
      </c>
      <c r="K667" s="71">
        <v>78</v>
      </c>
      <c r="L667" s="71">
        <v>75</v>
      </c>
      <c r="M667" s="71">
        <v>9</v>
      </c>
      <c r="N667" s="71">
        <v>15</v>
      </c>
      <c r="O667" s="71">
        <v>4</v>
      </c>
      <c r="P667" s="71">
        <v>22</v>
      </c>
      <c r="Q667" s="71">
        <v>43</v>
      </c>
      <c r="R667" s="71">
        <v>132</v>
      </c>
      <c r="S667" s="71" t="s">
        <v>2348</v>
      </c>
      <c r="T667" s="73" t="s">
        <v>4359</v>
      </c>
      <c r="U667" s="71" t="s">
        <v>3501</v>
      </c>
      <c r="V667" s="71" t="b">
        <v>0</v>
      </c>
    </row>
    <row r="668" spans="1:22" ht="17.25">
      <c r="A668" s="70">
        <v>467</v>
      </c>
      <c r="B668" s="70" t="s">
        <v>2350</v>
      </c>
      <c r="C668" s="70" t="s">
        <v>301</v>
      </c>
      <c r="D668" s="70" t="s">
        <v>2349</v>
      </c>
      <c r="E668" s="70" t="s">
        <v>44</v>
      </c>
      <c r="F668" s="71">
        <v>17</v>
      </c>
      <c r="G668" s="71">
        <v>5</v>
      </c>
      <c r="H668" s="72" t="s">
        <v>4361</v>
      </c>
      <c r="I668" s="71" t="b">
        <v>0</v>
      </c>
      <c r="J668" s="71">
        <v>66</v>
      </c>
      <c r="K668" s="71">
        <v>78</v>
      </c>
      <c r="L668" s="71">
        <v>75</v>
      </c>
      <c r="M668" s="71">
        <v>9</v>
      </c>
      <c r="N668" s="71">
        <v>15</v>
      </c>
      <c r="O668" s="71">
        <v>4</v>
      </c>
      <c r="P668" s="71">
        <v>22</v>
      </c>
      <c r="Q668" s="71">
        <v>43</v>
      </c>
      <c r="R668" s="71">
        <v>132</v>
      </c>
      <c r="S668" s="71" t="s">
        <v>2348</v>
      </c>
      <c r="T668" s="73" t="s">
        <v>4359</v>
      </c>
      <c r="U668" s="71" t="s">
        <v>3501</v>
      </c>
      <c r="V668" s="71" t="b">
        <v>0</v>
      </c>
    </row>
    <row r="669" spans="1:22" ht="17.25">
      <c r="A669" s="70">
        <v>467</v>
      </c>
      <c r="B669" s="70" t="s">
        <v>2350</v>
      </c>
      <c r="C669" s="70" t="s">
        <v>4682</v>
      </c>
      <c r="D669" s="70" t="s">
        <v>2349</v>
      </c>
      <c r="E669" s="70" t="s">
        <v>44</v>
      </c>
      <c r="F669" s="71">
        <v>17</v>
      </c>
      <c r="G669" s="71">
        <v>5</v>
      </c>
      <c r="H669" s="72" t="s">
        <v>4361</v>
      </c>
      <c r="I669" s="71" t="b">
        <v>0</v>
      </c>
      <c r="J669" s="71">
        <v>66</v>
      </c>
      <c r="K669" s="71">
        <v>78</v>
      </c>
      <c r="L669" s="71">
        <v>75</v>
      </c>
      <c r="M669" s="71">
        <v>9</v>
      </c>
      <c r="N669" s="71">
        <v>15</v>
      </c>
      <c r="O669" s="71">
        <v>4</v>
      </c>
      <c r="P669" s="71">
        <v>22</v>
      </c>
      <c r="Q669" s="71">
        <v>43</v>
      </c>
      <c r="R669" s="71">
        <v>132</v>
      </c>
      <c r="S669" s="71" t="s">
        <v>2348</v>
      </c>
      <c r="T669" s="73" t="s">
        <v>4359</v>
      </c>
      <c r="U669" s="71" t="s">
        <v>3501</v>
      </c>
      <c r="V669" s="71" t="b">
        <v>0</v>
      </c>
    </row>
    <row r="670" spans="1:22" ht="17.25">
      <c r="A670" s="70">
        <v>468</v>
      </c>
      <c r="B670" s="70" t="s">
        <v>2347</v>
      </c>
      <c r="C670" s="70" t="s">
        <v>2346</v>
      </c>
      <c r="D670" s="70" t="s">
        <v>2345</v>
      </c>
      <c r="E670" s="70" t="s">
        <v>1932</v>
      </c>
      <c r="F670" s="71">
        <v>22</v>
      </c>
      <c r="G670" s="71">
        <v>41</v>
      </c>
      <c r="H670" s="72">
        <v>0.15138888888888888</v>
      </c>
      <c r="I670" s="71" t="b">
        <v>0</v>
      </c>
      <c r="J670" s="71">
        <v>68</v>
      </c>
      <c r="K670" s="71">
        <v>68</v>
      </c>
      <c r="L670" s="71">
        <v>78</v>
      </c>
      <c r="M670" s="71">
        <v>5</v>
      </c>
      <c r="N670" s="71">
        <v>25</v>
      </c>
      <c r="O670" s="71">
        <v>0</v>
      </c>
      <c r="P670" s="71">
        <v>14</v>
      </c>
      <c r="Q670" s="71">
        <v>82</v>
      </c>
      <c r="R670" s="71">
        <v>130</v>
      </c>
      <c r="S670" s="71" t="s">
        <v>29</v>
      </c>
      <c r="T670" s="73">
        <v>31376</v>
      </c>
      <c r="U670" s="71" t="s">
        <v>3764</v>
      </c>
      <c r="V670" s="71" t="b">
        <v>1</v>
      </c>
    </row>
    <row r="671" spans="1:22" ht="17.25">
      <c r="A671" s="70">
        <v>469</v>
      </c>
      <c r="B671" s="70" t="s">
        <v>2344</v>
      </c>
      <c r="C671" s="70" t="s">
        <v>97</v>
      </c>
      <c r="D671" s="70" t="s">
        <v>2343</v>
      </c>
      <c r="E671" s="70" t="s">
        <v>97</v>
      </c>
      <c r="F671" s="71">
        <v>8</v>
      </c>
      <c r="G671" s="71">
        <v>7</v>
      </c>
      <c r="H671" s="72" t="s">
        <v>4315</v>
      </c>
      <c r="I671" s="71" t="b">
        <v>0</v>
      </c>
      <c r="J671" s="71">
        <v>72</v>
      </c>
      <c r="K671" s="71">
        <v>72</v>
      </c>
      <c r="L671" s="71">
        <v>79</v>
      </c>
      <c r="M671" s="71">
        <v>6</v>
      </c>
      <c r="N671" s="71">
        <v>15</v>
      </c>
      <c r="O671" s="71">
        <v>0</v>
      </c>
      <c r="P671" s="71">
        <v>11</v>
      </c>
      <c r="Q671" s="71">
        <v>60</v>
      </c>
      <c r="R671" s="71">
        <v>105</v>
      </c>
      <c r="S671" s="71" t="s">
        <v>96</v>
      </c>
      <c r="T671" s="73" t="s">
        <v>4364</v>
      </c>
      <c r="U671" s="71" t="s">
        <v>3765</v>
      </c>
      <c r="V671" s="71" t="b">
        <v>0</v>
      </c>
    </row>
    <row r="672" spans="1:22" ht="17.25">
      <c r="A672" s="70">
        <v>470</v>
      </c>
      <c r="B672" s="70" t="s">
        <v>2342</v>
      </c>
      <c r="C672" s="70" t="s">
        <v>4683</v>
      </c>
      <c r="D672" s="70" t="s">
        <v>2341</v>
      </c>
      <c r="E672" s="70" t="s">
        <v>2340</v>
      </c>
      <c r="F672" s="71">
        <v>30</v>
      </c>
      <c r="G672" s="71">
        <v>7</v>
      </c>
      <c r="H672" s="72">
        <v>0.11666666666666667</v>
      </c>
      <c r="I672" s="71" t="b">
        <v>1</v>
      </c>
      <c r="J672" s="71">
        <v>89</v>
      </c>
      <c r="K672" s="71">
        <v>30</v>
      </c>
      <c r="L672" s="71">
        <v>85</v>
      </c>
      <c r="M672" s="71">
        <v>18</v>
      </c>
      <c r="N672" s="71">
        <v>0</v>
      </c>
      <c r="O672" s="71">
        <v>0</v>
      </c>
      <c r="P672" s="71">
        <v>17</v>
      </c>
      <c r="Q672" s="71">
        <v>31</v>
      </c>
      <c r="R672" s="71">
        <v>100</v>
      </c>
      <c r="S672" s="71" t="s">
        <v>48</v>
      </c>
      <c r="T672" s="73">
        <v>45618</v>
      </c>
      <c r="U672" s="71" t="s">
        <v>3476</v>
      </c>
      <c r="V672" s="71" t="b">
        <v>0</v>
      </c>
    </row>
    <row r="673" spans="1:22" ht="17.25">
      <c r="A673" s="70">
        <v>470</v>
      </c>
      <c r="B673" s="70" t="s">
        <v>2342</v>
      </c>
      <c r="C673" s="70" t="s">
        <v>292</v>
      </c>
      <c r="D673" s="70" t="s">
        <v>2341</v>
      </c>
      <c r="E673" s="70" t="s">
        <v>2340</v>
      </c>
      <c r="F673" s="71">
        <v>30</v>
      </c>
      <c r="G673" s="71">
        <v>7</v>
      </c>
      <c r="H673" s="72">
        <v>0.11666666666666667</v>
      </c>
      <c r="I673" s="71" t="b">
        <v>1</v>
      </c>
      <c r="J673" s="71">
        <v>89</v>
      </c>
      <c r="K673" s="71">
        <v>30</v>
      </c>
      <c r="L673" s="71">
        <v>85</v>
      </c>
      <c r="M673" s="71">
        <v>18</v>
      </c>
      <c r="N673" s="71">
        <v>0</v>
      </c>
      <c r="O673" s="71">
        <v>0</v>
      </c>
      <c r="P673" s="71">
        <v>17</v>
      </c>
      <c r="Q673" s="71">
        <v>31</v>
      </c>
      <c r="R673" s="71">
        <v>100</v>
      </c>
      <c r="S673" s="71" t="s">
        <v>48</v>
      </c>
      <c r="T673" s="73">
        <v>45618</v>
      </c>
      <c r="U673" s="71" t="s">
        <v>3476</v>
      </c>
      <c r="V673" s="71" t="b">
        <v>0</v>
      </c>
    </row>
    <row r="674" spans="1:22" ht="17.25">
      <c r="A674" s="70">
        <v>471</v>
      </c>
      <c r="B674" s="70" t="s">
        <v>2339</v>
      </c>
      <c r="C674" s="70" t="s">
        <v>485</v>
      </c>
      <c r="D674" s="70" t="s">
        <v>484</v>
      </c>
      <c r="E674" s="70" t="s">
        <v>483</v>
      </c>
      <c r="F674" s="71">
        <v>151</v>
      </c>
      <c r="G674" s="71">
        <v>5</v>
      </c>
      <c r="H674" s="72">
        <v>0.12847222222222221</v>
      </c>
      <c r="I674" s="71" t="b">
        <v>0</v>
      </c>
      <c r="J674" s="71">
        <v>79</v>
      </c>
      <c r="K674" s="71">
        <v>72</v>
      </c>
      <c r="L674" s="71">
        <v>93</v>
      </c>
      <c r="M674" s="71">
        <v>5</v>
      </c>
      <c r="N674" s="71">
        <v>13</v>
      </c>
      <c r="O674" s="71">
        <v>1</v>
      </c>
      <c r="P674" s="71">
        <v>38</v>
      </c>
      <c r="Q674" s="71">
        <v>36</v>
      </c>
      <c r="R674" s="71">
        <v>84</v>
      </c>
      <c r="S674" s="71" t="s">
        <v>61</v>
      </c>
      <c r="T674" s="73">
        <v>45772</v>
      </c>
      <c r="U674" s="71" t="s">
        <v>3766</v>
      </c>
      <c r="V674" s="71" t="b">
        <v>0</v>
      </c>
    </row>
    <row r="675" spans="1:22" ht="17.25">
      <c r="A675" s="70">
        <v>472</v>
      </c>
      <c r="B675" s="70" t="s">
        <v>2338</v>
      </c>
      <c r="C675" s="70" t="s">
        <v>4684</v>
      </c>
      <c r="D675" s="70" t="s">
        <v>2337</v>
      </c>
      <c r="E675" s="70" t="s">
        <v>2336</v>
      </c>
      <c r="F675" s="71">
        <v>3</v>
      </c>
      <c r="G675" s="71">
        <v>182</v>
      </c>
      <c r="H675" s="72">
        <v>0.15</v>
      </c>
      <c r="I675" s="71" t="b">
        <v>0</v>
      </c>
      <c r="J675" s="71">
        <v>58</v>
      </c>
      <c r="K675" s="71">
        <v>38</v>
      </c>
      <c r="L675" s="71">
        <v>89</v>
      </c>
      <c r="M675" s="71">
        <v>3</v>
      </c>
      <c r="N675" s="71">
        <v>37</v>
      </c>
      <c r="O675" s="71">
        <v>0</v>
      </c>
      <c r="P675" s="71">
        <v>23</v>
      </c>
      <c r="Q675" s="71">
        <v>33</v>
      </c>
      <c r="R675" s="71">
        <v>96</v>
      </c>
      <c r="S675" s="71" t="s">
        <v>96</v>
      </c>
      <c r="T675" s="73">
        <v>43370</v>
      </c>
      <c r="U675" s="71" t="s">
        <v>3767</v>
      </c>
      <c r="V675" s="71" t="b">
        <v>0</v>
      </c>
    </row>
    <row r="676" spans="1:22" ht="17.25">
      <c r="A676" s="70">
        <v>472</v>
      </c>
      <c r="B676" s="70" t="s">
        <v>2338</v>
      </c>
      <c r="C676" s="70" t="s">
        <v>705</v>
      </c>
      <c r="D676" s="70" t="s">
        <v>2337</v>
      </c>
      <c r="E676" s="70" t="s">
        <v>2336</v>
      </c>
      <c r="F676" s="71">
        <v>3</v>
      </c>
      <c r="G676" s="71">
        <v>182</v>
      </c>
      <c r="H676" s="72">
        <v>0.15</v>
      </c>
      <c r="I676" s="71" t="b">
        <v>0</v>
      </c>
      <c r="J676" s="71">
        <v>58</v>
      </c>
      <c r="K676" s="71">
        <v>38</v>
      </c>
      <c r="L676" s="71">
        <v>89</v>
      </c>
      <c r="M676" s="71">
        <v>3</v>
      </c>
      <c r="N676" s="71">
        <v>37</v>
      </c>
      <c r="O676" s="71">
        <v>0</v>
      </c>
      <c r="P676" s="71">
        <v>23</v>
      </c>
      <c r="Q676" s="71">
        <v>33</v>
      </c>
      <c r="R676" s="71">
        <v>96</v>
      </c>
      <c r="S676" s="71" t="s">
        <v>96</v>
      </c>
      <c r="T676" s="73">
        <v>43370</v>
      </c>
      <c r="U676" s="71" t="s">
        <v>3767</v>
      </c>
      <c r="V676" s="71" t="b">
        <v>0</v>
      </c>
    </row>
    <row r="677" spans="1:22" ht="17.25">
      <c r="A677" s="70">
        <v>473</v>
      </c>
      <c r="B677" s="70" t="s">
        <v>2335</v>
      </c>
      <c r="C677" s="70" t="s">
        <v>1414</v>
      </c>
      <c r="D677" s="70" t="s">
        <v>2334</v>
      </c>
      <c r="E677" s="70" t="s">
        <v>1412</v>
      </c>
      <c r="F677" s="71">
        <v>24</v>
      </c>
      <c r="G677" s="71">
        <v>16</v>
      </c>
      <c r="H677" s="72">
        <v>0.18680555555555556</v>
      </c>
      <c r="I677" s="71" t="b">
        <v>0</v>
      </c>
      <c r="J677" s="71">
        <v>80</v>
      </c>
      <c r="K677" s="71">
        <v>85</v>
      </c>
      <c r="L677" s="71">
        <v>84</v>
      </c>
      <c r="M677" s="71">
        <v>8</v>
      </c>
      <c r="N677" s="71">
        <v>5</v>
      </c>
      <c r="O677" s="71">
        <v>0</v>
      </c>
      <c r="P677" s="71">
        <v>14</v>
      </c>
      <c r="Q677" s="71">
        <v>72</v>
      </c>
      <c r="R677" s="71">
        <v>124</v>
      </c>
      <c r="S677" s="71" t="s">
        <v>274</v>
      </c>
      <c r="T677" s="73">
        <v>39973</v>
      </c>
      <c r="U677" s="71" t="s">
        <v>3768</v>
      </c>
      <c r="V677" s="71" t="b">
        <v>0</v>
      </c>
    </row>
    <row r="678" spans="1:22" ht="17.25">
      <c r="A678" s="70">
        <v>475</v>
      </c>
      <c r="B678" s="70" t="s">
        <v>2329</v>
      </c>
      <c r="C678" s="70" t="s">
        <v>2328</v>
      </c>
      <c r="D678" s="70" t="s">
        <v>2327</v>
      </c>
      <c r="E678" s="70" t="s">
        <v>44</v>
      </c>
      <c r="F678" s="71">
        <v>81</v>
      </c>
      <c r="G678" s="71">
        <v>4</v>
      </c>
      <c r="H678" s="72">
        <v>0.13750000000000001</v>
      </c>
      <c r="I678" s="71" t="b">
        <v>0</v>
      </c>
      <c r="J678" s="71">
        <v>58</v>
      </c>
      <c r="K678" s="71">
        <v>62</v>
      </c>
      <c r="L678" s="71">
        <v>91</v>
      </c>
      <c r="M678" s="71">
        <v>4</v>
      </c>
      <c r="N678" s="71">
        <v>2</v>
      </c>
      <c r="O678" s="71">
        <v>0</v>
      </c>
      <c r="P678" s="71">
        <v>24</v>
      </c>
      <c r="Q678" s="71">
        <v>40</v>
      </c>
      <c r="R678" s="71">
        <v>150</v>
      </c>
      <c r="S678" s="71" t="s">
        <v>96</v>
      </c>
      <c r="T678" s="73">
        <v>45723</v>
      </c>
      <c r="U678" s="71" t="s">
        <v>3769</v>
      </c>
      <c r="V678" s="71" t="b">
        <v>0</v>
      </c>
    </row>
    <row r="679" spans="1:22" ht="17.25">
      <c r="A679" s="70">
        <v>476</v>
      </c>
      <c r="B679" s="70" t="s">
        <v>2326</v>
      </c>
      <c r="C679" s="70" t="s">
        <v>182</v>
      </c>
      <c r="D679" s="70" t="s">
        <v>2325</v>
      </c>
      <c r="E679" s="70" t="s">
        <v>180</v>
      </c>
      <c r="F679" s="71">
        <v>61</v>
      </c>
      <c r="G679" s="71">
        <v>1</v>
      </c>
      <c r="H679" s="72" t="s">
        <v>4315</v>
      </c>
      <c r="I679" s="71" t="b">
        <v>1</v>
      </c>
      <c r="J679" s="71">
        <v>75</v>
      </c>
      <c r="K679" s="71">
        <v>52</v>
      </c>
      <c r="L679" s="71">
        <v>71</v>
      </c>
      <c r="M679" s="71">
        <v>32</v>
      </c>
      <c r="N679" s="71">
        <v>48</v>
      </c>
      <c r="O679" s="71">
        <v>0</v>
      </c>
      <c r="P679" s="71">
        <v>13</v>
      </c>
      <c r="Q679" s="71">
        <v>31</v>
      </c>
      <c r="R679" s="71">
        <v>90</v>
      </c>
      <c r="S679" s="71" t="s">
        <v>48</v>
      </c>
      <c r="T679" s="73" t="s">
        <v>4330</v>
      </c>
      <c r="U679" s="71" t="s">
        <v>3649</v>
      </c>
      <c r="V679" s="71" t="b">
        <v>0</v>
      </c>
    </row>
    <row r="680" spans="1:22" ht="17.25">
      <c r="A680" s="70">
        <v>477</v>
      </c>
      <c r="B680" s="70" t="s">
        <v>2324</v>
      </c>
      <c r="C680" s="70" t="s">
        <v>1528</v>
      </c>
      <c r="D680" s="70" t="s">
        <v>1527</v>
      </c>
      <c r="E680" s="70" t="s">
        <v>1456</v>
      </c>
      <c r="F680" s="71">
        <v>51</v>
      </c>
      <c r="G680" s="71">
        <v>167</v>
      </c>
      <c r="H680" s="72">
        <v>0.17430555555555555</v>
      </c>
      <c r="I680" s="71" t="b">
        <v>0</v>
      </c>
      <c r="J680" s="71">
        <v>64</v>
      </c>
      <c r="K680" s="71">
        <v>80</v>
      </c>
      <c r="L680" s="71">
        <v>80</v>
      </c>
      <c r="M680" s="71">
        <v>5</v>
      </c>
      <c r="N680" s="71">
        <v>35</v>
      </c>
      <c r="O680" s="71">
        <v>0</v>
      </c>
      <c r="P680" s="71">
        <v>10</v>
      </c>
      <c r="Q680" s="71">
        <v>54</v>
      </c>
      <c r="R680" s="71">
        <v>112</v>
      </c>
      <c r="S680" s="71" t="s">
        <v>1526</v>
      </c>
      <c r="T680" s="73">
        <v>31128</v>
      </c>
      <c r="U680" s="71" t="s">
        <v>3770</v>
      </c>
      <c r="V680" s="71" t="b">
        <v>0</v>
      </c>
    </row>
    <row r="681" spans="1:22" ht="17.25">
      <c r="A681" s="70">
        <v>478</v>
      </c>
      <c r="B681" s="70" t="s">
        <v>2323</v>
      </c>
      <c r="C681" s="70" t="s">
        <v>4686</v>
      </c>
      <c r="D681" s="70" t="s">
        <v>2322</v>
      </c>
      <c r="E681" s="70" t="s">
        <v>2321</v>
      </c>
      <c r="F681" s="71">
        <v>47</v>
      </c>
      <c r="G681" s="71">
        <v>16</v>
      </c>
      <c r="H681" s="72" t="s">
        <v>4315</v>
      </c>
      <c r="I681" s="71" t="b">
        <v>1</v>
      </c>
      <c r="J681" s="71">
        <v>82</v>
      </c>
      <c r="K681" s="71">
        <v>71</v>
      </c>
      <c r="L681" s="71">
        <v>73</v>
      </c>
      <c r="M681" s="71">
        <v>8</v>
      </c>
      <c r="N681" s="71">
        <v>20</v>
      </c>
      <c r="O681" s="71">
        <v>0</v>
      </c>
      <c r="P681" s="71">
        <v>12</v>
      </c>
      <c r="Q681" s="71">
        <v>79</v>
      </c>
      <c r="R681" s="71">
        <v>96</v>
      </c>
      <c r="S681" s="71" t="s">
        <v>128</v>
      </c>
      <c r="T681" s="73" t="s">
        <v>4386</v>
      </c>
      <c r="U681" s="71" t="s">
        <v>3771</v>
      </c>
      <c r="V681" s="71" t="b">
        <v>0</v>
      </c>
    </row>
    <row r="682" spans="1:22" ht="17.25">
      <c r="A682" s="70">
        <v>478</v>
      </c>
      <c r="B682" s="70" t="s">
        <v>2323</v>
      </c>
      <c r="C682" s="70" t="s">
        <v>4685</v>
      </c>
      <c r="D682" s="70" t="s">
        <v>2322</v>
      </c>
      <c r="E682" s="70" t="s">
        <v>2321</v>
      </c>
      <c r="F682" s="71">
        <v>47</v>
      </c>
      <c r="G682" s="71">
        <v>16</v>
      </c>
      <c r="H682" s="72" t="s">
        <v>4315</v>
      </c>
      <c r="I682" s="71" t="b">
        <v>1</v>
      </c>
      <c r="J682" s="71">
        <v>82</v>
      </c>
      <c r="K682" s="71">
        <v>71</v>
      </c>
      <c r="L682" s="71">
        <v>73</v>
      </c>
      <c r="M682" s="71">
        <v>8</v>
      </c>
      <c r="N682" s="71">
        <v>20</v>
      </c>
      <c r="O682" s="71">
        <v>0</v>
      </c>
      <c r="P682" s="71">
        <v>12</v>
      </c>
      <c r="Q682" s="71">
        <v>79</v>
      </c>
      <c r="R682" s="71">
        <v>96</v>
      </c>
      <c r="S682" s="71" t="s">
        <v>128</v>
      </c>
      <c r="T682" s="73" t="s">
        <v>4386</v>
      </c>
      <c r="U682" s="71" t="s">
        <v>3771</v>
      </c>
      <c r="V682" s="71" t="b">
        <v>0</v>
      </c>
    </row>
    <row r="683" spans="1:22" ht="17.25">
      <c r="A683" s="70">
        <v>478</v>
      </c>
      <c r="B683" s="70" t="s">
        <v>2323</v>
      </c>
      <c r="C683" s="70" t="s">
        <v>4469</v>
      </c>
      <c r="D683" s="70" t="s">
        <v>2322</v>
      </c>
      <c r="E683" s="70" t="s">
        <v>2321</v>
      </c>
      <c r="F683" s="71">
        <v>47</v>
      </c>
      <c r="G683" s="71">
        <v>16</v>
      </c>
      <c r="H683" s="72" t="s">
        <v>4315</v>
      </c>
      <c r="I683" s="71" t="b">
        <v>1</v>
      </c>
      <c r="J683" s="71">
        <v>82</v>
      </c>
      <c r="K683" s="71">
        <v>71</v>
      </c>
      <c r="L683" s="71">
        <v>73</v>
      </c>
      <c r="M683" s="71">
        <v>8</v>
      </c>
      <c r="N683" s="71">
        <v>20</v>
      </c>
      <c r="O683" s="71">
        <v>0</v>
      </c>
      <c r="P683" s="71">
        <v>12</v>
      </c>
      <c r="Q683" s="71">
        <v>79</v>
      </c>
      <c r="R683" s="71">
        <v>96</v>
      </c>
      <c r="S683" s="71" t="s">
        <v>128</v>
      </c>
      <c r="T683" s="73" t="s">
        <v>4386</v>
      </c>
      <c r="U683" s="71" t="s">
        <v>3771</v>
      </c>
      <c r="V683" s="71" t="b">
        <v>0</v>
      </c>
    </row>
    <row r="684" spans="1:22" ht="17.25">
      <c r="A684" s="70">
        <v>479</v>
      </c>
      <c r="B684" s="70" t="s">
        <v>2320</v>
      </c>
      <c r="C684" s="70" t="s">
        <v>4470</v>
      </c>
      <c r="D684" s="70" t="s">
        <v>2319</v>
      </c>
      <c r="E684" s="70" t="s">
        <v>2318</v>
      </c>
      <c r="F684" s="71">
        <v>52</v>
      </c>
      <c r="G684" s="71">
        <v>144</v>
      </c>
      <c r="H684" s="72">
        <v>0.13750000000000001</v>
      </c>
      <c r="I684" s="71" t="b">
        <v>0</v>
      </c>
      <c r="J684" s="71">
        <v>40</v>
      </c>
      <c r="K684" s="71">
        <v>92</v>
      </c>
      <c r="L684" s="71">
        <v>92</v>
      </c>
      <c r="M684" s="71">
        <v>28</v>
      </c>
      <c r="N684" s="71">
        <v>8</v>
      </c>
      <c r="O684" s="71">
        <v>0</v>
      </c>
      <c r="P684" s="71">
        <v>5</v>
      </c>
      <c r="Q684" s="71">
        <v>87</v>
      </c>
      <c r="R684" s="71">
        <v>89</v>
      </c>
      <c r="S684" s="71" t="s">
        <v>128</v>
      </c>
      <c r="T684" s="73">
        <v>40407</v>
      </c>
      <c r="U684" s="71" t="s">
        <v>3772</v>
      </c>
      <c r="V684" s="71" t="b">
        <v>0</v>
      </c>
    </row>
    <row r="685" spans="1:22" ht="17.25">
      <c r="A685" s="70">
        <v>479</v>
      </c>
      <c r="B685" s="70" t="s">
        <v>2320</v>
      </c>
      <c r="C685" s="70" t="s">
        <v>4687</v>
      </c>
      <c r="D685" s="70" t="s">
        <v>2319</v>
      </c>
      <c r="E685" s="70" t="s">
        <v>2318</v>
      </c>
      <c r="F685" s="71">
        <v>52</v>
      </c>
      <c r="G685" s="71">
        <v>144</v>
      </c>
      <c r="H685" s="72">
        <v>0.13750000000000001</v>
      </c>
      <c r="I685" s="71" t="b">
        <v>0</v>
      </c>
      <c r="J685" s="71">
        <v>40</v>
      </c>
      <c r="K685" s="71">
        <v>92</v>
      </c>
      <c r="L685" s="71">
        <v>92</v>
      </c>
      <c r="M685" s="71">
        <v>28</v>
      </c>
      <c r="N685" s="71">
        <v>8</v>
      </c>
      <c r="O685" s="71">
        <v>0</v>
      </c>
      <c r="P685" s="71">
        <v>5</v>
      </c>
      <c r="Q685" s="71">
        <v>87</v>
      </c>
      <c r="R685" s="71">
        <v>89</v>
      </c>
      <c r="S685" s="71" t="s">
        <v>128</v>
      </c>
      <c r="T685" s="73">
        <v>40407</v>
      </c>
      <c r="U685" s="71" t="s">
        <v>3772</v>
      </c>
      <c r="V685" s="71" t="b">
        <v>0</v>
      </c>
    </row>
    <row r="686" spans="1:22" ht="17.25">
      <c r="A686" s="70">
        <v>480</v>
      </c>
      <c r="B686" s="70" t="s">
        <v>2317</v>
      </c>
      <c r="C686" s="70" t="s">
        <v>356</v>
      </c>
      <c r="D686" s="70" t="s">
        <v>355</v>
      </c>
      <c r="E686" s="70" t="s">
        <v>200</v>
      </c>
      <c r="F686" s="71">
        <v>30</v>
      </c>
      <c r="G686" s="71">
        <v>91</v>
      </c>
      <c r="H686" s="72">
        <v>0.15763888888888888</v>
      </c>
      <c r="I686" s="71" t="b">
        <v>0</v>
      </c>
      <c r="J686" s="71">
        <v>37</v>
      </c>
      <c r="K686" s="71">
        <v>27</v>
      </c>
      <c r="L686" s="71">
        <v>82</v>
      </c>
      <c r="M686" s="71">
        <v>3</v>
      </c>
      <c r="N686" s="71">
        <v>75</v>
      </c>
      <c r="O686" s="71">
        <v>5</v>
      </c>
      <c r="P686" s="71">
        <v>10</v>
      </c>
      <c r="Q686" s="71">
        <v>16</v>
      </c>
      <c r="R686" s="71">
        <v>103</v>
      </c>
      <c r="S686" s="71" t="s">
        <v>354</v>
      </c>
      <c r="T686" s="73">
        <v>36717</v>
      </c>
      <c r="U686" s="71" t="s">
        <v>3633</v>
      </c>
      <c r="V686" s="71" t="b">
        <v>0</v>
      </c>
    </row>
    <row r="687" spans="1:22" ht="17.25">
      <c r="A687" s="70">
        <v>481</v>
      </c>
      <c r="B687" s="70" t="s">
        <v>2316</v>
      </c>
      <c r="C687" s="70" t="s">
        <v>485</v>
      </c>
      <c r="D687" s="70" t="s">
        <v>2315</v>
      </c>
      <c r="E687" s="70" t="s">
        <v>655</v>
      </c>
      <c r="F687" s="71">
        <v>33</v>
      </c>
      <c r="G687" s="71">
        <v>31</v>
      </c>
      <c r="H687" s="72">
        <v>0.12847222222222221</v>
      </c>
      <c r="I687" s="71" t="b">
        <v>1</v>
      </c>
      <c r="J687" s="71">
        <v>72</v>
      </c>
      <c r="K687" s="71">
        <v>74</v>
      </c>
      <c r="L687" s="71">
        <v>88</v>
      </c>
      <c r="M687" s="71">
        <v>6</v>
      </c>
      <c r="N687" s="71">
        <v>68</v>
      </c>
      <c r="O687" s="71">
        <v>0</v>
      </c>
      <c r="P687" s="71">
        <v>18</v>
      </c>
      <c r="Q687" s="71">
        <v>89</v>
      </c>
      <c r="R687" s="71">
        <v>133</v>
      </c>
      <c r="S687" s="71" t="s">
        <v>61</v>
      </c>
      <c r="T687" s="73">
        <v>45702</v>
      </c>
      <c r="U687" s="71" t="s">
        <v>3773</v>
      </c>
      <c r="V687" s="71" t="b">
        <v>0</v>
      </c>
    </row>
    <row r="688" spans="1:22" ht="17.25">
      <c r="A688" s="70">
        <v>481</v>
      </c>
      <c r="B688" s="70" t="s">
        <v>2316</v>
      </c>
      <c r="C688" s="70" t="s">
        <v>1987</v>
      </c>
      <c r="D688" s="70" t="s">
        <v>2315</v>
      </c>
      <c r="E688" s="70" t="s">
        <v>655</v>
      </c>
      <c r="F688" s="71">
        <v>33</v>
      </c>
      <c r="G688" s="71">
        <v>31</v>
      </c>
      <c r="H688" s="72">
        <v>0.12847222222222221</v>
      </c>
      <c r="I688" s="71" t="b">
        <v>1</v>
      </c>
      <c r="J688" s="71">
        <v>72</v>
      </c>
      <c r="K688" s="71">
        <v>74</v>
      </c>
      <c r="L688" s="71">
        <v>88</v>
      </c>
      <c r="M688" s="71">
        <v>6</v>
      </c>
      <c r="N688" s="71">
        <v>68</v>
      </c>
      <c r="O688" s="71">
        <v>0</v>
      </c>
      <c r="P688" s="71">
        <v>18</v>
      </c>
      <c r="Q688" s="71">
        <v>89</v>
      </c>
      <c r="R688" s="71">
        <v>133</v>
      </c>
      <c r="S688" s="71" t="s">
        <v>61</v>
      </c>
      <c r="T688" s="73">
        <v>45702</v>
      </c>
      <c r="U688" s="71" t="s">
        <v>3773</v>
      </c>
      <c r="V688" s="71" t="b">
        <v>0</v>
      </c>
    </row>
    <row r="689" spans="1:22" ht="17.25">
      <c r="A689" s="70">
        <v>482</v>
      </c>
      <c r="B689" s="70" t="s">
        <v>2314</v>
      </c>
      <c r="C689" s="70" t="s">
        <v>2313</v>
      </c>
      <c r="D689" s="70" t="s">
        <v>2312</v>
      </c>
      <c r="E689" s="70" t="s">
        <v>2311</v>
      </c>
      <c r="F689" s="71">
        <v>175</v>
      </c>
      <c r="G689" s="71">
        <v>5</v>
      </c>
      <c r="H689" s="72">
        <v>0.16041666666666668</v>
      </c>
      <c r="I689" s="71" t="b">
        <v>0</v>
      </c>
      <c r="J689" s="71">
        <v>28</v>
      </c>
      <c r="K689" s="71">
        <v>74</v>
      </c>
      <c r="L689" s="71">
        <v>89</v>
      </c>
      <c r="M689" s="71">
        <v>9</v>
      </c>
      <c r="N689" s="71">
        <v>0</v>
      </c>
      <c r="O689" s="71">
        <v>0</v>
      </c>
      <c r="P689" s="71">
        <v>59</v>
      </c>
      <c r="Q689" s="71">
        <v>33</v>
      </c>
      <c r="R689" s="71">
        <v>190</v>
      </c>
      <c r="S689" s="71" t="s">
        <v>96</v>
      </c>
      <c r="T689" s="73">
        <v>41873</v>
      </c>
      <c r="U689" s="71" t="s">
        <v>3774</v>
      </c>
      <c r="V689" s="71" t="b">
        <v>0</v>
      </c>
    </row>
    <row r="690" spans="1:22" ht="17.25">
      <c r="A690" s="70">
        <v>483</v>
      </c>
      <c r="B690" s="70" t="s">
        <v>2310</v>
      </c>
      <c r="C690" s="70" t="s">
        <v>383</v>
      </c>
      <c r="D690" s="70" t="s">
        <v>2309</v>
      </c>
      <c r="E690" s="70" t="s">
        <v>381</v>
      </c>
      <c r="F690" s="71">
        <v>78</v>
      </c>
      <c r="G690" s="71">
        <v>2</v>
      </c>
      <c r="H690" s="72">
        <v>0.12847222222222221</v>
      </c>
      <c r="I690" s="71" t="b">
        <v>0</v>
      </c>
      <c r="J690" s="71">
        <v>48</v>
      </c>
      <c r="K690" s="71">
        <v>80</v>
      </c>
      <c r="L690" s="71">
        <v>93</v>
      </c>
      <c r="M690" s="71">
        <v>3</v>
      </c>
      <c r="N690" s="71">
        <v>16</v>
      </c>
      <c r="O690" s="71">
        <v>0</v>
      </c>
      <c r="P690" s="71">
        <v>14</v>
      </c>
      <c r="Q690" s="71">
        <v>41</v>
      </c>
      <c r="R690" s="71">
        <v>145</v>
      </c>
      <c r="S690" s="71" t="s">
        <v>96</v>
      </c>
      <c r="T690" s="73">
        <v>45709</v>
      </c>
      <c r="U690" s="71" t="s">
        <v>3411</v>
      </c>
      <c r="V690" s="71" t="b">
        <v>0</v>
      </c>
    </row>
    <row r="691" spans="1:22" ht="17.25">
      <c r="A691" s="70">
        <v>484</v>
      </c>
      <c r="B691" s="70" t="s">
        <v>2308</v>
      </c>
      <c r="C691" s="70" t="s">
        <v>678</v>
      </c>
      <c r="D691" s="70" t="s">
        <v>2307</v>
      </c>
      <c r="E691" s="70" t="s">
        <v>386</v>
      </c>
      <c r="F691" s="71">
        <v>192</v>
      </c>
      <c r="G691" s="71">
        <v>1</v>
      </c>
      <c r="H691" s="72">
        <v>0.11666666666666667</v>
      </c>
      <c r="I691" s="71" t="b">
        <v>1</v>
      </c>
      <c r="J691" s="71">
        <v>68</v>
      </c>
      <c r="K691" s="71">
        <v>75</v>
      </c>
      <c r="L691" s="71">
        <v>87</v>
      </c>
      <c r="M691" s="71">
        <v>5</v>
      </c>
      <c r="N691" s="71">
        <v>2</v>
      </c>
      <c r="O691" s="71">
        <v>0</v>
      </c>
      <c r="P691" s="71">
        <v>25</v>
      </c>
      <c r="Q691" s="71">
        <v>20</v>
      </c>
      <c r="R691" s="71">
        <v>108</v>
      </c>
      <c r="S691" s="71" t="s">
        <v>115</v>
      </c>
      <c r="T691" s="73">
        <v>45723</v>
      </c>
      <c r="U691" s="71" t="s">
        <v>3775</v>
      </c>
      <c r="V691" s="71" t="b">
        <v>0</v>
      </c>
    </row>
    <row r="692" spans="1:22" ht="17.25">
      <c r="A692" s="70">
        <v>485</v>
      </c>
      <c r="B692" s="70" t="s">
        <v>2306</v>
      </c>
      <c r="C692" s="70" t="s">
        <v>2028</v>
      </c>
      <c r="D692" s="70" t="s">
        <v>2305</v>
      </c>
      <c r="E692" s="70" t="s">
        <v>2026</v>
      </c>
      <c r="F692" s="71">
        <v>88</v>
      </c>
      <c r="G692" s="71">
        <v>3</v>
      </c>
      <c r="H692" s="72">
        <v>0.16527777777777777</v>
      </c>
      <c r="I692" s="71" t="b">
        <v>1</v>
      </c>
      <c r="J692" s="71">
        <v>75</v>
      </c>
      <c r="K692" s="71">
        <v>87</v>
      </c>
      <c r="L692" s="71">
        <v>94</v>
      </c>
      <c r="M692" s="71">
        <v>13</v>
      </c>
      <c r="N692" s="71">
        <v>2</v>
      </c>
      <c r="O692" s="71">
        <v>0</v>
      </c>
      <c r="P692" s="71">
        <v>35</v>
      </c>
      <c r="Q692" s="71">
        <v>82</v>
      </c>
      <c r="R692" s="71">
        <v>148</v>
      </c>
      <c r="S692" s="71" t="s">
        <v>48</v>
      </c>
      <c r="T692" s="73">
        <v>41751</v>
      </c>
      <c r="U692" s="71" t="s">
        <v>3776</v>
      </c>
      <c r="V692" s="71" t="b">
        <v>0</v>
      </c>
    </row>
    <row r="693" spans="1:22" ht="17.25">
      <c r="A693" s="70">
        <v>486</v>
      </c>
      <c r="B693" s="70" t="s">
        <v>2304</v>
      </c>
      <c r="C693" s="70" t="s">
        <v>1982</v>
      </c>
      <c r="D693" s="70" t="s">
        <v>2303</v>
      </c>
      <c r="E693" s="70" t="s">
        <v>1980</v>
      </c>
      <c r="F693" s="71">
        <v>133</v>
      </c>
      <c r="G693" s="71">
        <v>1</v>
      </c>
      <c r="H693" s="72" t="s">
        <v>4315</v>
      </c>
      <c r="I693" s="71" t="b">
        <v>1</v>
      </c>
      <c r="J693" s="71">
        <v>86</v>
      </c>
      <c r="K693" s="71">
        <v>76</v>
      </c>
      <c r="L693" s="71">
        <v>74</v>
      </c>
      <c r="M693" s="71">
        <v>18</v>
      </c>
      <c r="N693" s="71">
        <v>10</v>
      </c>
      <c r="O693" s="71">
        <v>0</v>
      </c>
      <c r="P693" s="71">
        <v>22</v>
      </c>
      <c r="Q693" s="71">
        <v>68</v>
      </c>
      <c r="R693" s="71">
        <v>126</v>
      </c>
      <c r="S693" s="71" t="s">
        <v>48</v>
      </c>
      <c r="T693" s="73" t="s">
        <v>4376</v>
      </c>
      <c r="U693" s="71" t="s">
        <v>3639</v>
      </c>
      <c r="V693" s="71" t="b">
        <v>0</v>
      </c>
    </row>
    <row r="694" spans="1:22" ht="17.25">
      <c r="A694" s="70">
        <v>487</v>
      </c>
      <c r="B694" s="70" t="s">
        <v>2302</v>
      </c>
      <c r="C694" s="70" t="s">
        <v>318</v>
      </c>
      <c r="D694" s="70" t="s">
        <v>2301</v>
      </c>
      <c r="E694" s="70" t="s">
        <v>316</v>
      </c>
      <c r="F694" s="71">
        <v>14</v>
      </c>
      <c r="G694" s="71">
        <v>4</v>
      </c>
      <c r="H694" s="72" t="s">
        <v>4317</v>
      </c>
      <c r="I694" s="71" t="b">
        <v>0</v>
      </c>
      <c r="J694" s="71">
        <v>58</v>
      </c>
      <c r="K694" s="71">
        <v>74</v>
      </c>
      <c r="L694" s="71">
        <v>75</v>
      </c>
      <c r="M694" s="71">
        <v>6</v>
      </c>
      <c r="N694" s="71">
        <v>21</v>
      </c>
      <c r="O694" s="71">
        <v>0</v>
      </c>
      <c r="P694" s="71">
        <v>17</v>
      </c>
      <c r="Q694" s="71">
        <v>49</v>
      </c>
      <c r="R694" s="71">
        <v>189</v>
      </c>
      <c r="S694" s="71" t="s">
        <v>74</v>
      </c>
      <c r="T694" s="73" t="s">
        <v>4327</v>
      </c>
      <c r="U694" s="71" t="s">
        <v>3561</v>
      </c>
      <c r="V694" s="71" t="b">
        <v>0</v>
      </c>
    </row>
    <row r="695" spans="1:22" ht="17.25">
      <c r="A695" s="70">
        <v>488</v>
      </c>
      <c r="B695" s="70" t="s">
        <v>2300</v>
      </c>
      <c r="C695" s="70" t="s">
        <v>318</v>
      </c>
      <c r="D695" s="70" t="s">
        <v>2299</v>
      </c>
      <c r="E695" s="70" t="s">
        <v>316</v>
      </c>
      <c r="F695" s="71">
        <v>12</v>
      </c>
      <c r="G695" s="71">
        <v>5</v>
      </c>
      <c r="H695" s="72" t="s">
        <v>4320</v>
      </c>
      <c r="I695" s="71" t="b">
        <v>0</v>
      </c>
      <c r="J695" s="71">
        <v>60</v>
      </c>
      <c r="K695" s="71">
        <v>48</v>
      </c>
      <c r="L695" s="71">
        <v>71</v>
      </c>
      <c r="M695" s="71">
        <v>4</v>
      </c>
      <c r="N695" s="71">
        <v>55</v>
      </c>
      <c r="O695" s="71">
        <v>0</v>
      </c>
      <c r="P695" s="71">
        <v>12</v>
      </c>
      <c r="Q695" s="71">
        <v>38</v>
      </c>
      <c r="R695" s="71">
        <v>126</v>
      </c>
      <c r="S695" s="71" t="s">
        <v>74</v>
      </c>
      <c r="T695" s="73" t="s">
        <v>4327</v>
      </c>
      <c r="U695" s="71" t="s">
        <v>3561</v>
      </c>
      <c r="V695" s="71" t="b">
        <v>0</v>
      </c>
    </row>
    <row r="696" spans="1:22" ht="17.25">
      <c r="A696" s="70">
        <v>488</v>
      </c>
      <c r="B696" s="70" t="s">
        <v>2300</v>
      </c>
      <c r="C696" s="70" t="s">
        <v>4688</v>
      </c>
      <c r="D696" s="70" t="s">
        <v>2299</v>
      </c>
      <c r="E696" s="70" t="s">
        <v>316</v>
      </c>
      <c r="F696" s="71">
        <v>12</v>
      </c>
      <c r="G696" s="71">
        <v>5</v>
      </c>
      <c r="H696" s="72" t="s">
        <v>4320</v>
      </c>
      <c r="I696" s="71" t="b">
        <v>0</v>
      </c>
      <c r="J696" s="71">
        <v>60</v>
      </c>
      <c r="K696" s="71">
        <v>48</v>
      </c>
      <c r="L696" s="71">
        <v>71</v>
      </c>
      <c r="M696" s="71">
        <v>4</v>
      </c>
      <c r="N696" s="71">
        <v>55</v>
      </c>
      <c r="O696" s="71">
        <v>0</v>
      </c>
      <c r="P696" s="71">
        <v>12</v>
      </c>
      <c r="Q696" s="71">
        <v>38</v>
      </c>
      <c r="R696" s="71">
        <v>126</v>
      </c>
      <c r="S696" s="71" t="s">
        <v>74</v>
      </c>
      <c r="T696" s="73" t="s">
        <v>4327</v>
      </c>
      <c r="U696" s="71" t="s">
        <v>3561</v>
      </c>
      <c r="V696" s="71" t="b">
        <v>0</v>
      </c>
    </row>
    <row r="697" spans="1:22" ht="17.25">
      <c r="A697" s="70">
        <v>489</v>
      </c>
      <c r="B697" s="70" t="s">
        <v>2298</v>
      </c>
      <c r="C697" s="70" t="s">
        <v>2297</v>
      </c>
      <c r="D697" s="70" t="s">
        <v>2296</v>
      </c>
      <c r="E697" s="70" t="s">
        <v>44</v>
      </c>
      <c r="F697" s="71">
        <v>34</v>
      </c>
      <c r="G697" s="71">
        <v>173</v>
      </c>
      <c r="H697" s="72">
        <v>0.16180555555555556</v>
      </c>
      <c r="I697" s="71" t="b">
        <v>0</v>
      </c>
      <c r="J697" s="71">
        <v>61</v>
      </c>
      <c r="K697" s="71">
        <v>69</v>
      </c>
      <c r="L697" s="71">
        <v>95</v>
      </c>
      <c r="M697" s="71">
        <v>3</v>
      </c>
      <c r="N697" s="71">
        <v>2</v>
      </c>
      <c r="O697" s="71">
        <v>0</v>
      </c>
      <c r="P697" s="71">
        <v>9</v>
      </c>
      <c r="Q697" s="71">
        <v>45</v>
      </c>
      <c r="R697" s="71">
        <v>117</v>
      </c>
      <c r="S697" s="71" t="s">
        <v>96</v>
      </c>
      <c r="T697" s="73">
        <v>42853</v>
      </c>
      <c r="U697" s="71" t="s">
        <v>3777</v>
      </c>
      <c r="V697" s="71" t="b">
        <v>0</v>
      </c>
    </row>
    <row r="698" spans="1:22" ht="17.25">
      <c r="A698" s="70">
        <v>490</v>
      </c>
      <c r="B698" s="70" t="s">
        <v>2295</v>
      </c>
      <c r="C698" s="70" t="s">
        <v>4471</v>
      </c>
      <c r="D698" s="70" t="s">
        <v>4314</v>
      </c>
      <c r="E698" s="70" t="s">
        <v>1068</v>
      </c>
      <c r="F698" s="71">
        <v>194</v>
      </c>
      <c r="G698" s="71">
        <v>2</v>
      </c>
      <c r="H698" s="72">
        <v>0.11666666666666667</v>
      </c>
      <c r="I698" s="71" t="b">
        <v>0</v>
      </c>
      <c r="J698" s="71">
        <v>78</v>
      </c>
      <c r="K698" s="71">
        <v>79</v>
      </c>
      <c r="L698" s="71">
        <v>96</v>
      </c>
      <c r="M698" s="71">
        <v>5</v>
      </c>
      <c r="N698" s="71">
        <v>24</v>
      </c>
      <c r="O698" s="71">
        <v>0</v>
      </c>
      <c r="P698" s="71">
        <v>11</v>
      </c>
      <c r="Q698" s="71">
        <v>96</v>
      </c>
      <c r="R698" s="71">
        <v>138</v>
      </c>
      <c r="S698" s="71" t="s">
        <v>128</v>
      </c>
      <c r="T698" s="73">
        <v>45793</v>
      </c>
      <c r="U698" s="71" t="s">
        <v>3778</v>
      </c>
      <c r="V698" s="71" t="b">
        <v>0</v>
      </c>
    </row>
    <row r="699" spans="1:22" ht="17.25">
      <c r="A699" s="70">
        <v>490</v>
      </c>
      <c r="B699" s="70" t="s">
        <v>2295</v>
      </c>
      <c r="C699" s="70" t="s">
        <v>4690</v>
      </c>
      <c r="D699" s="70" t="s">
        <v>4314</v>
      </c>
      <c r="E699" s="70" t="s">
        <v>1068</v>
      </c>
      <c r="F699" s="71">
        <v>194</v>
      </c>
      <c r="G699" s="71">
        <v>2</v>
      </c>
      <c r="H699" s="72">
        <v>0.11666666666666667</v>
      </c>
      <c r="I699" s="71" t="b">
        <v>0</v>
      </c>
      <c r="J699" s="71">
        <v>78</v>
      </c>
      <c r="K699" s="71">
        <v>79</v>
      </c>
      <c r="L699" s="71">
        <v>96</v>
      </c>
      <c r="M699" s="71">
        <v>5</v>
      </c>
      <c r="N699" s="71">
        <v>24</v>
      </c>
      <c r="O699" s="71">
        <v>0</v>
      </c>
      <c r="P699" s="71">
        <v>11</v>
      </c>
      <c r="Q699" s="71">
        <v>96</v>
      </c>
      <c r="R699" s="71">
        <v>138</v>
      </c>
      <c r="S699" s="71" t="s">
        <v>128</v>
      </c>
      <c r="T699" s="73">
        <v>45793</v>
      </c>
      <c r="U699" s="71" t="s">
        <v>3778</v>
      </c>
      <c r="V699" s="71" t="b">
        <v>0</v>
      </c>
    </row>
    <row r="700" spans="1:22" ht="17.25">
      <c r="A700" s="70">
        <v>490</v>
      </c>
      <c r="B700" s="70" t="s">
        <v>2295</v>
      </c>
      <c r="C700" s="70" t="s">
        <v>4689</v>
      </c>
      <c r="D700" s="70" t="s">
        <v>4314</v>
      </c>
      <c r="E700" s="70" t="s">
        <v>1068</v>
      </c>
      <c r="F700" s="71">
        <v>194</v>
      </c>
      <c r="G700" s="71">
        <v>2</v>
      </c>
      <c r="H700" s="72">
        <v>0.11666666666666667</v>
      </c>
      <c r="I700" s="71" t="b">
        <v>0</v>
      </c>
      <c r="J700" s="71">
        <v>78</v>
      </c>
      <c r="K700" s="71">
        <v>79</v>
      </c>
      <c r="L700" s="71">
        <v>96</v>
      </c>
      <c r="M700" s="71">
        <v>5</v>
      </c>
      <c r="N700" s="71">
        <v>24</v>
      </c>
      <c r="O700" s="71">
        <v>0</v>
      </c>
      <c r="P700" s="71">
        <v>11</v>
      </c>
      <c r="Q700" s="71">
        <v>96</v>
      </c>
      <c r="R700" s="71">
        <v>138</v>
      </c>
      <c r="S700" s="71" t="s">
        <v>128</v>
      </c>
      <c r="T700" s="73">
        <v>45793</v>
      </c>
      <c r="U700" s="71" t="s">
        <v>3778</v>
      </c>
      <c r="V700" s="71" t="b">
        <v>0</v>
      </c>
    </row>
    <row r="701" spans="1:22" ht="17.25">
      <c r="A701" s="70">
        <v>491</v>
      </c>
      <c r="B701" s="70" t="s">
        <v>2294</v>
      </c>
      <c r="C701" s="70" t="s">
        <v>961</v>
      </c>
      <c r="D701" s="70" t="s">
        <v>2293</v>
      </c>
      <c r="E701" s="70" t="s">
        <v>1673</v>
      </c>
      <c r="F701" s="71">
        <v>3</v>
      </c>
      <c r="G701" s="71">
        <v>92</v>
      </c>
      <c r="H701" s="72">
        <v>0.15416666666666667</v>
      </c>
      <c r="I701" s="71" t="b">
        <v>1</v>
      </c>
      <c r="J701" s="71">
        <v>79</v>
      </c>
      <c r="K701" s="71">
        <v>50</v>
      </c>
      <c r="L701" s="71">
        <v>86</v>
      </c>
      <c r="M701" s="71">
        <v>5</v>
      </c>
      <c r="N701" s="71">
        <v>45</v>
      </c>
      <c r="O701" s="71">
        <v>0</v>
      </c>
      <c r="P701" s="71">
        <v>9</v>
      </c>
      <c r="Q701" s="71">
        <v>67</v>
      </c>
      <c r="R701" s="71">
        <v>100</v>
      </c>
      <c r="S701" s="71" t="s">
        <v>128</v>
      </c>
      <c r="T701" s="73">
        <v>45317</v>
      </c>
      <c r="U701" s="71" t="s">
        <v>3779</v>
      </c>
      <c r="V701" s="71" t="b">
        <v>0</v>
      </c>
    </row>
    <row r="702" spans="1:22" ht="17.25">
      <c r="A702" s="70">
        <v>491</v>
      </c>
      <c r="B702" s="70" t="s">
        <v>2294</v>
      </c>
      <c r="C702" s="70" t="s">
        <v>1675</v>
      </c>
      <c r="D702" s="70" t="s">
        <v>2293</v>
      </c>
      <c r="E702" s="70" t="s">
        <v>1673</v>
      </c>
      <c r="F702" s="71">
        <v>3</v>
      </c>
      <c r="G702" s="71">
        <v>92</v>
      </c>
      <c r="H702" s="72">
        <v>0.15416666666666667</v>
      </c>
      <c r="I702" s="71" t="b">
        <v>1</v>
      </c>
      <c r="J702" s="71">
        <v>79</v>
      </c>
      <c r="K702" s="71">
        <v>50</v>
      </c>
      <c r="L702" s="71">
        <v>86</v>
      </c>
      <c r="M702" s="71">
        <v>5</v>
      </c>
      <c r="N702" s="71">
        <v>45</v>
      </c>
      <c r="O702" s="71">
        <v>0</v>
      </c>
      <c r="P702" s="71">
        <v>9</v>
      </c>
      <c r="Q702" s="71">
        <v>67</v>
      </c>
      <c r="R702" s="71">
        <v>100</v>
      </c>
      <c r="S702" s="71" t="s">
        <v>128</v>
      </c>
      <c r="T702" s="73">
        <v>45317</v>
      </c>
      <c r="U702" s="71" t="s">
        <v>3779</v>
      </c>
      <c r="V702" s="71" t="b">
        <v>0</v>
      </c>
    </row>
    <row r="703" spans="1:22" ht="17.25">
      <c r="A703" s="70">
        <v>493</v>
      </c>
      <c r="B703" s="70" t="s">
        <v>2291</v>
      </c>
      <c r="C703" s="70" t="s">
        <v>2117</v>
      </c>
      <c r="D703" s="70" t="s">
        <v>2116</v>
      </c>
      <c r="E703" s="70" t="s">
        <v>2115</v>
      </c>
      <c r="F703" s="71">
        <v>61</v>
      </c>
      <c r="G703" s="71">
        <v>17</v>
      </c>
      <c r="H703" s="72" t="s">
        <v>4317</v>
      </c>
      <c r="I703" s="71" t="b">
        <v>0</v>
      </c>
      <c r="J703" s="71">
        <v>75</v>
      </c>
      <c r="K703" s="71">
        <v>70</v>
      </c>
      <c r="L703" s="71">
        <v>74</v>
      </c>
      <c r="M703" s="71">
        <v>8</v>
      </c>
      <c r="N703" s="71">
        <v>19</v>
      </c>
      <c r="O703" s="71">
        <v>1</v>
      </c>
      <c r="P703" s="71">
        <v>14</v>
      </c>
      <c r="Q703" s="71">
        <v>66</v>
      </c>
      <c r="R703" s="71">
        <v>122</v>
      </c>
      <c r="S703" s="71" t="s">
        <v>115</v>
      </c>
      <c r="T703" s="73" t="s">
        <v>4328</v>
      </c>
      <c r="U703" s="71" t="s">
        <v>3780</v>
      </c>
      <c r="V703" s="71" t="b">
        <v>0</v>
      </c>
    </row>
    <row r="704" spans="1:22" ht="17.25">
      <c r="A704" s="70">
        <v>494</v>
      </c>
      <c r="B704" s="70" t="s">
        <v>2290</v>
      </c>
      <c r="C704" s="70" t="s">
        <v>471</v>
      </c>
      <c r="D704" s="70" t="s">
        <v>2289</v>
      </c>
      <c r="E704" s="70" t="s">
        <v>469</v>
      </c>
      <c r="F704" s="71">
        <v>55</v>
      </c>
      <c r="G704" s="71">
        <v>57</v>
      </c>
      <c r="H704" s="72">
        <v>0.2076388888888889</v>
      </c>
      <c r="I704" s="71" t="b">
        <v>0</v>
      </c>
      <c r="J704" s="71">
        <v>35</v>
      </c>
      <c r="K704" s="71">
        <v>68</v>
      </c>
      <c r="L704" s="71">
        <v>85</v>
      </c>
      <c r="M704" s="71">
        <v>3</v>
      </c>
      <c r="N704" s="71">
        <v>0</v>
      </c>
      <c r="O704" s="71">
        <v>11</v>
      </c>
      <c r="P704" s="71">
        <v>18</v>
      </c>
      <c r="Q704" s="71">
        <v>14</v>
      </c>
      <c r="R704" s="71">
        <v>102</v>
      </c>
      <c r="S704" s="71" t="s">
        <v>79</v>
      </c>
      <c r="T704" s="73">
        <v>35571</v>
      </c>
      <c r="U704" s="71" t="s">
        <v>3545</v>
      </c>
      <c r="V704" s="71" t="b">
        <v>0</v>
      </c>
    </row>
    <row r="705" spans="1:22" ht="17.25">
      <c r="A705" s="70">
        <v>495</v>
      </c>
      <c r="B705" s="70" t="s">
        <v>2288</v>
      </c>
      <c r="C705" s="70" t="s">
        <v>178</v>
      </c>
      <c r="D705" s="70" t="s">
        <v>2287</v>
      </c>
      <c r="E705" s="70" t="s">
        <v>388</v>
      </c>
      <c r="F705" s="71">
        <v>47</v>
      </c>
      <c r="G705" s="71">
        <v>13</v>
      </c>
      <c r="H705" s="72">
        <v>0.17152777777777778</v>
      </c>
      <c r="I705" s="71" t="b">
        <v>0</v>
      </c>
      <c r="J705" s="71">
        <v>68</v>
      </c>
      <c r="K705" s="71">
        <v>78</v>
      </c>
      <c r="L705" s="71">
        <v>81</v>
      </c>
      <c r="M705" s="71">
        <v>5</v>
      </c>
      <c r="N705" s="71">
        <v>10</v>
      </c>
      <c r="O705" s="71">
        <v>0</v>
      </c>
      <c r="P705" s="71">
        <v>13</v>
      </c>
      <c r="Q705" s="71">
        <v>55</v>
      </c>
      <c r="R705" s="71">
        <v>114</v>
      </c>
      <c r="S705" s="71" t="s">
        <v>96</v>
      </c>
      <c r="T705" s="73">
        <v>32020</v>
      </c>
      <c r="U705" s="71" t="s">
        <v>3781</v>
      </c>
      <c r="V705" s="71" t="b">
        <v>0</v>
      </c>
    </row>
    <row r="706" spans="1:22" ht="17.25">
      <c r="A706" s="70">
        <v>496</v>
      </c>
      <c r="B706" s="70" t="s">
        <v>2286</v>
      </c>
      <c r="C706" s="70" t="s">
        <v>106</v>
      </c>
      <c r="D706" s="70" t="s">
        <v>226</v>
      </c>
      <c r="E706" s="70" t="s">
        <v>104</v>
      </c>
      <c r="F706" s="71">
        <v>9</v>
      </c>
      <c r="G706" s="71">
        <v>29</v>
      </c>
      <c r="H706" s="72" t="s">
        <v>4357</v>
      </c>
      <c r="I706" s="71" t="b">
        <v>0</v>
      </c>
      <c r="J706" s="71">
        <v>52</v>
      </c>
      <c r="K706" s="71">
        <v>38</v>
      </c>
      <c r="L706" s="71">
        <v>69</v>
      </c>
      <c r="M706" s="71">
        <v>4</v>
      </c>
      <c r="N706" s="71">
        <v>74</v>
      </c>
      <c r="O706" s="71">
        <v>0</v>
      </c>
      <c r="P706" s="71">
        <v>12</v>
      </c>
      <c r="Q706" s="71">
        <v>28</v>
      </c>
      <c r="R706" s="71">
        <v>116</v>
      </c>
      <c r="S706" s="71" t="s">
        <v>96</v>
      </c>
      <c r="T706" s="73" t="s">
        <v>4358</v>
      </c>
      <c r="U706" s="71" t="s">
        <v>3782</v>
      </c>
      <c r="V706" s="71" t="b">
        <v>0</v>
      </c>
    </row>
    <row r="707" spans="1:22" ht="17.25">
      <c r="A707" s="70">
        <v>497</v>
      </c>
      <c r="B707" s="70" t="s">
        <v>2285</v>
      </c>
      <c r="C707" s="70" t="s">
        <v>4472</v>
      </c>
      <c r="D707" s="70" t="s">
        <v>2284</v>
      </c>
      <c r="E707" s="70" t="s">
        <v>2283</v>
      </c>
      <c r="F707" s="71">
        <v>140</v>
      </c>
      <c r="G707" s="71">
        <v>34</v>
      </c>
      <c r="H707" s="72">
        <v>0.16805555555555557</v>
      </c>
      <c r="I707" s="71" t="b">
        <v>0</v>
      </c>
      <c r="J707" s="71">
        <v>81</v>
      </c>
      <c r="K707" s="71">
        <v>97</v>
      </c>
      <c r="L707" s="71">
        <v>90</v>
      </c>
      <c r="M707" s="71">
        <v>5</v>
      </c>
      <c r="N707" s="71">
        <v>6</v>
      </c>
      <c r="O707" s="71">
        <v>0</v>
      </c>
      <c r="P707" s="71">
        <v>15</v>
      </c>
      <c r="Q707" s="71">
        <v>87</v>
      </c>
      <c r="R707" s="71">
        <v>114</v>
      </c>
      <c r="S707" s="71" t="s">
        <v>96</v>
      </c>
      <c r="T707" s="73">
        <v>38846</v>
      </c>
      <c r="U707" s="71" t="s">
        <v>3783</v>
      </c>
      <c r="V707" s="71" t="b">
        <v>0</v>
      </c>
    </row>
    <row r="708" spans="1:22" ht="17.25">
      <c r="A708" s="70">
        <v>497</v>
      </c>
      <c r="B708" s="70" t="s">
        <v>2285</v>
      </c>
      <c r="C708" s="70" t="s">
        <v>4584</v>
      </c>
      <c r="D708" s="70" t="s">
        <v>2284</v>
      </c>
      <c r="E708" s="70" t="s">
        <v>2283</v>
      </c>
      <c r="F708" s="71">
        <v>140</v>
      </c>
      <c r="G708" s="71">
        <v>34</v>
      </c>
      <c r="H708" s="72">
        <v>0.16805555555555557</v>
      </c>
      <c r="I708" s="71" t="b">
        <v>0</v>
      </c>
      <c r="J708" s="71">
        <v>81</v>
      </c>
      <c r="K708" s="71">
        <v>97</v>
      </c>
      <c r="L708" s="71">
        <v>90</v>
      </c>
      <c r="M708" s="71">
        <v>5</v>
      </c>
      <c r="N708" s="71">
        <v>6</v>
      </c>
      <c r="O708" s="71">
        <v>0</v>
      </c>
      <c r="P708" s="71">
        <v>15</v>
      </c>
      <c r="Q708" s="71">
        <v>87</v>
      </c>
      <c r="R708" s="71">
        <v>114</v>
      </c>
      <c r="S708" s="71" t="s">
        <v>96</v>
      </c>
      <c r="T708" s="73">
        <v>38846</v>
      </c>
      <c r="U708" s="71" t="s">
        <v>3783</v>
      </c>
      <c r="V708" s="71" t="b">
        <v>0</v>
      </c>
    </row>
    <row r="709" spans="1:22" ht="17.25">
      <c r="A709" s="70">
        <v>498</v>
      </c>
      <c r="B709" s="70" t="s">
        <v>2282</v>
      </c>
      <c r="C709" s="70" t="s">
        <v>310</v>
      </c>
      <c r="D709" s="70" t="s">
        <v>2281</v>
      </c>
      <c r="E709" s="70" t="s">
        <v>308</v>
      </c>
      <c r="F709" s="71">
        <v>113</v>
      </c>
      <c r="G709" s="71">
        <v>6</v>
      </c>
      <c r="H709" s="72">
        <v>0.12847222222222221</v>
      </c>
      <c r="I709" s="71" t="b">
        <v>0</v>
      </c>
      <c r="J709" s="71">
        <v>55</v>
      </c>
      <c r="K709" s="71">
        <v>50</v>
      </c>
      <c r="L709" s="71">
        <v>73</v>
      </c>
      <c r="M709" s="71">
        <v>4</v>
      </c>
      <c r="N709" s="71">
        <v>55</v>
      </c>
      <c r="O709" s="71">
        <v>0</v>
      </c>
      <c r="P709" s="71">
        <v>15</v>
      </c>
      <c r="Q709" s="71">
        <v>78</v>
      </c>
      <c r="R709" s="71">
        <v>120</v>
      </c>
      <c r="S709" s="71" t="s">
        <v>29</v>
      </c>
      <c r="T709" s="73">
        <v>40840</v>
      </c>
      <c r="U709" s="71" t="s">
        <v>3784</v>
      </c>
      <c r="V709" s="71" t="b">
        <v>1</v>
      </c>
    </row>
    <row r="710" spans="1:22" ht="17.25">
      <c r="A710" s="70">
        <v>498</v>
      </c>
      <c r="B710" s="70" t="s">
        <v>2282</v>
      </c>
      <c r="C710" s="70" t="s">
        <v>4691</v>
      </c>
      <c r="D710" s="70" t="s">
        <v>2281</v>
      </c>
      <c r="E710" s="70" t="s">
        <v>308</v>
      </c>
      <c r="F710" s="71">
        <v>113</v>
      </c>
      <c r="G710" s="71">
        <v>6</v>
      </c>
      <c r="H710" s="72">
        <v>0.12847222222222221</v>
      </c>
      <c r="I710" s="71" t="b">
        <v>0</v>
      </c>
      <c r="J710" s="71">
        <v>55</v>
      </c>
      <c r="K710" s="71">
        <v>50</v>
      </c>
      <c r="L710" s="71">
        <v>73</v>
      </c>
      <c r="M710" s="71">
        <v>4</v>
      </c>
      <c r="N710" s="71">
        <v>55</v>
      </c>
      <c r="O710" s="71">
        <v>0</v>
      </c>
      <c r="P710" s="71">
        <v>15</v>
      </c>
      <c r="Q710" s="71">
        <v>78</v>
      </c>
      <c r="R710" s="71">
        <v>120</v>
      </c>
      <c r="S710" s="71" t="s">
        <v>29</v>
      </c>
      <c r="T710" s="73">
        <v>40840</v>
      </c>
      <c r="U710" s="71" t="s">
        <v>3784</v>
      </c>
      <c r="V710" s="71" t="b">
        <v>1</v>
      </c>
    </row>
    <row r="711" spans="1:22" ht="17.25">
      <c r="A711" s="70">
        <v>499</v>
      </c>
      <c r="B711" s="70" t="s">
        <v>2280</v>
      </c>
      <c r="C711" s="70" t="s">
        <v>4694</v>
      </c>
      <c r="D711" s="70" t="s">
        <v>2279</v>
      </c>
      <c r="E711" s="70" t="s">
        <v>2278</v>
      </c>
      <c r="F711" s="71">
        <v>146</v>
      </c>
      <c r="G711" s="71">
        <v>6</v>
      </c>
      <c r="H711" s="72" t="s">
        <v>4317</v>
      </c>
      <c r="I711" s="71" t="b">
        <v>1</v>
      </c>
      <c r="J711" s="71">
        <v>88</v>
      </c>
      <c r="K711" s="71">
        <v>84</v>
      </c>
      <c r="L711" s="71">
        <v>78</v>
      </c>
      <c r="M711" s="71">
        <v>18</v>
      </c>
      <c r="N711" s="71">
        <v>10</v>
      </c>
      <c r="O711" s="71">
        <v>0</v>
      </c>
      <c r="P711" s="71">
        <v>25</v>
      </c>
      <c r="Q711" s="71">
        <v>80</v>
      </c>
      <c r="R711" s="71">
        <v>133</v>
      </c>
      <c r="S711" s="71" t="s">
        <v>534</v>
      </c>
      <c r="T711" s="73" t="s">
        <v>4325</v>
      </c>
      <c r="U711" s="71" t="s">
        <v>3785</v>
      </c>
      <c r="V711" s="71" t="b">
        <v>0</v>
      </c>
    </row>
    <row r="712" spans="1:22" ht="17.25">
      <c r="A712" s="70">
        <v>499</v>
      </c>
      <c r="B712" s="70" t="s">
        <v>2280</v>
      </c>
      <c r="C712" s="70" t="s">
        <v>4697</v>
      </c>
      <c r="D712" s="70" t="s">
        <v>2279</v>
      </c>
      <c r="E712" s="70" t="s">
        <v>2278</v>
      </c>
      <c r="F712" s="71">
        <v>146</v>
      </c>
      <c r="G712" s="71">
        <v>6</v>
      </c>
      <c r="H712" s="72" t="s">
        <v>4317</v>
      </c>
      <c r="I712" s="71" t="b">
        <v>1</v>
      </c>
      <c r="J712" s="71">
        <v>88</v>
      </c>
      <c r="K712" s="71">
        <v>84</v>
      </c>
      <c r="L712" s="71">
        <v>78</v>
      </c>
      <c r="M712" s="71">
        <v>18</v>
      </c>
      <c r="N712" s="71">
        <v>10</v>
      </c>
      <c r="O712" s="71">
        <v>0</v>
      </c>
      <c r="P712" s="71">
        <v>25</v>
      </c>
      <c r="Q712" s="71">
        <v>80</v>
      </c>
      <c r="R712" s="71">
        <v>133</v>
      </c>
      <c r="S712" s="71" t="s">
        <v>534</v>
      </c>
      <c r="T712" s="73" t="s">
        <v>4325</v>
      </c>
      <c r="U712" s="71" t="s">
        <v>3785</v>
      </c>
      <c r="V712" s="71" t="b">
        <v>0</v>
      </c>
    </row>
    <row r="713" spans="1:22" ht="17.25">
      <c r="A713" s="70">
        <v>499</v>
      </c>
      <c r="B713" s="70" t="s">
        <v>2280</v>
      </c>
      <c r="C713" s="70" t="s">
        <v>4696</v>
      </c>
      <c r="D713" s="70" t="s">
        <v>2279</v>
      </c>
      <c r="E713" s="70" t="s">
        <v>2278</v>
      </c>
      <c r="F713" s="71">
        <v>146</v>
      </c>
      <c r="G713" s="71">
        <v>6</v>
      </c>
      <c r="H713" s="72" t="s">
        <v>4317</v>
      </c>
      <c r="I713" s="71" t="b">
        <v>1</v>
      </c>
      <c r="J713" s="71">
        <v>88</v>
      </c>
      <c r="K713" s="71">
        <v>84</v>
      </c>
      <c r="L713" s="71">
        <v>78</v>
      </c>
      <c r="M713" s="71">
        <v>18</v>
      </c>
      <c r="N713" s="71">
        <v>10</v>
      </c>
      <c r="O713" s="71">
        <v>0</v>
      </c>
      <c r="P713" s="71">
        <v>25</v>
      </c>
      <c r="Q713" s="71">
        <v>80</v>
      </c>
      <c r="R713" s="71">
        <v>133</v>
      </c>
      <c r="S713" s="71" t="s">
        <v>534</v>
      </c>
      <c r="T713" s="73" t="s">
        <v>4325</v>
      </c>
      <c r="U713" s="71" t="s">
        <v>3785</v>
      </c>
      <c r="V713" s="71" t="b">
        <v>0</v>
      </c>
    </row>
    <row r="714" spans="1:22" ht="17.25">
      <c r="A714" s="70">
        <v>499</v>
      </c>
      <c r="B714" s="70" t="s">
        <v>2280</v>
      </c>
      <c r="C714" s="70" t="s">
        <v>4692</v>
      </c>
      <c r="D714" s="70" t="s">
        <v>2279</v>
      </c>
      <c r="E714" s="70" t="s">
        <v>2278</v>
      </c>
      <c r="F714" s="71">
        <v>146</v>
      </c>
      <c r="G714" s="71">
        <v>6</v>
      </c>
      <c r="H714" s="72" t="s">
        <v>4317</v>
      </c>
      <c r="I714" s="71" t="b">
        <v>1</v>
      </c>
      <c r="J714" s="71">
        <v>88</v>
      </c>
      <c r="K714" s="71">
        <v>84</v>
      </c>
      <c r="L714" s="71">
        <v>78</v>
      </c>
      <c r="M714" s="71">
        <v>18</v>
      </c>
      <c r="N714" s="71">
        <v>10</v>
      </c>
      <c r="O714" s="71">
        <v>0</v>
      </c>
      <c r="P714" s="71">
        <v>25</v>
      </c>
      <c r="Q714" s="71">
        <v>80</v>
      </c>
      <c r="R714" s="71">
        <v>133</v>
      </c>
      <c r="S714" s="71" t="s">
        <v>534</v>
      </c>
      <c r="T714" s="73" t="s">
        <v>4325</v>
      </c>
      <c r="U714" s="71" t="s">
        <v>3785</v>
      </c>
      <c r="V714" s="71" t="b">
        <v>0</v>
      </c>
    </row>
    <row r="715" spans="1:22" ht="17.25">
      <c r="A715" s="70">
        <v>499</v>
      </c>
      <c r="B715" s="70" t="s">
        <v>2280</v>
      </c>
      <c r="C715" s="70" t="s">
        <v>4695</v>
      </c>
      <c r="D715" s="70" t="s">
        <v>2279</v>
      </c>
      <c r="E715" s="70" t="s">
        <v>2278</v>
      </c>
      <c r="F715" s="71">
        <v>146</v>
      </c>
      <c r="G715" s="71">
        <v>6</v>
      </c>
      <c r="H715" s="72" t="s">
        <v>4317</v>
      </c>
      <c r="I715" s="71" t="b">
        <v>1</v>
      </c>
      <c r="J715" s="71">
        <v>88</v>
      </c>
      <c r="K715" s="71">
        <v>84</v>
      </c>
      <c r="L715" s="71">
        <v>78</v>
      </c>
      <c r="M715" s="71">
        <v>18</v>
      </c>
      <c r="N715" s="71">
        <v>10</v>
      </c>
      <c r="O715" s="71">
        <v>0</v>
      </c>
      <c r="P715" s="71">
        <v>25</v>
      </c>
      <c r="Q715" s="71">
        <v>80</v>
      </c>
      <c r="R715" s="71">
        <v>133</v>
      </c>
      <c r="S715" s="71" t="s">
        <v>534</v>
      </c>
      <c r="T715" s="73" t="s">
        <v>4325</v>
      </c>
      <c r="U715" s="71" t="s">
        <v>3785</v>
      </c>
      <c r="V715" s="71" t="b">
        <v>0</v>
      </c>
    </row>
    <row r="716" spans="1:22" ht="17.25">
      <c r="A716" s="70">
        <v>499</v>
      </c>
      <c r="B716" s="70" t="s">
        <v>2280</v>
      </c>
      <c r="C716" s="70" t="s">
        <v>4693</v>
      </c>
      <c r="D716" s="70" t="s">
        <v>2279</v>
      </c>
      <c r="E716" s="70" t="s">
        <v>2278</v>
      </c>
      <c r="F716" s="71">
        <v>146</v>
      </c>
      <c r="G716" s="71">
        <v>6</v>
      </c>
      <c r="H716" s="72" t="s">
        <v>4317</v>
      </c>
      <c r="I716" s="71" t="b">
        <v>1</v>
      </c>
      <c r="J716" s="71">
        <v>88</v>
      </c>
      <c r="K716" s="71">
        <v>84</v>
      </c>
      <c r="L716" s="71">
        <v>78</v>
      </c>
      <c r="M716" s="71">
        <v>18</v>
      </c>
      <c r="N716" s="71">
        <v>10</v>
      </c>
      <c r="O716" s="71">
        <v>0</v>
      </c>
      <c r="P716" s="71">
        <v>25</v>
      </c>
      <c r="Q716" s="71">
        <v>80</v>
      </c>
      <c r="R716" s="71">
        <v>133</v>
      </c>
      <c r="S716" s="71" t="s">
        <v>534</v>
      </c>
      <c r="T716" s="73" t="s">
        <v>4325</v>
      </c>
      <c r="U716" s="71" t="s">
        <v>3785</v>
      </c>
      <c r="V716" s="71" t="b">
        <v>0</v>
      </c>
    </row>
    <row r="717" spans="1:22" ht="17.25">
      <c r="A717" s="70">
        <v>499</v>
      </c>
      <c r="B717" s="70" t="s">
        <v>2280</v>
      </c>
      <c r="C717" s="70" t="s">
        <v>4473</v>
      </c>
      <c r="D717" s="70" t="s">
        <v>2279</v>
      </c>
      <c r="E717" s="70" t="s">
        <v>2278</v>
      </c>
      <c r="F717" s="71">
        <v>146</v>
      </c>
      <c r="G717" s="71">
        <v>6</v>
      </c>
      <c r="H717" s="72" t="s">
        <v>4317</v>
      </c>
      <c r="I717" s="71" t="b">
        <v>1</v>
      </c>
      <c r="J717" s="71">
        <v>88</v>
      </c>
      <c r="K717" s="71">
        <v>84</v>
      </c>
      <c r="L717" s="71">
        <v>78</v>
      </c>
      <c r="M717" s="71">
        <v>18</v>
      </c>
      <c r="N717" s="71">
        <v>10</v>
      </c>
      <c r="O717" s="71">
        <v>0</v>
      </c>
      <c r="P717" s="71">
        <v>25</v>
      </c>
      <c r="Q717" s="71">
        <v>80</v>
      </c>
      <c r="R717" s="71">
        <v>133</v>
      </c>
      <c r="S717" s="71" t="s">
        <v>534</v>
      </c>
      <c r="T717" s="73" t="s">
        <v>4325</v>
      </c>
      <c r="U717" s="71" t="s">
        <v>3785</v>
      </c>
      <c r="V717" s="71" t="b">
        <v>0</v>
      </c>
    </row>
    <row r="718" spans="1:22" ht="17.25">
      <c r="A718" s="70">
        <v>500</v>
      </c>
      <c r="B718" s="70" t="s">
        <v>2277</v>
      </c>
      <c r="C718" s="70" t="s">
        <v>4698</v>
      </c>
      <c r="D718" s="70" t="s">
        <v>2276</v>
      </c>
      <c r="E718" s="70" t="s">
        <v>344</v>
      </c>
      <c r="F718" s="71">
        <v>47</v>
      </c>
      <c r="G718" s="71">
        <v>1</v>
      </c>
      <c r="H718" s="72">
        <v>0.15138888888888888</v>
      </c>
      <c r="I718" s="71" t="b">
        <v>1</v>
      </c>
      <c r="J718" s="71">
        <v>33</v>
      </c>
      <c r="K718" s="71">
        <v>36</v>
      </c>
      <c r="L718" s="71">
        <v>84</v>
      </c>
      <c r="M718" s="71">
        <v>4</v>
      </c>
      <c r="N718" s="71">
        <v>14</v>
      </c>
      <c r="O718" s="71">
        <v>1</v>
      </c>
      <c r="P718" s="71">
        <v>13</v>
      </c>
      <c r="Q718" s="71">
        <v>4</v>
      </c>
      <c r="R718" s="71">
        <v>80</v>
      </c>
      <c r="S718" s="71" t="s">
        <v>26</v>
      </c>
      <c r="T718" s="73">
        <v>45688</v>
      </c>
      <c r="U718" s="71" t="s">
        <v>3481</v>
      </c>
      <c r="V718" s="71" t="b">
        <v>0</v>
      </c>
    </row>
    <row r="719" spans="1:22" ht="17.25">
      <c r="A719" s="70">
        <v>500</v>
      </c>
      <c r="B719" s="70" t="s">
        <v>2277</v>
      </c>
      <c r="C719" s="70" t="s">
        <v>237</v>
      </c>
      <c r="D719" s="70" t="s">
        <v>2276</v>
      </c>
      <c r="E719" s="70" t="s">
        <v>344</v>
      </c>
      <c r="F719" s="71">
        <v>47</v>
      </c>
      <c r="G719" s="71">
        <v>1</v>
      </c>
      <c r="H719" s="72">
        <v>0.15138888888888888</v>
      </c>
      <c r="I719" s="71" t="b">
        <v>1</v>
      </c>
      <c r="J719" s="71">
        <v>33</v>
      </c>
      <c r="K719" s="71">
        <v>36</v>
      </c>
      <c r="L719" s="71">
        <v>84</v>
      </c>
      <c r="M719" s="71">
        <v>4</v>
      </c>
      <c r="N719" s="71">
        <v>14</v>
      </c>
      <c r="O719" s="71">
        <v>1</v>
      </c>
      <c r="P719" s="71">
        <v>13</v>
      </c>
      <c r="Q719" s="71">
        <v>4</v>
      </c>
      <c r="R719" s="71">
        <v>80</v>
      </c>
      <c r="S719" s="71" t="s">
        <v>26</v>
      </c>
      <c r="T719" s="73">
        <v>45688</v>
      </c>
      <c r="U719" s="71" t="s">
        <v>3481</v>
      </c>
      <c r="V719" s="71" t="b">
        <v>0</v>
      </c>
    </row>
    <row r="720" spans="1:22" ht="17.25">
      <c r="A720" s="70">
        <v>500</v>
      </c>
      <c r="B720" s="70" t="s">
        <v>2277</v>
      </c>
      <c r="C720" s="70" t="s">
        <v>51</v>
      </c>
      <c r="D720" s="70" t="s">
        <v>2276</v>
      </c>
      <c r="E720" s="70" t="s">
        <v>344</v>
      </c>
      <c r="F720" s="71">
        <v>47</v>
      </c>
      <c r="G720" s="71">
        <v>1</v>
      </c>
      <c r="H720" s="72">
        <v>0.15138888888888888</v>
      </c>
      <c r="I720" s="71" t="b">
        <v>1</v>
      </c>
      <c r="J720" s="71">
        <v>33</v>
      </c>
      <c r="K720" s="71">
        <v>36</v>
      </c>
      <c r="L720" s="71">
        <v>84</v>
      </c>
      <c r="M720" s="71">
        <v>4</v>
      </c>
      <c r="N720" s="71">
        <v>14</v>
      </c>
      <c r="O720" s="71">
        <v>1</v>
      </c>
      <c r="P720" s="71">
        <v>13</v>
      </c>
      <c r="Q720" s="71">
        <v>4</v>
      </c>
      <c r="R720" s="71">
        <v>80</v>
      </c>
      <c r="S720" s="71" t="s">
        <v>26</v>
      </c>
      <c r="T720" s="73">
        <v>45688</v>
      </c>
      <c r="U720" s="71" t="s">
        <v>3481</v>
      </c>
      <c r="V720" s="71" t="b">
        <v>0</v>
      </c>
    </row>
    <row r="721" spans="1:22" ht="17.25">
      <c r="A721" s="70">
        <v>501</v>
      </c>
      <c r="B721" s="70" t="s">
        <v>2275</v>
      </c>
      <c r="C721" s="70" t="s">
        <v>4699</v>
      </c>
      <c r="D721" s="70" t="s">
        <v>2274</v>
      </c>
      <c r="E721" s="70" t="s">
        <v>2273</v>
      </c>
      <c r="F721" s="71">
        <v>91</v>
      </c>
      <c r="G721" s="71">
        <v>15</v>
      </c>
      <c r="H721" s="72">
        <v>0.19166666666666668</v>
      </c>
      <c r="I721" s="71" t="b">
        <v>1</v>
      </c>
      <c r="J721" s="71">
        <v>49</v>
      </c>
      <c r="K721" s="71">
        <v>96</v>
      </c>
      <c r="L721" s="71">
        <v>97</v>
      </c>
      <c r="M721" s="71">
        <v>39</v>
      </c>
      <c r="N721" s="71">
        <v>3</v>
      </c>
      <c r="O721" s="71">
        <v>0</v>
      </c>
      <c r="P721" s="71">
        <v>46</v>
      </c>
      <c r="Q721" s="71">
        <v>81</v>
      </c>
      <c r="R721" s="71">
        <v>174</v>
      </c>
      <c r="S721" s="71" t="s">
        <v>48</v>
      </c>
      <c r="T721" s="73">
        <v>40106</v>
      </c>
      <c r="U721" s="71" t="s">
        <v>3786</v>
      </c>
      <c r="V721" s="71" t="b">
        <v>0</v>
      </c>
    </row>
    <row r="722" spans="1:22" ht="17.25">
      <c r="A722" s="70">
        <v>501</v>
      </c>
      <c r="B722" s="70" t="s">
        <v>2275</v>
      </c>
      <c r="C722" s="70" t="s">
        <v>4474</v>
      </c>
      <c r="D722" s="70" t="s">
        <v>2274</v>
      </c>
      <c r="E722" s="70" t="s">
        <v>2273</v>
      </c>
      <c r="F722" s="71">
        <v>91</v>
      </c>
      <c r="G722" s="71">
        <v>15</v>
      </c>
      <c r="H722" s="72">
        <v>0.19166666666666668</v>
      </c>
      <c r="I722" s="71" t="b">
        <v>1</v>
      </c>
      <c r="J722" s="71">
        <v>49</v>
      </c>
      <c r="K722" s="71">
        <v>96</v>
      </c>
      <c r="L722" s="71">
        <v>97</v>
      </c>
      <c r="M722" s="71">
        <v>39</v>
      </c>
      <c r="N722" s="71">
        <v>3</v>
      </c>
      <c r="O722" s="71">
        <v>0</v>
      </c>
      <c r="P722" s="71">
        <v>46</v>
      </c>
      <c r="Q722" s="71">
        <v>81</v>
      </c>
      <c r="R722" s="71">
        <v>174</v>
      </c>
      <c r="S722" s="71" t="s">
        <v>48</v>
      </c>
      <c r="T722" s="73">
        <v>40106</v>
      </c>
      <c r="U722" s="71" t="s">
        <v>3786</v>
      </c>
      <c r="V722" s="71" t="b">
        <v>0</v>
      </c>
    </row>
    <row r="723" spans="1:22" ht="17.25">
      <c r="A723" s="70">
        <v>503</v>
      </c>
      <c r="B723" s="70" t="s">
        <v>2271</v>
      </c>
      <c r="C723" s="70" t="s">
        <v>97</v>
      </c>
      <c r="D723" s="70" t="s">
        <v>2270</v>
      </c>
      <c r="E723" s="70" t="s">
        <v>97</v>
      </c>
      <c r="F723" s="71">
        <v>5</v>
      </c>
      <c r="G723" s="71">
        <v>1</v>
      </c>
      <c r="H723" s="72" t="s">
        <v>4320</v>
      </c>
      <c r="I723" s="71" t="b">
        <v>0</v>
      </c>
      <c r="J723" s="71">
        <v>67</v>
      </c>
      <c r="K723" s="71">
        <v>55</v>
      </c>
      <c r="L723" s="71">
        <v>72</v>
      </c>
      <c r="M723" s="71">
        <v>5</v>
      </c>
      <c r="N723" s="71">
        <v>42</v>
      </c>
      <c r="O723" s="71">
        <v>0</v>
      </c>
      <c r="P723" s="71">
        <v>14</v>
      </c>
      <c r="Q723" s="71">
        <v>47</v>
      </c>
      <c r="R723" s="71">
        <v>100</v>
      </c>
      <c r="S723" s="71" t="s">
        <v>96</v>
      </c>
      <c r="T723" s="73" t="s">
        <v>4364</v>
      </c>
      <c r="U723" s="71" t="s">
        <v>3787</v>
      </c>
      <c r="V723" s="71" t="b">
        <v>0</v>
      </c>
    </row>
    <row r="724" spans="1:22" ht="17.25">
      <c r="A724" s="70">
        <v>504</v>
      </c>
      <c r="B724" s="70" t="s">
        <v>2269</v>
      </c>
      <c r="C724" s="70" t="s">
        <v>2268</v>
      </c>
      <c r="D724" s="70" t="s">
        <v>2267</v>
      </c>
      <c r="E724" s="70" t="s">
        <v>120</v>
      </c>
      <c r="F724" s="71">
        <v>159</v>
      </c>
      <c r="G724" s="71">
        <v>1</v>
      </c>
      <c r="H724" s="72" t="s">
        <v>4334</v>
      </c>
      <c r="I724" s="71" t="b">
        <v>0</v>
      </c>
      <c r="J724" s="71">
        <v>53</v>
      </c>
      <c r="K724" s="71">
        <v>45</v>
      </c>
      <c r="L724" s="71">
        <v>70</v>
      </c>
      <c r="M724" s="71">
        <v>4</v>
      </c>
      <c r="N724" s="71">
        <v>62</v>
      </c>
      <c r="O724" s="71">
        <v>0</v>
      </c>
      <c r="P724" s="71">
        <v>11</v>
      </c>
      <c r="Q724" s="71">
        <v>38</v>
      </c>
      <c r="R724" s="71">
        <v>120</v>
      </c>
      <c r="S724" s="71" t="s">
        <v>143</v>
      </c>
      <c r="T724" s="73" t="s">
        <v>4353</v>
      </c>
      <c r="U724" s="71" t="s">
        <v>3788</v>
      </c>
      <c r="V724" s="71" t="b">
        <v>0</v>
      </c>
    </row>
    <row r="725" spans="1:22" ht="17.25">
      <c r="A725" s="70">
        <v>505</v>
      </c>
      <c r="B725" s="70" t="s">
        <v>2266</v>
      </c>
      <c r="C725" s="70" t="s">
        <v>2091</v>
      </c>
      <c r="D725" s="70" t="s">
        <v>2265</v>
      </c>
      <c r="E725" s="70" t="s">
        <v>2089</v>
      </c>
      <c r="F725" s="71">
        <v>19</v>
      </c>
      <c r="G725" s="71">
        <v>3</v>
      </c>
      <c r="H725" s="72">
        <v>0.12847222222222221</v>
      </c>
      <c r="I725" s="71" t="b">
        <v>0</v>
      </c>
      <c r="J725" s="71">
        <v>60</v>
      </c>
      <c r="K725" s="71">
        <v>61</v>
      </c>
      <c r="L725" s="71">
        <v>89</v>
      </c>
      <c r="M725" s="71">
        <v>16</v>
      </c>
      <c r="N725" s="71">
        <v>35</v>
      </c>
      <c r="O725" s="71">
        <v>0</v>
      </c>
      <c r="P725" s="71">
        <v>10</v>
      </c>
      <c r="Q725" s="71">
        <v>17</v>
      </c>
      <c r="R725" s="71">
        <v>127</v>
      </c>
      <c r="S725" s="71" t="s">
        <v>79</v>
      </c>
      <c r="T725" s="73">
        <v>45772</v>
      </c>
      <c r="U725" s="71" t="s">
        <v>3789</v>
      </c>
      <c r="V725" s="71" t="b">
        <v>0</v>
      </c>
    </row>
    <row r="726" spans="1:22" ht="17.25">
      <c r="A726" s="70">
        <v>506</v>
      </c>
      <c r="B726" s="70" t="s">
        <v>2264</v>
      </c>
      <c r="C726" s="70" t="s">
        <v>2262</v>
      </c>
      <c r="D726" s="70" t="s">
        <v>2263</v>
      </c>
      <c r="E726" s="70" t="s">
        <v>2262</v>
      </c>
      <c r="F726" s="71">
        <v>107</v>
      </c>
      <c r="G726" s="71">
        <v>3</v>
      </c>
      <c r="H726" s="72" t="s">
        <v>4317</v>
      </c>
      <c r="I726" s="71" t="b">
        <v>0</v>
      </c>
      <c r="J726" s="71">
        <v>78</v>
      </c>
      <c r="K726" s="71">
        <v>76</v>
      </c>
      <c r="L726" s="71">
        <v>74</v>
      </c>
      <c r="M726" s="71">
        <v>6</v>
      </c>
      <c r="N726" s="71">
        <v>29</v>
      </c>
      <c r="O726" s="71">
        <v>0</v>
      </c>
      <c r="P726" s="71">
        <v>22</v>
      </c>
      <c r="Q726" s="71">
        <v>85</v>
      </c>
      <c r="R726" s="71">
        <v>135</v>
      </c>
      <c r="S726" s="71" t="s">
        <v>312</v>
      </c>
      <c r="T726" s="73" t="s">
        <v>4386</v>
      </c>
      <c r="U726" s="71" t="s">
        <v>3790</v>
      </c>
      <c r="V726" s="71" t="b">
        <v>0</v>
      </c>
    </row>
    <row r="727" spans="1:22" ht="17.25">
      <c r="A727" s="70">
        <v>506</v>
      </c>
      <c r="B727" s="70" t="s">
        <v>2264</v>
      </c>
      <c r="C727" s="70" t="s">
        <v>2082</v>
      </c>
      <c r="D727" s="70" t="s">
        <v>2263</v>
      </c>
      <c r="E727" s="70" t="s">
        <v>2262</v>
      </c>
      <c r="F727" s="71">
        <v>107</v>
      </c>
      <c r="G727" s="71">
        <v>3</v>
      </c>
      <c r="H727" s="72" t="s">
        <v>4317</v>
      </c>
      <c r="I727" s="71" t="b">
        <v>0</v>
      </c>
      <c r="J727" s="71">
        <v>78</v>
      </c>
      <c r="K727" s="71">
        <v>76</v>
      </c>
      <c r="L727" s="71">
        <v>74</v>
      </c>
      <c r="M727" s="71">
        <v>6</v>
      </c>
      <c r="N727" s="71">
        <v>29</v>
      </c>
      <c r="O727" s="71">
        <v>0</v>
      </c>
      <c r="P727" s="71">
        <v>22</v>
      </c>
      <c r="Q727" s="71">
        <v>85</v>
      </c>
      <c r="R727" s="71">
        <v>135</v>
      </c>
      <c r="S727" s="71" t="s">
        <v>312</v>
      </c>
      <c r="T727" s="73" t="s">
        <v>4386</v>
      </c>
      <c r="U727" s="71" t="s">
        <v>3790</v>
      </c>
      <c r="V727" s="71" t="b">
        <v>0</v>
      </c>
    </row>
    <row r="728" spans="1:22" ht="17.25">
      <c r="A728" s="70">
        <v>507</v>
      </c>
      <c r="B728" s="70" t="s">
        <v>2261</v>
      </c>
      <c r="C728" s="70" t="s">
        <v>182</v>
      </c>
      <c r="D728" s="70" t="s">
        <v>2260</v>
      </c>
      <c r="E728" s="70" t="s">
        <v>349</v>
      </c>
      <c r="F728" s="71">
        <v>115</v>
      </c>
      <c r="G728" s="71">
        <v>1</v>
      </c>
      <c r="H728" s="72" t="s">
        <v>4322</v>
      </c>
      <c r="I728" s="71" t="b">
        <v>1</v>
      </c>
      <c r="J728" s="71">
        <v>73</v>
      </c>
      <c r="K728" s="71">
        <v>52</v>
      </c>
      <c r="L728" s="71">
        <v>70</v>
      </c>
      <c r="M728" s="71">
        <v>12</v>
      </c>
      <c r="N728" s="71">
        <v>34</v>
      </c>
      <c r="O728" s="71">
        <v>0</v>
      </c>
      <c r="P728" s="71">
        <v>11</v>
      </c>
      <c r="Q728" s="71">
        <v>41</v>
      </c>
      <c r="R728" s="71">
        <v>112</v>
      </c>
      <c r="S728" s="71" t="s">
        <v>26</v>
      </c>
      <c r="T728" s="73" t="s">
        <v>4385</v>
      </c>
      <c r="U728" s="71" t="s">
        <v>3442</v>
      </c>
      <c r="V728" s="71" t="b">
        <v>0</v>
      </c>
    </row>
    <row r="729" spans="1:22" ht="17.25">
      <c r="A729" s="70">
        <v>507</v>
      </c>
      <c r="B729" s="70" t="s">
        <v>2261</v>
      </c>
      <c r="C729" s="70" t="s">
        <v>1260</v>
      </c>
      <c r="D729" s="70" t="s">
        <v>2260</v>
      </c>
      <c r="E729" s="70" t="s">
        <v>349</v>
      </c>
      <c r="F729" s="71">
        <v>115</v>
      </c>
      <c r="G729" s="71">
        <v>1</v>
      </c>
      <c r="H729" s="72" t="s">
        <v>4322</v>
      </c>
      <c r="I729" s="71" t="b">
        <v>1</v>
      </c>
      <c r="J729" s="71">
        <v>73</v>
      </c>
      <c r="K729" s="71">
        <v>52</v>
      </c>
      <c r="L729" s="71">
        <v>70</v>
      </c>
      <c r="M729" s="71">
        <v>12</v>
      </c>
      <c r="N729" s="71">
        <v>34</v>
      </c>
      <c r="O729" s="71">
        <v>0</v>
      </c>
      <c r="P729" s="71">
        <v>11</v>
      </c>
      <c r="Q729" s="71">
        <v>41</v>
      </c>
      <c r="R729" s="71">
        <v>112</v>
      </c>
      <c r="S729" s="71" t="s">
        <v>26</v>
      </c>
      <c r="T729" s="73" t="s">
        <v>4385</v>
      </c>
      <c r="U729" s="71" t="s">
        <v>3442</v>
      </c>
      <c r="V729" s="71" t="b">
        <v>0</v>
      </c>
    </row>
    <row r="730" spans="1:22" ht="17.25">
      <c r="A730" s="70">
        <v>508</v>
      </c>
      <c r="B730" s="70" t="s">
        <v>2259</v>
      </c>
      <c r="C730" s="70" t="s">
        <v>4414</v>
      </c>
      <c r="D730" s="70" t="s">
        <v>2258</v>
      </c>
      <c r="E730" s="70" t="s">
        <v>655</v>
      </c>
      <c r="F730" s="71">
        <v>107</v>
      </c>
      <c r="G730" s="71">
        <v>10</v>
      </c>
      <c r="H730" s="72">
        <v>0.12847222222222221</v>
      </c>
      <c r="I730" s="71" t="b">
        <v>1</v>
      </c>
      <c r="J730" s="71">
        <v>67</v>
      </c>
      <c r="K730" s="71">
        <v>76</v>
      </c>
      <c r="L730" s="71">
        <v>90</v>
      </c>
      <c r="M730" s="71">
        <v>12</v>
      </c>
      <c r="N730" s="71">
        <v>37</v>
      </c>
      <c r="O730" s="71">
        <v>0</v>
      </c>
      <c r="P730" s="71">
        <v>35</v>
      </c>
      <c r="Q730" s="71">
        <v>73</v>
      </c>
      <c r="R730" s="71">
        <v>149</v>
      </c>
      <c r="S730" s="71" t="s">
        <v>61</v>
      </c>
      <c r="T730" s="73">
        <v>45730</v>
      </c>
      <c r="U730" s="71" t="s">
        <v>3791</v>
      </c>
      <c r="V730" s="71" t="b">
        <v>0</v>
      </c>
    </row>
    <row r="731" spans="1:22" ht="17.25">
      <c r="A731" s="70">
        <v>508</v>
      </c>
      <c r="B731" s="70" t="s">
        <v>2259</v>
      </c>
      <c r="C731" s="70" t="s">
        <v>141</v>
      </c>
      <c r="D731" s="70" t="s">
        <v>2258</v>
      </c>
      <c r="E731" s="70" t="s">
        <v>655</v>
      </c>
      <c r="F731" s="71">
        <v>107</v>
      </c>
      <c r="G731" s="71">
        <v>10</v>
      </c>
      <c r="H731" s="72">
        <v>0.12847222222222221</v>
      </c>
      <c r="I731" s="71" t="b">
        <v>1</v>
      </c>
      <c r="J731" s="71">
        <v>67</v>
      </c>
      <c r="K731" s="71">
        <v>76</v>
      </c>
      <c r="L731" s="71">
        <v>90</v>
      </c>
      <c r="M731" s="71">
        <v>12</v>
      </c>
      <c r="N731" s="71">
        <v>37</v>
      </c>
      <c r="O731" s="71">
        <v>0</v>
      </c>
      <c r="P731" s="71">
        <v>35</v>
      </c>
      <c r="Q731" s="71">
        <v>73</v>
      </c>
      <c r="R731" s="71">
        <v>149</v>
      </c>
      <c r="S731" s="71" t="s">
        <v>61</v>
      </c>
      <c r="T731" s="73">
        <v>45730</v>
      </c>
      <c r="U731" s="71" t="s">
        <v>3791</v>
      </c>
      <c r="V731" s="71" t="b">
        <v>0</v>
      </c>
    </row>
    <row r="732" spans="1:22" ht="17.25">
      <c r="A732" s="70">
        <v>509</v>
      </c>
      <c r="B732" s="70" t="s">
        <v>2257</v>
      </c>
      <c r="C732" s="70" t="s">
        <v>131</v>
      </c>
      <c r="D732" s="70" t="s">
        <v>2256</v>
      </c>
      <c r="E732" s="70" t="s">
        <v>129</v>
      </c>
      <c r="F732" s="71">
        <v>2</v>
      </c>
      <c r="G732" s="71">
        <v>91</v>
      </c>
      <c r="H732" s="72">
        <v>0.17430555555555555</v>
      </c>
      <c r="I732" s="71" t="b">
        <v>1</v>
      </c>
      <c r="J732" s="71">
        <v>17</v>
      </c>
      <c r="K732" s="71">
        <v>0</v>
      </c>
      <c r="L732" s="71">
        <v>23</v>
      </c>
      <c r="M732" s="71">
        <v>6</v>
      </c>
      <c r="N732" s="71">
        <v>19</v>
      </c>
      <c r="O732" s="71">
        <v>79</v>
      </c>
      <c r="P732" s="71">
        <v>11</v>
      </c>
      <c r="Q732" s="71">
        <v>22</v>
      </c>
      <c r="R732" s="71">
        <v>119</v>
      </c>
      <c r="S732" s="71" t="s">
        <v>128</v>
      </c>
      <c r="T732" s="73">
        <v>45662</v>
      </c>
      <c r="U732" s="71" t="s">
        <v>3505</v>
      </c>
      <c r="V732" s="71" t="b">
        <v>0</v>
      </c>
    </row>
    <row r="733" spans="1:22" ht="17.25">
      <c r="A733" s="70">
        <v>510</v>
      </c>
      <c r="B733" s="70" t="s">
        <v>2255</v>
      </c>
      <c r="C733" s="70" t="s">
        <v>4467</v>
      </c>
      <c r="D733" s="70" t="s">
        <v>2254</v>
      </c>
      <c r="E733" s="70" t="s">
        <v>120</v>
      </c>
      <c r="F733" s="71">
        <v>21</v>
      </c>
      <c r="G733" s="71">
        <v>19</v>
      </c>
      <c r="H733" s="72">
        <v>0.2048611111111111</v>
      </c>
      <c r="I733" s="71" t="b">
        <v>1</v>
      </c>
      <c r="J733" s="71">
        <v>68</v>
      </c>
      <c r="K733" s="71">
        <v>68</v>
      </c>
      <c r="L733" s="71">
        <v>78</v>
      </c>
      <c r="M733" s="71">
        <v>12</v>
      </c>
      <c r="N733" s="71">
        <v>20</v>
      </c>
      <c r="O733" s="71">
        <v>0</v>
      </c>
      <c r="P733" s="71">
        <v>11</v>
      </c>
      <c r="Q733" s="71">
        <v>48</v>
      </c>
      <c r="R733" s="71">
        <v>110</v>
      </c>
      <c r="S733" s="71" t="s">
        <v>48</v>
      </c>
      <c r="T733" s="73">
        <v>45737</v>
      </c>
      <c r="U733" s="71" t="s">
        <v>3792</v>
      </c>
      <c r="V733" s="71" t="b">
        <v>0</v>
      </c>
    </row>
    <row r="734" spans="1:22" ht="17.25">
      <c r="A734" s="70">
        <v>510</v>
      </c>
      <c r="B734" s="70" t="s">
        <v>2255</v>
      </c>
      <c r="C734" s="70" t="s">
        <v>4700</v>
      </c>
      <c r="D734" s="70" t="s">
        <v>2254</v>
      </c>
      <c r="E734" s="70" t="s">
        <v>120</v>
      </c>
      <c r="F734" s="71">
        <v>21</v>
      </c>
      <c r="G734" s="71">
        <v>19</v>
      </c>
      <c r="H734" s="72">
        <v>0.2048611111111111</v>
      </c>
      <c r="I734" s="71" t="b">
        <v>1</v>
      </c>
      <c r="J734" s="71">
        <v>68</v>
      </c>
      <c r="K734" s="71">
        <v>68</v>
      </c>
      <c r="L734" s="71">
        <v>78</v>
      </c>
      <c r="M734" s="71">
        <v>12</v>
      </c>
      <c r="N734" s="71">
        <v>20</v>
      </c>
      <c r="O734" s="71">
        <v>0</v>
      </c>
      <c r="P734" s="71">
        <v>11</v>
      </c>
      <c r="Q734" s="71">
        <v>48</v>
      </c>
      <c r="R734" s="71">
        <v>110</v>
      </c>
      <c r="S734" s="71" t="s">
        <v>48</v>
      </c>
      <c r="T734" s="73">
        <v>45737</v>
      </c>
      <c r="U734" s="71" t="s">
        <v>3792</v>
      </c>
      <c r="V734" s="71" t="b">
        <v>0</v>
      </c>
    </row>
    <row r="735" spans="1:22" ht="17.25">
      <c r="A735" s="70">
        <v>511</v>
      </c>
      <c r="B735" s="70" t="s">
        <v>2253</v>
      </c>
      <c r="C735" s="70" t="s">
        <v>780</v>
      </c>
      <c r="D735" s="70" t="s">
        <v>2252</v>
      </c>
      <c r="E735" s="70" t="s">
        <v>778</v>
      </c>
      <c r="F735" s="71">
        <v>86</v>
      </c>
      <c r="G735" s="71">
        <v>28</v>
      </c>
      <c r="H735" s="72">
        <v>0.21041666666666667</v>
      </c>
      <c r="I735" s="71" t="b">
        <v>0</v>
      </c>
      <c r="J735" s="71">
        <v>29</v>
      </c>
      <c r="K735" s="71">
        <v>34</v>
      </c>
      <c r="L735" s="71">
        <v>82</v>
      </c>
      <c r="M735" s="71">
        <v>4</v>
      </c>
      <c r="N735" s="71">
        <v>81</v>
      </c>
      <c r="O735" s="71">
        <v>41</v>
      </c>
      <c r="P735" s="71">
        <v>14</v>
      </c>
      <c r="Q735" s="71">
        <v>14</v>
      </c>
      <c r="R735" s="71">
        <v>92</v>
      </c>
      <c r="S735" s="71" t="s">
        <v>777</v>
      </c>
      <c r="T735" s="73">
        <v>43707</v>
      </c>
      <c r="U735" s="71" t="s">
        <v>3793</v>
      </c>
      <c r="V735" s="71" t="b">
        <v>0</v>
      </c>
    </row>
    <row r="736" spans="1:22" ht="17.25">
      <c r="A736" s="70">
        <v>512</v>
      </c>
      <c r="B736" s="70" t="s">
        <v>2251</v>
      </c>
      <c r="C736" s="70" t="s">
        <v>4701</v>
      </c>
      <c r="D736" s="70" t="s">
        <v>2250</v>
      </c>
      <c r="E736" s="70" t="s">
        <v>2249</v>
      </c>
      <c r="F736" s="71">
        <v>35</v>
      </c>
      <c r="G736" s="71">
        <v>22</v>
      </c>
      <c r="H736" s="72">
        <v>0.11666666666666667</v>
      </c>
      <c r="I736" s="71" t="b">
        <v>1</v>
      </c>
      <c r="J736" s="71">
        <v>82</v>
      </c>
      <c r="K736" s="71">
        <v>78</v>
      </c>
      <c r="L736" s="71">
        <v>81</v>
      </c>
      <c r="M736" s="71">
        <v>12</v>
      </c>
      <c r="N736" s="71">
        <v>8</v>
      </c>
      <c r="O736" s="71">
        <v>0</v>
      </c>
      <c r="P736" s="71">
        <v>13</v>
      </c>
      <c r="Q736" s="71">
        <v>68</v>
      </c>
      <c r="R736" s="71">
        <v>100</v>
      </c>
      <c r="S736" s="71" t="s">
        <v>128</v>
      </c>
      <c r="T736" s="73">
        <v>45702</v>
      </c>
      <c r="U736" s="71" t="s">
        <v>3794</v>
      </c>
      <c r="V736" s="71" t="b">
        <v>0</v>
      </c>
    </row>
    <row r="737" spans="1:22" ht="17.25">
      <c r="A737" s="70">
        <v>512</v>
      </c>
      <c r="B737" s="70" t="s">
        <v>2251</v>
      </c>
      <c r="C737" s="70" t="s">
        <v>4475</v>
      </c>
      <c r="D737" s="70" t="s">
        <v>2250</v>
      </c>
      <c r="E737" s="70" t="s">
        <v>2249</v>
      </c>
      <c r="F737" s="71">
        <v>35</v>
      </c>
      <c r="G737" s="71">
        <v>22</v>
      </c>
      <c r="H737" s="72">
        <v>0.11666666666666667</v>
      </c>
      <c r="I737" s="71" t="b">
        <v>1</v>
      </c>
      <c r="J737" s="71">
        <v>82</v>
      </c>
      <c r="K737" s="71">
        <v>78</v>
      </c>
      <c r="L737" s="71">
        <v>81</v>
      </c>
      <c r="M737" s="71">
        <v>12</v>
      </c>
      <c r="N737" s="71">
        <v>8</v>
      </c>
      <c r="O737" s="71">
        <v>0</v>
      </c>
      <c r="P737" s="71">
        <v>13</v>
      </c>
      <c r="Q737" s="71">
        <v>68</v>
      </c>
      <c r="R737" s="71">
        <v>100</v>
      </c>
      <c r="S737" s="71" t="s">
        <v>128</v>
      </c>
      <c r="T737" s="73">
        <v>45702</v>
      </c>
      <c r="U737" s="71" t="s">
        <v>3794</v>
      </c>
      <c r="V737" s="71" t="b">
        <v>0</v>
      </c>
    </row>
    <row r="738" spans="1:22" ht="17.25">
      <c r="A738" s="70">
        <v>513</v>
      </c>
      <c r="B738" s="70" t="s">
        <v>2248</v>
      </c>
      <c r="C738" s="70" t="s">
        <v>97</v>
      </c>
      <c r="D738" s="70" t="s">
        <v>2247</v>
      </c>
      <c r="E738" s="70" t="s">
        <v>97</v>
      </c>
      <c r="F738" s="71">
        <v>76</v>
      </c>
      <c r="G738" s="71">
        <v>8</v>
      </c>
      <c r="H738" s="72">
        <v>0.14722222222222223</v>
      </c>
      <c r="I738" s="71" t="b">
        <v>0</v>
      </c>
      <c r="J738" s="71">
        <v>60</v>
      </c>
      <c r="K738" s="71">
        <v>58</v>
      </c>
      <c r="L738" s="71">
        <v>76</v>
      </c>
      <c r="M738" s="71">
        <v>5</v>
      </c>
      <c r="N738" s="71">
        <v>35</v>
      </c>
      <c r="O738" s="71">
        <v>0</v>
      </c>
      <c r="P738" s="71">
        <v>13</v>
      </c>
      <c r="Q738" s="71">
        <v>72</v>
      </c>
      <c r="R738" s="71">
        <v>120</v>
      </c>
      <c r="S738" s="71" t="s">
        <v>29</v>
      </c>
      <c r="T738" s="73">
        <v>43805</v>
      </c>
      <c r="U738" s="71" t="s">
        <v>3795</v>
      </c>
      <c r="V738" s="71" t="b">
        <v>1</v>
      </c>
    </row>
    <row r="739" spans="1:22" ht="17.25">
      <c r="A739" s="70">
        <v>514</v>
      </c>
      <c r="B739" s="70" t="s">
        <v>2246</v>
      </c>
      <c r="C739" s="70" t="s">
        <v>292</v>
      </c>
      <c r="D739" s="70" t="s">
        <v>2245</v>
      </c>
      <c r="E739" s="70" t="s">
        <v>65</v>
      </c>
      <c r="F739" s="71">
        <v>26</v>
      </c>
      <c r="G739" s="71">
        <v>2</v>
      </c>
      <c r="H739" s="72">
        <v>0.14444444444444443</v>
      </c>
      <c r="I739" s="71" t="b">
        <v>1</v>
      </c>
      <c r="J739" s="71">
        <v>74</v>
      </c>
      <c r="K739" s="71">
        <v>68</v>
      </c>
      <c r="L739" s="71">
        <v>88</v>
      </c>
      <c r="M739" s="71">
        <v>22</v>
      </c>
      <c r="N739" s="71">
        <v>2</v>
      </c>
      <c r="O739" s="71">
        <v>0</v>
      </c>
      <c r="P739" s="71">
        <v>86</v>
      </c>
      <c r="Q739" s="71">
        <v>40</v>
      </c>
      <c r="R739" s="71">
        <v>145</v>
      </c>
      <c r="S739" s="71" t="s">
        <v>48</v>
      </c>
      <c r="T739" s="73">
        <v>45730</v>
      </c>
      <c r="U739" s="71" t="s">
        <v>3386</v>
      </c>
      <c r="V739" s="71" t="b">
        <v>0</v>
      </c>
    </row>
    <row r="740" spans="1:22" ht="17.25">
      <c r="A740" s="70">
        <v>514</v>
      </c>
      <c r="B740" s="70" t="s">
        <v>2246</v>
      </c>
      <c r="C740" s="70" t="s">
        <v>67</v>
      </c>
      <c r="D740" s="70" t="s">
        <v>2245</v>
      </c>
      <c r="E740" s="70" t="s">
        <v>65</v>
      </c>
      <c r="F740" s="71">
        <v>26</v>
      </c>
      <c r="G740" s="71">
        <v>2</v>
      </c>
      <c r="H740" s="72">
        <v>0.14444444444444443</v>
      </c>
      <c r="I740" s="71" t="b">
        <v>1</v>
      </c>
      <c r="J740" s="71">
        <v>74</v>
      </c>
      <c r="K740" s="71">
        <v>68</v>
      </c>
      <c r="L740" s="71">
        <v>88</v>
      </c>
      <c r="M740" s="71">
        <v>22</v>
      </c>
      <c r="N740" s="71">
        <v>2</v>
      </c>
      <c r="O740" s="71">
        <v>0</v>
      </c>
      <c r="P740" s="71">
        <v>86</v>
      </c>
      <c r="Q740" s="71">
        <v>40</v>
      </c>
      <c r="R740" s="71">
        <v>145</v>
      </c>
      <c r="S740" s="71" t="s">
        <v>48</v>
      </c>
      <c r="T740" s="73">
        <v>45730</v>
      </c>
      <c r="U740" s="71" t="s">
        <v>3386</v>
      </c>
      <c r="V740" s="71" t="b">
        <v>0</v>
      </c>
    </row>
    <row r="741" spans="1:22" ht="17.25">
      <c r="A741" s="70">
        <v>515</v>
      </c>
      <c r="B741" s="70" t="s">
        <v>2244</v>
      </c>
      <c r="C741" s="70" t="s">
        <v>862</v>
      </c>
      <c r="D741" s="70" t="s">
        <v>2243</v>
      </c>
      <c r="E741" s="70" t="s">
        <v>120</v>
      </c>
      <c r="F741" s="71">
        <v>24</v>
      </c>
      <c r="G741" s="71">
        <v>130</v>
      </c>
      <c r="H741" s="72">
        <v>0.12986111111111112</v>
      </c>
      <c r="I741" s="71" t="b">
        <v>0</v>
      </c>
      <c r="J741" s="71">
        <v>49</v>
      </c>
      <c r="K741" s="71">
        <v>87</v>
      </c>
      <c r="L741" s="71">
        <v>93</v>
      </c>
      <c r="M741" s="71">
        <v>4</v>
      </c>
      <c r="N741" s="71">
        <v>0</v>
      </c>
      <c r="O741" s="71">
        <v>0</v>
      </c>
      <c r="P741" s="71">
        <v>48</v>
      </c>
      <c r="Q741" s="71">
        <v>21</v>
      </c>
      <c r="R741" s="71">
        <v>110</v>
      </c>
      <c r="S741" s="71" t="s">
        <v>860</v>
      </c>
      <c r="T741" s="73">
        <v>37705</v>
      </c>
      <c r="U741" s="71" t="s">
        <v>3796</v>
      </c>
      <c r="V741" s="71" t="b">
        <v>0</v>
      </c>
    </row>
    <row r="742" spans="1:22" ht="17.25">
      <c r="A742" s="70">
        <v>516</v>
      </c>
      <c r="B742" s="70" t="s">
        <v>2242</v>
      </c>
      <c r="C742" s="70" t="s">
        <v>780</v>
      </c>
      <c r="D742" s="70" t="s">
        <v>2241</v>
      </c>
      <c r="E742" s="70" t="s">
        <v>778</v>
      </c>
      <c r="F742" s="71">
        <v>104</v>
      </c>
      <c r="G742" s="71">
        <v>72</v>
      </c>
      <c r="H742" s="72">
        <v>0.16388888888888889</v>
      </c>
      <c r="I742" s="71" t="b">
        <v>0</v>
      </c>
      <c r="J742" s="71">
        <v>32</v>
      </c>
      <c r="K742" s="71">
        <v>42</v>
      </c>
      <c r="L742" s="71">
        <v>85</v>
      </c>
      <c r="M742" s="71">
        <v>4</v>
      </c>
      <c r="N742" s="71">
        <v>26</v>
      </c>
      <c r="O742" s="71">
        <v>0</v>
      </c>
      <c r="P742" s="71">
        <v>11</v>
      </c>
      <c r="Q742" s="71">
        <v>15</v>
      </c>
      <c r="R742" s="71">
        <v>114</v>
      </c>
      <c r="S742" s="71" t="s">
        <v>777</v>
      </c>
      <c r="T742" s="73">
        <v>41386</v>
      </c>
      <c r="U742" s="71" t="s">
        <v>3797</v>
      </c>
      <c r="V742" s="71" t="b">
        <v>0</v>
      </c>
    </row>
    <row r="743" spans="1:22" ht="17.25">
      <c r="A743" s="70">
        <v>517</v>
      </c>
      <c r="B743" s="70" t="s">
        <v>2240</v>
      </c>
      <c r="C743" s="70" t="s">
        <v>4702</v>
      </c>
      <c r="D743" s="70" t="s">
        <v>2239</v>
      </c>
      <c r="E743" s="70" t="s">
        <v>2238</v>
      </c>
      <c r="F743" s="71">
        <v>194</v>
      </c>
      <c r="G743" s="71">
        <v>1</v>
      </c>
      <c r="H743" s="72" t="s">
        <v>4317</v>
      </c>
      <c r="I743" s="71" t="b">
        <v>0</v>
      </c>
      <c r="J743" s="71">
        <v>81</v>
      </c>
      <c r="K743" s="71">
        <v>68</v>
      </c>
      <c r="L743" s="71">
        <v>73</v>
      </c>
      <c r="M743" s="71">
        <v>7</v>
      </c>
      <c r="N743" s="71">
        <v>18</v>
      </c>
      <c r="O743" s="71">
        <v>0</v>
      </c>
      <c r="P743" s="71">
        <v>11</v>
      </c>
      <c r="Q743" s="71">
        <v>75</v>
      </c>
      <c r="R743" s="71">
        <v>102</v>
      </c>
      <c r="S743" s="71" t="s">
        <v>1012</v>
      </c>
      <c r="T743" s="73" t="s">
        <v>4388</v>
      </c>
      <c r="U743" s="71" t="s">
        <v>3798</v>
      </c>
      <c r="V743" s="71" t="b">
        <v>0</v>
      </c>
    </row>
    <row r="744" spans="1:22" ht="17.25">
      <c r="A744" s="70">
        <v>517</v>
      </c>
      <c r="B744" s="70" t="s">
        <v>2240</v>
      </c>
      <c r="C744" s="70" t="s">
        <v>4476</v>
      </c>
      <c r="D744" s="70" t="s">
        <v>2239</v>
      </c>
      <c r="E744" s="70" t="s">
        <v>2238</v>
      </c>
      <c r="F744" s="71">
        <v>194</v>
      </c>
      <c r="G744" s="71">
        <v>1</v>
      </c>
      <c r="H744" s="72" t="s">
        <v>4317</v>
      </c>
      <c r="I744" s="71" t="b">
        <v>0</v>
      </c>
      <c r="J744" s="71">
        <v>81</v>
      </c>
      <c r="K744" s="71">
        <v>68</v>
      </c>
      <c r="L744" s="71">
        <v>73</v>
      </c>
      <c r="M744" s="71">
        <v>7</v>
      </c>
      <c r="N744" s="71">
        <v>18</v>
      </c>
      <c r="O744" s="71">
        <v>0</v>
      </c>
      <c r="P744" s="71">
        <v>11</v>
      </c>
      <c r="Q744" s="71">
        <v>75</v>
      </c>
      <c r="R744" s="71">
        <v>102</v>
      </c>
      <c r="S744" s="71" t="s">
        <v>1012</v>
      </c>
      <c r="T744" s="73" t="s">
        <v>4388</v>
      </c>
      <c r="U744" s="71" t="s">
        <v>3798</v>
      </c>
      <c r="V744" s="71" t="b">
        <v>0</v>
      </c>
    </row>
    <row r="745" spans="1:22" ht="17.25">
      <c r="A745" s="70">
        <v>518</v>
      </c>
      <c r="B745" s="70" t="s">
        <v>2237</v>
      </c>
      <c r="C745" s="70" t="s">
        <v>430</v>
      </c>
      <c r="D745" s="70" t="s">
        <v>2236</v>
      </c>
      <c r="E745" s="70" t="s">
        <v>75</v>
      </c>
      <c r="F745" s="71">
        <v>25</v>
      </c>
      <c r="G745" s="71">
        <v>17</v>
      </c>
      <c r="H745" s="72">
        <v>0.05</v>
      </c>
      <c r="I745" s="71" t="b">
        <v>1</v>
      </c>
      <c r="J745" s="71">
        <v>51</v>
      </c>
      <c r="K745" s="71">
        <v>36</v>
      </c>
      <c r="L745" s="71">
        <v>84</v>
      </c>
      <c r="M745" s="71">
        <v>4</v>
      </c>
      <c r="N745" s="71">
        <v>67</v>
      </c>
      <c r="O745" s="71">
        <v>0</v>
      </c>
      <c r="P745" s="71">
        <v>18</v>
      </c>
      <c r="Q745" s="71">
        <v>38</v>
      </c>
      <c r="R745" s="71">
        <v>85</v>
      </c>
      <c r="S745" s="71" t="s">
        <v>96</v>
      </c>
      <c r="T745" s="73">
        <v>45359</v>
      </c>
      <c r="U745" s="71" t="s">
        <v>3554</v>
      </c>
      <c r="V745" s="71" t="b">
        <v>0</v>
      </c>
    </row>
    <row r="746" spans="1:22" ht="17.25">
      <c r="A746" s="70">
        <v>519</v>
      </c>
      <c r="B746" s="70" t="s">
        <v>2235</v>
      </c>
      <c r="C746" s="70" t="s">
        <v>2234</v>
      </c>
      <c r="D746" s="70" t="s">
        <v>2233</v>
      </c>
      <c r="E746" s="70" t="s">
        <v>2232</v>
      </c>
      <c r="F746" s="71">
        <v>83</v>
      </c>
      <c r="G746" s="71">
        <v>10</v>
      </c>
      <c r="H746" s="72" t="s">
        <v>4326</v>
      </c>
      <c r="I746" s="71" t="b">
        <v>0</v>
      </c>
      <c r="J746" s="71">
        <v>58</v>
      </c>
      <c r="K746" s="71">
        <v>46</v>
      </c>
      <c r="L746" s="71">
        <v>70</v>
      </c>
      <c r="M746" s="71">
        <v>5</v>
      </c>
      <c r="N746" s="71">
        <v>61</v>
      </c>
      <c r="O746" s="71">
        <v>0</v>
      </c>
      <c r="P746" s="71">
        <v>11</v>
      </c>
      <c r="Q746" s="71">
        <v>36</v>
      </c>
      <c r="R746" s="71">
        <v>124</v>
      </c>
      <c r="S746" s="71" t="s">
        <v>96</v>
      </c>
      <c r="T746" s="73" t="s">
        <v>4359</v>
      </c>
      <c r="U746" s="71" t="s">
        <v>3799</v>
      </c>
      <c r="V746" s="71" t="b">
        <v>0</v>
      </c>
    </row>
    <row r="747" spans="1:22" ht="17.25">
      <c r="A747" s="70">
        <v>520</v>
      </c>
      <c r="B747" s="70" t="s">
        <v>2231</v>
      </c>
      <c r="C747" s="70" t="s">
        <v>1333</v>
      </c>
      <c r="D747" s="70" t="s">
        <v>2230</v>
      </c>
      <c r="E747" s="70" t="s">
        <v>914</v>
      </c>
      <c r="F747" s="71">
        <v>30</v>
      </c>
      <c r="G747" s="71">
        <v>14</v>
      </c>
      <c r="H747" s="72">
        <v>0.13750000000000001</v>
      </c>
      <c r="I747" s="71" t="b">
        <v>1</v>
      </c>
      <c r="J747" s="71">
        <v>85</v>
      </c>
      <c r="K747" s="71">
        <v>80</v>
      </c>
      <c r="L747" s="71">
        <v>82</v>
      </c>
      <c r="M747" s="71">
        <v>12</v>
      </c>
      <c r="N747" s="71">
        <v>5</v>
      </c>
      <c r="O747" s="71">
        <v>0</v>
      </c>
      <c r="P747" s="71">
        <v>13</v>
      </c>
      <c r="Q747" s="71">
        <v>68</v>
      </c>
      <c r="R747" s="71">
        <v>96</v>
      </c>
      <c r="S747" s="71" t="s">
        <v>128</v>
      </c>
      <c r="T747" s="73">
        <v>45632</v>
      </c>
      <c r="U747" s="71" t="s">
        <v>3800</v>
      </c>
      <c r="V747" s="71" t="b">
        <v>0</v>
      </c>
    </row>
    <row r="748" spans="1:22" ht="17.25">
      <c r="A748" s="70">
        <v>520</v>
      </c>
      <c r="B748" s="70" t="s">
        <v>2231</v>
      </c>
      <c r="C748" s="70" t="s">
        <v>914</v>
      </c>
      <c r="D748" s="70" t="s">
        <v>2230</v>
      </c>
      <c r="E748" s="70" t="s">
        <v>914</v>
      </c>
      <c r="F748" s="71">
        <v>30</v>
      </c>
      <c r="G748" s="71">
        <v>14</v>
      </c>
      <c r="H748" s="72">
        <v>0.13750000000000001</v>
      </c>
      <c r="I748" s="71" t="b">
        <v>1</v>
      </c>
      <c r="J748" s="71">
        <v>85</v>
      </c>
      <c r="K748" s="71">
        <v>80</v>
      </c>
      <c r="L748" s="71">
        <v>82</v>
      </c>
      <c r="M748" s="71">
        <v>12</v>
      </c>
      <c r="N748" s="71">
        <v>5</v>
      </c>
      <c r="O748" s="71">
        <v>0</v>
      </c>
      <c r="P748" s="71">
        <v>13</v>
      </c>
      <c r="Q748" s="71">
        <v>68</v>
      </c>
      <c r="R748" s="71">
        <v>96</v>
      </c>
      <c r="S748" s="71" t="s">
        <v>128</v>
      </c>
      <c r="T748" s="73">
        <v>45632</v>
      </c>
      <c r="U748" s="71" t="s">
        <v>3800</v>
      </c>
      <c r="V748" s="71" t="b">
        <v>0</v>
      </c>
    </row>
    <row r="749" spans="1:22" ht="17.25">
      <c r="A749" s="70">
        <v>520</v>
      </c>
      <c r="B749" s="70" t="s">
        <v>2231</v>
      </c>
      <c r="C749" s="70" t="s">
        <v>419</v>
      </c>
      <c r="D749" s="70" t="s">
        <v>2230</v>
      </c>
      <c r="E749" s="70" t="s">
        <v>914</v>
      </c>
      <c r="F749" s="71">
        <v>30</v>
      </c>
      <c r="G749" s="71">
        <v>14</v>
      </c>
      <c r="H749" s="72">
        <v>0.13750000000000001</v>
      </c>
      <c r="I749" s="71" t="b">
        <v>1</v>
      </c>
      <c r="J749" s="71">
        <v>85</v>
      </c>
      <c r="K749" s="71">
        <v>80</v>
      </c>
      <c r="L749" s="71">
        <v>82</v>
      </c>
      <c r="M749" s="71">
        <v>12</v>
      </c>
      <c r="N749" s="71">
        <v>5</v>
      </c>
      <c r="O749" s="71">
        <v>0</v>
      </c>
      <c r="P749" s="71">
        <v>13</v>
      </c>
      <c r="Q749" s="71">
        <v>68</v>
      </c>
      <c r="R749" s="71">
        <v>96</v>
      </c>
      <c r="S749" s="71" t="s">
        <v>128</v>
      </c>
      <c r="T749" s="73">
        <v>45632</v>
      </c>
      <c r="U749" s="71" t="s">
        <v>3800</v>
      </c>
      <c r="V749" s="71" t="b">
        <v>0</v>
      </c>
    </row>
    <row r="750" spans="1:22" ht="17.25">
      <c r="A750" s="70">
        <v>520</v>
      </c>
      <c r="B750" s="70" t="s">
        <v>2231</v>
      </c>
      <c r="C750" s="70" t="s">
        <v>4638</v>
      </c>
      <c r="D750" s="70" t="s">
        <v>2230</v>
      </c>
      <c r="E750" s="70" t="s">
        <v>914</v>
      </c>
      <c r="F750" s="71">
        <v>30</v>
      </c>
      <c r="G750" s="71">
        <v>14</v>
      </c>
      <c r="H750" s="72">
        <v>0.13750000000000001</v>
      </c>
      <c r="I750" s="71" t="b">
        <v>1</v>
      </c>
      <c r="J750" s="71">
        <v>85</v>
      </c>
      <c r="K750" s="71">
        <v>80</v>
      </c>
      <c r="L750" s="71">
        <v>82</v>
      </c>
      <c r="M750" s="71">
        <v>12</v>
      </c>
      <c r="N750" s="71">
        <v>5</v>
      </c>
      <c r="O750" s="71">
        <v>0</v>
      </c>
      <c r="P750" s="71">
        <v>13</v>
      </c>
      <c r="Q750" s="71">
        <v>68</v>
      </c>
      <c r="R750" s="71">
        <v>96</v>
      </c>
      <c r="S750" s="71" t="s">
        <v>128</v>
      </c>
      <c r="T750" s="73">
        <v>45632</v>
      </c>
      <c r="U750" s="71" t="s">
        <v>3800</v>
      </c>
      <c r="V750" s="71" t="b">
        <v>0</v>
      </c>
    </row>
    <row r="751" spans="1:22" ht="17.25">
      <c r="A751" s="70">
        <v>521</v>
      </c>
      <c r="B751" s="70" t="s">
        <v>2229</v>
      </c>
      <c r="C751" s="70" t="s">
        <v>366</v>
      </c>
      <c r="D751" s="70" t="s">
        <v>134</v>
      </c>
      <c r="E751" s="70" t="s">
        <v>1412</v>
      </c>
      <c r="F751" s="71">
        <v>1</v>
      </c>
      <c r="G751" s="71">
        <v>29</v>
      </c>
      <c r="H751" s="72">
        <v>0.17430555555555555</v>
      </c>
      <c r="I751" s="71" t="b">
        <v>0</v>
      </c>
      <c r="J751" s="71">
        <v>52</v>
      </c>
      <c r="K751" s="71">
        <v>59</v>
      </c>
      <c r="L751" s="71">
        <v>87</v>
      </c>
      <c r="M751" s="71">
        <v>3</v>
      </c>
      <c r="N751" s="71">
        <v>31</v>
      </c>
      <c r="O751" s="71">
        <v>0</v>
      </c>
      <c r="P751" s="71">
        <v>12</v>
      </c>
      <c r="Q751" s="71">
        <v>54</v>
      </c>
      <c r="R751" s="71">
        <v>158</v>
      </c>
      <c r="S751" s="71" t="s">
        <v>96</v>
      </c>
      <c r="T751" s="73">
        <v>45520</v>
      </c>
      <c r="U751" s="71" t="s">
        <v>3801</v>
      </c>
      <c r="V751" s="71" t="b">
        <v>0</v>
      </c>
    </row>
    <row r="752" spans="1:22" ht="17.25">
      <c r="A752" s="70">
        <v>521</v>
      </c>
      <c r="B752" s="70" t="s">
        <v>2229</v>
      </c>
      <c r="C752" s="70" t="s">
        <v>705</v>
      </c>
      <c r="D752" s="70" t="s">
        <v>134</v>
      </c>
      <c r="E752" s="70" t="s">
        <v>1412</v>
      </c>
      <c r="F752" s="71">
        <v>1</v>
      </c>
      <c r="G752" s="71">
        <v>29</v>
      </c>
      <c r="H752" s="72">
        <v>0.17430555555555555</v>
      </c>
      <c r="I752" s="71" t="b">
        <v>0</v>
      </c>
      <c r="J752" s="71">
        <v>52</v>
      </c>
      <c r="K752" s="71">
        <v>59</v>
      </c>
      <c r="L752" s="71">
        <v>87</v>
      </c>
      <c r="M752" s="71">
        <v>3</v>
      </c>
      <c r="N752" s="71">
        <v>31</v>
      </c>
      <c r="O752" s="71">
        <v>0</v>
      </c>
      <c r="P752" s="71">
        <v>12</v>
      </c>
      <c r="Q752" s="71">
        <v>54</v>
      </c>
      <c r="R752" s="71">
        <v>158</v>
      </c>
      <c r="S752" s="71" t="s">
        <v>96</v>
      </c>
      <c r="T752" s="73">
        <v>45520</v>
      </c>
      <c r="U752" s="71" t="s">
        <v>3801</v>
      </c>
      <c r="V752" s="71" t="b">
        <v>0</v>
      </c>
    </row>
    <row r="753" spans="1:22" ht="17.25">
      <c r="A753" s="70">
        <v>522</v>
      </c>
      <c r="B753" s="70" t="s">
        <v>2228</v>
      </c>
      <c r="C753" s="70" t="s">
        <v>2227</v>
      </c>
      <c r="D753" s="70" t="s">
        <v>2226</v>
      </c>
      <c r="E753" s="70" t="s">
        <v>243</v>
      </c>
      <c r="F753" s="71">
        <v>27</v>
      </c>
      <c r="G753" s="71">
        <v>29</v>
      </c>
      <c r="H753" s="72">
        <v>0.10972222222222222</v>
      </c>
      <c r="I753" s="71" t="b">
        <v>0</v>
      </c>
      <c r="J753" s="71">
        <v>62</v>
      </c>
      <c r="K753" s="71">
        <v>62</v>
      </c>
      <c r="L753" s="71">
        <v>77</v>
      </c>
      <c r="M753" s="71">
        <v>4</v>
      </c>
      <c r="N753" s="71">
        <v>40</v>
      </c>
      <c r="O753" s="71">
        <v>0</v>
      </c>
      <c r="P753" s="71">
        <v>15</v>
      </c>
      <c r="Q753" s="71">
        <v>78</v>
      </c>
      <c r="R753" s="71">
        <v>140</v>
      </c>
      <c r="S753" s="71" t="s">
        <v>29</v>
      </c>
      <c r="T753" s="73">
        <v>21490</v>
      </c>
      <c r="U753" s="71" t="s">
        <v>3802</v>
      </c>
      <c r="V753" s="71" t="b">
        <v>1</v>
      </c>
    </row>
    <row r="754" spans="1:22" ht="17.25">
      <c r="A754" s="70">
        <v>523</v>
      </c>
      <c r="B754" s="70" t="s">
        <v>2225</v>
      </c>
      <c r="C754" s="70" t="s">
        <v>4703</v>
      </c>
      <c r="D754" s="70" t="s">
        <v>163</v>
      </c>
      <c r="E754" s="70" t="s">
        <v>162</v>
      </c>
      <c r="F754" s="71">
        <v>64</v>
      </c>
      <c r="G754" s="71">
        <v>4</v>
      </c>
      <c r="H754" s="72" t="s">
        <v>4318</v>
      </c>
      <c r="I754" s="71" t="b">
        <v>0</v>
      </c>
      <c r="J754" s="71">
        <v>81</v>
      </c>
      <c r="K754" s="71">
        <v>66</v>
      </c>
      <c r="L754" s="71">
        <v>73</v>
      </c>
      <c r="M754" s="71">
        <v>7</v>
      </c>
      <c r="N754" s="71">
        <v>24</v>
      </c>
      <c r="O754" s="71">
        <v>0</v>
      </c>
      <c r="P754" s="71">
        <v>12</v>
      </c>
      <c r="Q754" s="71">
        <v>70</v>
      </c>
      <c r="R754" s="71">
        <v>114</v>
      </c>
      <c r="S754" s="71" t="s">
        <v>161</v>
      </c>
      <c r="T754" s="73" t="s">
        <v>4353</v>
      </c>
      <c r="U754" s="71" t="s">
        <v>3803</v>
      </c>
      <c r="V754" s="71" t="b">
        <v>0</v>
      </c>
    </row>
    <row r="755" spans="1:22" ht="17.25">
      <c r="A755" s="70">
        <v>523</v>
      </c>
      <c r="B755" s="70" t="s">
        <v>2225</v>
      </c>
      <c r="C755" s="70" t="s">
        <v>4477</v>
      </c>
      <c r="D755" s="70" t="s">
        <v>163</v>
      </c>
      <c r="E755" s="70" t="s">
        <v>162</v>
      </c>
      <c r="F755" s="71">
        <v>64</v>
      </c>
      <c r="G755" s="71">
        <v>4</v>
      </c>
      <c r="H755" s="72" t="s">
        <v>4318</v>
      </c>
      <c r="I755" s="71" t="b">
        <v>0</v>
      </c>
      <c r="J755" s="71">
        <v>81</v>
      </c>
      <c r="K755" s="71">
        <v>66</v>
      </c>
      <c r="L755" s="71">
        <v>73</v>
      </c>
      <c r="M755" s="71">
        <v>7</v>
      </c>
      <c r="N755" s="71">
        <v>24</v>
      </c>
      <c r="O755" s="71">
        <v>0</v>
      </c>
      <c r="P755" s="71">
        <v>12</v>
      </c>
      <c r="Q755" s="71">
        <v>70</v>
      </c>
      <c r="R755" s="71">
        <v>114</v>
      </c>
      <c r="S755" s="71" t="s">
        <v>161</v>
      </c>
      <c r="T755" s="73" t="s">
        <v>4353</v>
      </c>
      <c r="U755" s="71" t="s">
        <v>3803</v>
      </c>
      <c r="V755" s="71" t="b">
        <v>0</v>
      </c>
    </row>
    <row r="756" spans="1:22" ht="17.25">
      <c r="A756" s="70">
        <v>523</v>
      </c>
      <c r="B756" s="70" t="s">
        <v>2225</v>
      </c>
      <c r="C756" s="70" t="s">
        <v>4704</v>
      </c>
      <c r="D756" s="70" t="s">
        <v>163</v>
      </c>
      <c r="E756" s="70" t="s">
        <v>162</v>
      </c>
      <c r="F756" s="71">
        <v>64</v>
      </c>
      <c r="G756" s="71">
        <v>4</v>
      </c>
      <c r="H756" s="72" t="s">
        <v>4318</v>
      </c>
      <c r="I756" s="71" t="b">
        <v>0</v>
      </c>
      <c r="J756" s="71">
        <v>81</v>
      </c>
      <c r="K756" s="71">
        <v>66</v>
      </c>
      <c r="L756" s="71">
        <v>73</v>
      </c>
      <c r="M756" s="71">
        <v>7</v>
      </c>
      <c r="N756" s="71">
        <v>24</v>
      </c>
      <c r="O756" s="71">
        <v>0</v>
      </c>
      <c r="P756" s="71">
        <v>12</v>
      </c>
      <c r="Q756" s="71">
        <v>70</v>
      </c>
      <c r="R756" s="71">
        <v>114</v>
      </c>
      <c r="S756" s="71" t="s">
        <v>161</v>
      </c>
      <c r="T756" s="73" t="s">
        <v>4353</v>
      </c>
      <c r="U756" s="71" t="s">
        <v>3803</v>
      </c>
      <c r="V756" s="71" t="b">
        <v>0</v>
      </c>
    </row>
    <row r="757" spans="1:22" ht="17.25">
      <c r="A757" s="70">
        <v>525</v>
      </c>
      <c r="B757" s="70" t="s">
        <v>2223</v>
      </c>
      <c r="C757" s="70" t="s">
        <v>919</v>
      </c>
      <c r="D757" s="70" t="s">
        <v>918</v>
      </c>
      <c r="E757" s="70" t="s">
        <v>917</v>
      </c>
      <c r="F757" s="71">
        <v>180</v>
      </c>
      <c r="G757" s="71">
        <v>5</v>
      </c>
      <c r="H757" s="72" t="s">
        <v>4315</v>
      </c>
      <c r="I757" s="71" t="b">
        <v>1</v>
      </c>
      <c r="J757" s="71">
        <v>75</v>
      </c>
      <c r="K757" s="71">
        <v>60</v>
      </c>
      <c r="L757" s="71">
        <v>71</v>
      </c>
      <c r="M757" s="71">
        <v>9</v>
      </c>
      <c r="N757" s="71">
        <v>31</v>
      </c>
      <c r="O757" s="71">
        <v>0</v>
      </c>
      <c r="P757" s="71">
        <v>15</v>
      </c>
      <c r="Q757" s="71">
        <v>63</v>
      </c>
      <c r="R757" s="71">
        <v>122</v>
      </c>
      <c r="S757" s="71" t="s">
        <v>916</v>
      </c>
      <c r="T757" s="73" t="s">
        <v>4353</v>
      </c>
      <c r="U757" s="71" t="s">
        <v>3804</v>
      </c>
      <c r="V757" s="71" t="b">
        <v>0</v>
      </c>
    </row>
    <row r="758" spans="1:22" ht="17.25">
      <c r="A758" s="70">
        <v>526</v>
      </c>
      <c r="B758" s="70" t="s">
        <v>2222</v>
      </c>
      <c r="C758" s="70" t="s">
        <v>141</v>
      </c>
      <c r="D758" s="70" t="s">
        <v>2221</v>
      </c>
      <c r="E758" s="70" t="s">
        <v>62</v>
      </c>
      <c r="F758" s="71">
        <v>85</v>
      </c>
      <c r="G758" s="71">
        <v>2</v>
      </c>
      <c r="H758" s="72" t="s">
        <v>4317</v>
      </c>
      <c r="I758" s="71" t="b">
        <v>1</v>
      </c>
      <c r="J758" s="71">
        <v>74</v>
      </c>
      <c r="K758" s="71">
        <v>70</v>
      </c>
      <c r="L758" s="71">
        <v>73</v>
      </c>
      <c r="M758" s="71">
        <v>6</v>
      </c>
      <c r="N758" s="71">
        <v>25</v>
      </c>
      <c r="O758" s="71">
        <v>0</v>
      </c>
      <c r="P758" s="71">
        <v>15</v>
      </c>
      <c r="Q758" s="71">
        <v>85</v>
      </c>
      <c r="R758" s="71">
        <v>142</v>
      </c>
      <c r="S758" s="71" t="s">
        <v>61</v>
      </c>
      <c r="T758" s="73" t="s">
        <v>4392</v>
      </c>
      <c r="U758" s="71" t="s">
        <v>3805</v>
      </c>
      <c r="V758" s="71" t="b">
        <v>0</v>
      </c>
    </row>
    <row r="759" spans="1:22" ht="17.25">
      <c r="A759" s="70">
        <v>527</v>
      </c>
      <c r="B759" s="70" t="s">
        <v>2220</v>
      </c>
      <c r="C759" s="70" t="s">
        <v>54</v>
      </c>
      <c r="D759" s="70" t="s">
        <v>2219</v>
      </c>
      <c r="E759" s="70" t="s">
        <v>324</v>
      </c>
      <c r="F759" s="71">
        <v>189</v>
      </c>
      <c r="G759" s="71">
        <v>1</v>
      </c>
      <c r="H759" s="72" t="s">
        <v>4320</v>
      </c>
      <c r="I759" s="71" t="b">
        <v>1</v>
      </c>
      <c r="J759" s="71">
        <v>75</v>
      </c>
      <c r="K759" s="71">
        <v>58</v>
      </c>
      <c r="L759" s="71">
        <v>72</v>
      </c>
      <c r="M759" s="71">
        <v>18</v>
      </c>
      <c r="N759" s="71">
        <v>26</v>
      </c>
      <c r="O759" s="71">
        <v>0</v>
      </c>
      <c r="P759" s="71">
        <v>16</v>
      </c>
      <c r="Q759" s="71">
        <v>53</v>
      </c>
      <c r="R759" s="71">
        <v>126</v>
      </c>
      <c r="S759" s="71" t="s">
        <v>48</v>
      </c>
      <c r="T759" s="73" t="s">
        <v>4368</v>
      </c>
      <c r="U759" s="71" t="s">
        <v>3387</v>
      </c>
      <c r="V759" s="71" t="b">
        <v>0</v>
      </c>
    </row>
    <row r="760" spans="1:22" ht="17.25">
      <c r="A760" s="70">
        <v>527</v>
      </c>
      <c r="B760" s="70" t="s">
        <v>2220</v>
      </c>
      <c r="C760" s="70" t="s">
        <v>4705</v>
      </c>
      <c r="D760" s="70" t="s">
        <v>2219</v>
      </c>
      <c r="E760" s="70" t="s">
        <v>324</v>
      </c>
      <c r="F760" s="71">
        <v>189</v>
      </c>
      <c r="G760" s="71">
        <v>1</v>
      </c>
      <c r="H760" s="72" t="s">
        <v>4320</v>
      </c>
      <c r="I760" s="71" t="b">
        <v>1</v>
      </c>
      <c r="J760" s="71">
        <v>75</v>
      </c>
      <c r="K760" s="71">
        <v>58</v>
      </c>
      <c r="L760" s="71">
        <v>72</v>
      </c>
      <c r="M760" s="71">
        <v>18</v>
      </c>
      <c r="N760" s="71">
        <v>26</v>
      </c>
      <c r="O760" s="71">
        <v>0</v>
      </c>
      <c r="P760" s="71">
        <v>16</v>
      </c>
      <c r="Q760" s="71">
        <v>53</v>
      </c>
      <c r="R760" s="71">
        <v>126</v>
      </c>
      <c r="S760" s="71" t="s">
        <v>48</v>
      </c>
      <c r="T760" s="73" t="s">
        <v>4368</v>
      </c>
      <c r="U760" s="71" t="s">
        <v>3387</v>
      </c>
      <c r="V760" s="71" t="b">
        <v>0</v>
      </c>
    </row>
    <row r="761" spans="1:22" ht="17.25">
      <c r="A761" s="70">
        <v>528</v>
      </c>
      <c r="B761" s="70" t="s">
        <v>2218</v>
      </c>
      <c r="C761" s="70" t="s">
        <v>511</v>
      </c>
      <c r="D761" s="70" t="s">
        <v>2217</v>
      </c>
      <c r="E761" s="70" t="s">
        <v>124</v>
      </c>
      <c r="F761" s="71">
        <v>2</v>
      </c>
      <c r="G761" s="71">
        <v>21</v>
      </c>
      <c r="H761" s="72" t="s">
        <v>4320</v>
      </c>
      <c r="I761" s="71" t="b">
        <v>0</v>
      </c>
      <c r="J761" s="71">
        <v>78</v>
      </c>
      <c r="K761" s="71">
        <v>64</v>
      </c>
      <c r="L761" s="71">
        <v>72</v>
      </c>
      <c r="M761" s="71">
        <v>6</v>
      </c>
      <c r="N761" s="71">
        <v>23</v>
      </c>
      <c r="O761" s="71">
        <v>0</v>
      </c>
      <c r="P761" s="71">
        <v>10</v>
      </c>
      <c r="Q761" s="71">
        <v>71</v>
      </c>
      <c r="R761" s="71">
        <v>112</v>
      </c>
      <c r="S761" s="71" t="s">
        <v>115</v>
      </c>
      <c r="T761" s="73" t="s">
        <v>4341</v>
      </c>
      <c r="U761" s="71" t="s">
        <v>3691</v>
      </c>
      <c r="V761" s="71" t="b">
        <v>0</v>
      </c>
    </row>
    <row r="762" spans="1:22" ht="17.25">
      <c r="A762" s="70">
        <v>529</v>
      </c>
      <c r="B762" s="70" t="s">
        <v>2216</v>
      </c>
      <c r="C762" s="70" t="s">
        <v>705</v>
      </c>
      <c r="D762" s="70" t="s">
        <v>2215</v>
      </c>
      <c r="E762" s="70" t="s">
        <v>133</v>
      </c>
      <c r="F762" s="71">
        <v>72</v>
      </c>
      <c r="G762" s="71">
        <v>2</v>
      </c>
      <c r="H762" s="72">
        <v>0.12847222222222221</v>
      </c>
      <c r="I762" s="71" t="b">
        <v>1</v>
      </c>
      <c r="J762" s="71">
        <v>51</v>
      </c>
      <c r="K762" s="71">
        <v>73</v>
      </c>
      <c r="L762" s="71">
        <v>93</v>
      </c>
      <c r="M762" s="71">
        <v>7</v>
      </c>
      <c r="N762" s="71">
        <v>0</v>
      </c>
      <c r="O762" s="71">
        <v>0</v>
      </c>
      <c r="P762" s="71">
        <v>9</v>
      </c>
      <c r="Q762" s="71">
        <v>44</v>
      </c>
      <c r="R762" s="71">
        <v>188</v>
      </c>
      <c r="S762" s="71" t="s">
        <v>96</v>
      </c>
      <c r="T762" s="73">
        <v>45723</v>
      </c>
      <c r="U762" s="71" t="s">
        <v>3418</v>
      </c>
      <c r="V762" s="71" t="b">
        <v>0</v>
      </c>
    </row>
    <row r="763" spans="1:22" ht="17.25">
      <c r="A763" s="70">
        <v>530</v>
      </c>
      <c r="B763" s="70" t="s">
        <v>2214</v>
      </c>
      <c r="C763" s="70" t="s">
        <v>32</v>
      </c>
      <c r="D763" s="70" t="s">
        <v>2213</v>
      </c>
      <c r="E763" s="70" t="s">
        <v>30</v>
      </c>
      <c r="F763" s="71">
        <v>1</v>
      </c>
      <c r="G763" s="71">
        <v>73</v>
      </c>
      <c r="H763" s="72">
        <v>0.12847222222222221</v>
      </c>
      <c r="I763" s="71" t="b">
        <v>1</v>
      </c>
      <c r="J763" s="71">
        <v>68</v>
      </c>
      <c r="K763" s="71">
        <v>59</v>
      </c>
      <c r="L763" s="71">
        <v>90</v>
      </c>
      <c r="M763" s="71">
        <v>5</v>
      </c>
      <c r="N763" s="71">
        <v>26</v>
      </c>
      <c r="O763" s="71">
        <v>0</v>
      </c>
      <c r="P763" s="71">
        <v>10</v>
      </c>
      <c r="Q763" s="71">
        <v>62</v>
      </c>
      <c r="R763" s="71">
        <v>107</v>
      </c>
      <c r="S763" s="71" t="s">
        <v>96</v>
      </c>
      <c r="T763" s="73">
        <v>45449</v>
      </c>
      <c r="U763" s="71" t="s">
        <v>3621</v>
      </c>
      <c r="V763" s="71" t="b">
        <v>0</v>
      </c>
    </row>
    <row r="764" spans="1:22" ht="17.25">
      <c r="A764" s="70">
        <v>531</v>
      </c>
      <c r="B764" s="70" t="s">
        <v>2212</v>
      </c>
      <c r="C764" s="70" t="s">
        <v>2211</v>
      </c>
      <c r="D764" s="70" t="s">
        <v>2210</v>
      </c>
      <c r="E764" s="70" t="s">
        <v>2209</v>
      </c>
      <c r="F764" s="71">
        <v>86</v>
      </c>
      <c r="G764" s="71">
        <v>283</v>
      </c>
      <c r="H764" s="72">
        <v>0.17847222222222223</v>
      </c>
      <c r="I764" s="71" t="b">
        <v>0</v>
      </c>
      <c r="J764" s="71">
        <v>66</v>
      </c>
      <c r="K764" s="71">
        <v>71</v>
      </c>
      <c r="L764" s="71">
        <v>92</v>
      </c>
      <c r="M764" s="71">
        <v>4</v>
      </c>
      <c r="N764" s="71">
        <v>7</v>
      </c>
      <c r="O764" s="71">
        <v>0</v>
      </c>
      <c r="P764" s="71">
        <v>12</v>
      </c>
      <c r="Q764" s="71">
        <v>47</v>
      </c>
      <c r="R764" s="71">
        <v>122</v>
      </c>
      <c r="S764" s="71" t="s">
        <v>1526</v>
      </c>
      <c r="T764" s="73">
        <v>41364</v>
      </c>
      <c r="U764" s="71" t="s">
        <v>3806</v>
      </c>
      <c r="V764" s="71" t="b">
        <v>0</v>
      </c>
    </row>
    <row r="765" spans="1:22" ht="17.25">
      <c r="A765" s="70">
        <v>532</v>
      </c>
      <c r="B765" s="70" t="s">
        <v>2208</v>
      </c>
      <c r="C765" s="70" t="s">
        <v>4478</v>
      </c>
      <c r="D765" s="70" t="s">
        <v>2207</v>
      </c>
      <c r="E765" s="70" t="s">
        <v>2206</v>
      </c>
      <c r="F765" s="71">
        <v>4</v>
      </c>
      <c r="G765" s="71">
        <v>32</v>
      </c>
      <c r="H765" s="72">
        <v>0.18541666666666667</v>
      </c>
      <c r="I765" s="71" t="b">
        <v>1</v>
      </c>
      <c r="J765" s="71">
        <v>81</v>
      </c>
      <c r="K765" s="71">
        <v>68</v>
      </c>
      <c r="L765" s="71">
        <v>92</v>
      </c>
      <c r="M765" s="71">
        <v>23</v>
      </c>
      <c r="N765" s="71">
        <v>1</v>
      </c>
      <c r="O765" s="71">
        <v>0</v>
      </c>
      <c r="P765" s="71">
        <v>12</v>
      </c>
      <c r="Q765" s="71">
        <v>31</v>
      </c>
      <c r="R765" s="71">
        <v>162</v>
      </c>
      <c r="S765" s="71" t="s">
        <v>48</v>
      </c>
      <c r="T765" s="73">
        <v>45373</v>
      </c>
      <c r="U765" s="71" t="s">
        <v>3807</v>
      </c>
      <c r="V765" s="71" t="b">
        <v>0</v>
      </c>
    </row>
    <row r="766" spans="1:22" ht="17.25">
      <c r="A766" s="70">
        <v>532</v>
      </c>
      <c r="B766" s="70" t="s">
        <v>2208</v>
      </c>
      <c r="C766" s="70" t="s">
        <v>292</v>
      </c>
      <c r="D766" s="70" t="s">
        <v>2207</v>
      </c>
      <c r="E766" s="70" t="s">
        <v>2206</v>
      </c>
      <c r="F766" s="71">
        <v>4</v>
      </c>
      <c r="G766" s="71">
        <v>32</v>
      </c>
      <c r="H766" s="72">
        <v>0.18541666666666667</v>
      </c>
      <c r="I766" s="71" t="b">
        <v>1</v>
      </c>
      <c r="J766" s="71">
        <v>81</v>
      </c>
      <c r="K766" s="71">
        <v>68</v>
      </c>
      <c r="L766" s="71">
        <v>92</v>
      </c>
      <c r="M766" s="71">
        <v>23</v>
      </c>
      <c r="N766" s="71">
        <v>1</v>
      </c>
      <c r="O766" s="71">
        <v>0</v>
      </c>
      <c r="P766" s="71">
        <v>12</v>
      </c>
      <c r="Q766" s="71">
        <v>31</v>
      </c>
      <c r="R766" s="71">
        <v>162</v>
      </c>
      <c r="S766" s="71" t="s">
        <v>48</v>
      </c>
      <c r="T766" s="73">
        <v>45373</v>
      </c>
      <c r="U766" s="71" t="s">
        <v>3807</v>
      </c>
      <c r="V766" s="71" t="b">
        <v>0</v>
      </c>
    </row>
    <row r="767" spans="1:22" ht="17.25">
      <c r="A767" s="70">
        <v>532</v>
      </c>
      <c r="B767" s="70" t="s">
        <v>2208</v>
      </c>
      <c r="C767" s="70" t="s">
        <v>4706</v>
      </c>
      <c r="D767" s="70" t="s">
        <v>2207</v>
      </c>
      <c r="E767" s="70" t="s">
        <v>2206</v>
      </c>
      <c r="F767" s="71">
        <v>4</v>
      </c>
      <c r="G767" s="71">
        <v>32</v>
      </c>
      <c r="H767" s="72">
        <v>0.18541666666666667</v>
      </c>
      <c r="I767" s="71" t="b">
        <v>1</v>
      </c>
      <c r="J767" s="71">
        <v>81</v>
      </c>
      <c r="K767" s="71">
        <v>68</v>
      </c>
      <c r="L767" s="71">
        <v>92</v>
      </c>
      <c r="M767" s="71">
        <v>23</v>
      </c>
      <c r="N767" s="71">
        <v>1</v>
      </c>
      <c r="O767" s="71">
        <v>0</v>
      </c>
      <c r="P767" s="71">
        <v>12</v>
      </c>
      <c r="Q767" s="71">
        <v>31</v>
      </c>
      <c r="R767" s="71">
        <v>162</v>
      </c>
      <c r="S767" s="71" t="s">
        <v>48</v>
      </c>
      <c r="T767" s="73">
        <v>45373</v>
      </c>
      <c r="U767" s="71" t="s">
        <v>3807</v>
      </c>
      <c r="V767" s="71" t="b">
        <v>0</v>
      </c>
    </row>
    <row r="768" spans="1:22" ht="17.25">
      <c r="A768" s="70">
        <v>533</v>
      </c>
      <c r="B768" s="70" t="s">
        <v>2205</v>
      </c>
      <c r="C768" s="70" t="s">
        <v>182</v>
      </c>
      <c r="D768" s="70" t="s">
        <v>2204</v>
      </c>
      <c r="E768" s="70" t="s">
        <v>349</v>
      </c>
      <c r="F768" s="71">
        <v>18</v>
      </c>
      <c r="G768" s="71">
        <v>28</v>
      </c>
      <c r="H768" s="72" t="s">
        <v>4320</v>
      </c>
      <c r="I768" s="71" t="b">
        <v>1</v>
      </c>
      <c r="J768" s="71">
        <v>83</v>
      </c>
      <c r="K768" s="71">
        <v>62</v>
      </c>
      <c r="L768" s="71">
        <v>73</v>
      </c>
      <c r="M768" s="71">
        <v>28</v>
      </c>
      <c r="N768" s="71">
        <v>16</v>
      </c>
      <c r="O768" s="71">
        <v>0</v>
      </c>
      <c r="P768" s="71">
        <v>11</v>
      </c>
      <c r="Q768" s="71">
        <v>51</v>
      </c>
      <c r="R768" s="71">
        <v>138</v>
      </c>
      <c r="S768" s="71" t="s">
        <v>48</v>
      </c>
      <c r="T768" s="73" t="s">
        <v>4386</v>
      </c>
      <c r="U768" s="71" t="s">
        <v>3442</v>
      </c>
      <c r="V768" s="71" t="b">
        <v>0</v>
      </c>
    </row>
    <row r="769" spans="1:22" ht="17.25">
      <c r="A769" s="70">
        <v>534</v>
      </c>
      <c r="B769" s="70" t="s">
        <v>2203</v>
      </c>
      <c r="C769" s="70" t="s">
        <v>1566</v>
      </c>
      <c r="D769" s="70" t="s">
        <v>2202</v>
      </c>
      <c r="E769" s="70" t="s">
        <v>104</v>
      </c>
      <c r="F769" s="71">
        <v>6</v>
      </c>
      <c r="G769" s="71">
        <v>44</v>
      </c>
      <c r="H769" s="72">
        <v>7.9861111111111105E-2</v>
      </c>
      <c r="I769" s="71" t="b">
        <v>0</v>
      </c>
      <c r="J769" s="71">
        <v>55</v>
      </c>
      <c r="K769" s="71">
        <v>50</v>
      </c>
      <c r="L769" s="71">
        <v>72</v>
      </c>
      <c r="M769" s="71">
        <v>4</v>
      </c>
      <c r="N769" s="71">
        <v>55</v>
      </c>
      <c r="O769" s="71">
        <v>0</v>
      </c>
      <c r="P769" s="71">
        <v>15</v>
      </c>
      <c r="Q769" s="71">
        <v>78</v>
      </c>
      <c r="R769" s="71">
        <v>120</v>
      </c>
      <c r="S769" s="71" t="s">
        <v>29</v>
      </c>
      <c r="T769" s="73">
        <v>21855</v>
      </c>
      <c r="U769" s="71" t="s">
        <v>3741</v>
      </c>
      <c r="V769" s="71" t="b">
        <v>1</v>
      </c>
    </row>
    <row r="770" spans="1:22" ht="17.25">
      <c r="A770" s="70">
        <v>535</v>
      </c>
      <c r="B770" s="70" t="s">
        <v>2201</v>
      </c>
      <c r="C770" s="70" t="s">
        <v>373</v>
      </c>
      <c r="D770" s="70" t="s">
        <v>2200</v>
      </c>
      <c r="E770" s="70" t="s">
        <v>2199</v>
      </c>
      <c r="F770" s="71">
        <v>87</v>
      </c>
      <c r="G770" s="71">
        <v>94</v>
      </c>
      <c r="H770" s="72">
        <v>0.1388888888888889</v>
      </c>
      <c r="I770" s="71" t="b">
        <v>0</v>
      </c>
      <c r="J770" s="71">
        <v>51</v>
      </c>
      <c r="K770" s="71">
        <v>36</v>
      </c>
      <c r="L770" s="71">
        <v>87</v>
      </c>
      <c r="M770" s="71">
        <v>4</v>
      </c>
      <c r="N770" s="71">
        <v>82</v>
      </c>
      <c r="O770" s="71">
        <v>3</v>
      </c>
      <c r="P770" s="71">
        <v>8</v>
      </c>
      <c r="Q770" s="71">
        <v>17</v>
      </c>
      <c r="R770" s="71">
        <v>145</v>
      </c>
      <c r="S770" s="71" t="s">
        <v>74</v>
      </c>
      <c r="T770" s="73">
        <v>42692</v>
      </c>
      <c r="U770" s="71" t="s">
        <v>3808</v>
      </c>
      <c r="V770" s="71" t="b">
        <v>0</v>
      </c>
    </row>
    <row r="771" spans="1:22" ht="17.25">
      <c r="A771" s="70">
        <v>536</v>
      </c>
      <c r="B771" s="70" t="s">
        <v>2198</v>
      </c>
      <c r="C771" s="70" t="s">
        <v>452</v>
      </c>
      <c r="D771" s="70" t="s">
        <v>28</v>
      </c>
      <c r="E771" s="70" t="s">
        <v>27</v>
      </c>
      <c r="F771" s="71">
        <v>198</v>
      </c>
      <c r="G771" s="71">
        <v>2</v>
      </c>
      <c r="H771" s="72">
        <v>0.18055555555555555</v>
      </c>
      <c r="I771" s="71" t="b">
        <v>0</v>
      </c>
      <c r="J771" s="71">
        <v>66</v>
      </c>
      <c r="K771" s="71">
        <v>30</v>
      </c>
      <c r="L771" s="71">
        <v>86</v>
      </c>
      <c r="M771" s="71">
        <v>3</v>
      </c>
      <c r="N771" s="71">
        <v>43</v>
      </c>
      <c r="O771" s="71">
        <v>0</v>
      </c>
      <c r="P771" s="71">
        <v>7</v>
      </c>
      <c r="Q771" s="71">
        <v>36</v>
      </c>
      <c r="R771" s="71">
        <v>74</v>
      </c>
      <c r="S771" s="71" t="s">
        <v>26</v>
      </c>
      <c r="T771" s="73">
        <v>42626</v>
      </c>
      <c r="U771" s="71" t="s">
        <v>3809</v>
      </c>
      <c r="V771" s="71" t="b">
        <v>0</v>
      </c>
    </row>
    <row r="772" spans="1:22" ht="17.25">
      <c r="A772" s="70">
        <v>536</v>
      </c>
      <c r="B772" s="70" t="s">
        <v>2198</v>
      </c>
      <c r="C772" s="70" t="s">
        <v>4707</v>
      </c>
      <c r="D772" s="70" t="s">
        <v>28</v>
      </c>
      <c r="E772" s="70" t="s">
        <v>27</v>
      </c>
      <c r="F772" s="71">
        <v>198</v>
      </c>
      <c r="G772" s="71">
        <v>2</v>
      </c>
      <c r="H772" s="72">
        <v>0.18055555555555555</v>
      </c>
      <c r="I772" s="71" t="b">
        <v>0</v>
      </c>
      <c r="J772" s="71">
        <v>66</v>
      </c>
      <c r="K772" s="71">
        <v>30</v>
      </c>
      <c r="L772" s="71">
        <v>86</v>
      </c>
      <c r="M772" s="71">
        <v>3</v>
      </c>
      <c r="N772" s="71">
        <v>43</v>
      </c>
      <c r="O772" s="71">
        <v>0</v>
      </c>
      <c r="P772" s="71">
        <v>7</v>
      </c>
      <c r="Q772" s="71">
        <v>36</v>
      </c>
      <c r="R772" s="71">
        <v>74</v>
      </c>
      <c r="S772" s="71" t="s">
        <v>26</v>
      </c>
      <c r="T772" s="73">
        <v>42626</v>
      </c>
      <c r="U772" s="71" t="s">
        <v>3809</v>
      </c>
      <c r="V772" s="71" t="b">
        <v>0</v>
      </c>
    </row>
    <row r="773" spans="1:22" ht="17.25">
      <c r="A773" s="70">
        <v>537</v>
      </c>
      <c r="B773" s="70" t="s">
        <v>2197</v>
      </c>
      <c r="C773" s="70" t="s">
        <v>4479</v>
      </c>
      <c r="D773" s="70" t="s">
        <v>2196</v>
      </c>
      <c r="E773" s="70" t="s">
        <v>2195</v>
      </c>
      <c r="F773" s="71">
        <v>12</v>
      </c>
      <c r="G773" s="71">
        <v>4</v>
      </c>
      <c r="H773" s="72">
        <v>0.13750000000000001</v>
      </c>
      <c r="I773" s="71" t="b">
        <v>1</v>
      </c>
      <c r="J773" s="71">
        <v>85</v>
      </c>
      <c r="K773" s="71">
        <v>80</v>
      </c>
      <c r="L773" s="71">
        <v>82</v>
      </c>
      <c r="M773" s="71">
        <v>14</v>
      </c>
      <c r="N773" s="71">
        <v>5</v>
      </c>
      <c r="O773" s="71">
        <v>0</v>
      </c>
      <c r="P773" s="71">
        <v>13</v>
      </c>
      <c r="Q773" s="71">
        <v>68</v>
      </c>
      <c r="R773" s="71">
        <v>96</v>
      </c>
      <c r="S773" s="71" t="s">
        <v>128</v>
      </c>
      <c r="T773" s="73">
        <v>45611</v>
      </c>
      <c r="U773" s="71" t="s">
        <v>3810</v>
      </c>
      <c r="V773" s="71" t="b">
        <v>0</v>
      </c>
    </row>
    <row r="774" spans="1:22" ht="17.25">
      <c r="A774" s="70">
        <v>537</v>
      </c>
      <c r="B774" s="70" t="s">
        <v>2197</v>
      </c>
      <c r="C774" s="70" t="s">
        <v>4708</v>
      </c>
      <c r="D774" s="70" t="s">
        <v>2196</v>
      </c>
      <c r="E774" s="70" t="s">
        <v>2195</v>
      </c>
      <c r="F774" s="71">
        <v>12</v>
      </c>
      <c r="G774" s="71">
        <v>4</v>
      </c>
      <c r="H774" s="72">
        <v>0.13750000000000001</v>
      </c>
      <c r="I774" s="71" t="b">
        <v>1</v>
      </c>
      <c r="J774" s="71">
        <v>85</v>
      </c>
      <c r="K774" s="71">
        <v>80</v>
      </c>
      <c r="L774" s="71">
        <v>82</v>
      </c>
      <c r="M774" s="71">
        <v>14</v>
      </c>
      <c r="N774" s="71">
        <v>5</v>
      </c>
      <c r="O774" s="71">
        <v>0</v>
      </c>
      <c r="P774" s="71">
        <v>13</v>
      </c>
      <c r="Q774" s="71">
        <v>68</v>
      </c>
      <c r="R774" s="71">
        <v>96</v>
      </c>
      <c r="S774" s="71" t="s">
        <v>128</v>
      </c>
      <c r="T774" s="73">
        <v>45611</v>
      </c>
      <c r="U774" s="71" t="s">
        <v>3810</v>
      </c>
      <c r="V774" s="71" t="b">
        <v>0</v>
      </c>
    </row>
    <row r="775" spans="1:22" ht="17.25">
      <c r="A775" s="70">
        <v>538</v>
      </c>
      <c r="B775" s="70" t="s">
        <v>2194</v>
      </c>
      <c r="C775" s="70" t="s">
        <v>2193</v>
      </c>
      <c r="D775" s="70" t="s">
        <v>2192</v>
      </c>
      <c r="E775" s="70" t="s">
        <v>171</v>
      </c>
      <c r="F775" s="71">
        <v>30</v>
      </c>
      <c r="G775" s="71">
        <v>294</v>
      </c>
      <c r="H775" s="72">
        <v>0.14166666666666666</v>
      </c>
      <c r="I775" s="71" t="b">
        <v>0</v>
      </c>
      <c r="J775" s="71">
        <v>48</v>
      </c>
      <c r="K775" s="71">
        <v>73</v>
      </c>
      <c r="L775" s="71">
        <v>89</v>
      </c>
      <c r="M775" s="71">
        <v>4</v>
      </c>
      <c r="N775" s="71">
        <v>44</v>
      </c>
      <c r="O775" s="71">
        <v>0</v>
      </c>
      <c r="P775" s="71">
        <v>15</v>
      </c>
      <c r="Q775" s="71">
        <v>48</v>
      </c>
      <c r="R775" s="71">
        <v>102</v>
      </c>
      <c r="S775" s="71" t="s">
        <v>74</v>
      </c>
      <c r="T775" s="73">
        <v>41421</v>
      </c>
      <c r="U775" s="71" t="s">
        <v>3811</v>
      </c>
      <c r="V775" s="71" t="b">
        <v>0</v>
      </c>
    </row>
    <row r="776" spans="1:22" ht="17.25">
      <c r="A776" s="70">
        <v>539</v>
      </c>
      <c r="B776" s="70" t="s">
        <v>2191</v>
      </c>
      <c r="C776" s="70" t="s">
        <v>2190</v>
      </c>
      <c r="D776" s="70" t="s">
        <v>2189</v>
      </c>
      <c r="E776" s="70" t="s">
        <v>120</v>
      </c>
      <c r="F776" s="71">
        <v>20</v>
      </c>
      <c r="G776" s="71">
        <v>42</v>
      </c>
      <c r="H776" s="72">
        <v>0.11805555555555555</v>
      </c>
      <c r="I776" s="71" t="b">
        <v>1</v>
      </c>
      <c r="J776" s="71">
        <v>76</v>
      </c>
      <c r="K776" s="71">
        <v>67</v>
      </c>
      <c r="L776" s="71">
        <v>89</v>
      </c>
      <c r="M776" s="71">
        <v>5</v>
      </c>
      <c r="N776" s="71">
        <v>46</v>
      </c>
      <c r="O776" s="71">
        <v>0</v>
      </c>
      <c r="P776" s="71">
        <v>11</v>
      </c>
      <c r="Q776" s="71">
        <v>74</v>
      </c>
      <c r="R776" s="71">
        <v>115</v>
      </c>
      <c r="S776" s="71" t="s">
        <v>143</v>
      </c>
      <c r="T776" s="73">
        <v>45247</v>
      </c>
      <c r="U776" s="71" t="s">
        <v>3812</v>
      </c>
      <c r="V776" s="71" t="b">
        <v>0</v>
      </c>
    </row>
    <row r="777" spans="1:22" ht="17.25">
      <c r="A777" s="70">
        <v>540</v>
      </c>
      <c r="B777" s="70" t="s">
        <v>2188</v>
      </c>
      <c r="C777" s="70" t="s">
        <v>2187</v>
      </c>
      <c r="D777" s="70" t="s">
        <v>2186</v>
      </c>
      <c r="E777" s="70" t="s">
        <v>2185</v>
      </c>
      <c r="F777" s="71">
        <v>121</v>
      </c>
      <c r="G777" s="71">
        <v>5</v>
      </c>
      <c r="H777" s="72">
        <v>0.13750000000000001</v>
      </c>
      <c r="I777" s="71" t="b">
        <v>1</v>
      </c>
      <c r="J777" s="71">
        <v>57</v>
      </c>
      <c r="K777" s="71">
        <v>46</v>
      </c>
      <c r="L777" s="71">
        <v>87</v>
      </c>
      <c r="M777" s="71">
        <v>13</v>
      </c>
      <c r="N777" s="71">
        <v>22</v>
      </c>
      <c r="O777" s="71">
        <v>0</v>
      </c>
      <c r="P777" s="71">
        <v>7</v>
      </c>
      <c r="Q777" s="71">
        <v>60</v>
      </c>
      <c r="R777" s="71">
        <v>180</v>
      </c>
      <c r="S777" s="71" t="s">
        <v>26</v>
      </c>
      <c r="T777" s="73">
        <v>45562</v>
      </c>
      <c r="U777" s="71" t="s">
        <v>3813</v>
      </c>
      <c r="V777" s="71" t="b">
        <v>0</v>
      </c>
    </row>
    <row r="778" spans="1:22" ht="17.25">
      <c r="A778" s="70">
        <v>541</v>
      </c>
      <c r="B778" s="70" t="s">
        <v>2184</v>
      </c>
      <c r="C778" s="70" t="s">
        <v>237</v>
      </c>
      <c r="D778" s="70" t="s">
        <v>2183</v>
      </c>
      <c r="E778" s="70" t="s">
        <v>344</v>
      </c>
      <c r="F778" s="71">
        <v>102</v>
      </c>
      <c r="G778" s="71">
        <v>1</v>
      </c>
      <c r="H778" s="72">
        <v>0.19166666666666668</v>
      </c>
      <c r="I778" s="71" t="b">
        <v>1</v>
      </c>
      <c r="J778" s="71">
        <v>57</v>
      </c>
      <c r="K778" s="71">
        <v>56</v>
      </c>
      <c r="L778" s="71">
        <v>89</v>
      </c>
      <c r="M778" s="71">
        <v>3</v>
      </c>
      <c r="N778" s="71">
        <v>7</v>
      </c>
      <c r="O778" s="71">
        <v>0</v>
      </c>
      <c r="P778" s="71">
        <v>19</v>
      </c>
      <c r="Q778" s="71">
        <v>18</v>
      </c>
      <c r="R778" s="71">
        <v>97</v>
      </c>
      <c r="S778" s="71" t="s">
        <v>26</v>
      </c>
      <c r="T778" s="73">
        <v>45688</v>
      </c>
      <c r="U778" s="71" t="s">
        <v>3481</v>
      </c>
      <c r="V778" s="71" t="b">
        <v>0</v>
      </c>
    </row>
    <row r="779" spans="1:22" ht="17.25">
      <c r="A779" s="70">
        <v>542</v>
      </c>
      <c r="B779" s="70" t="s">
        <v>2182</v>
      </c>
      <c r="C779" s="70" t="s">
        <v>2181</v>
      </c>
      <c r="D779" s="70" t="s">
        <v>2180</v>
      </c>
      <c r="E779" s="70" t="s">
        <v>2179</v>
      </c>
      <c r="F779" s="71">
        <v>70</v>
      </c>
      <c r="G779" s="71">
        <v>3</v>
      </c>
      <c r="H779" s="72">
        <v>0.13750000000000001</v>
      </c>
      <c r="I779" s="71" t="b">
        <v>0</v>
      </c>
      <c r="J779" s="71">
        <v>89</v>
      </c>
      <c r="K779" s="71">
        <v>65</v>
      </c>
      <c r="L779" s="71">
        <v>89</v>
      </c>
      <c r="M779" s="71">
        <v>6</v>
      </c>
      <c r="N779" s="71">
        <v>5</v>
      </c>
      <c r="O779" s="71">
        <v>2</v>
      </c>
      <c r="P779" s="71">
        <v>10</v>
      </c>
      <c r="Q779" s="71">
        <v>87</v>
      </c>
      <c r="R779" s="71">
        <v>133</v>
      </c>
      <c r="S779" s="71" t="s">
        <v>2178</v>
      </c>
      <c r="T779" s="73">
        <v>38118</v>
      </c>
      <c r="U779" s="71" t="s">
        <v>3814</v>
      </c>
      <c r="V779" s="71" t="b">
        <v>0</v>
      </c>
    </row>
    <row r="780" spans="1:22" ht="17.25">
      <c r="A780" s="70">
        <v>544</v>
      </c>
      <c r="B780" s="70" t="s">
        <v>2177</v>
      </c>
      <c r="C780" s="70" t="s">
        <v>97</v>
      </c>
      <c r="D780" s="70" t="s">
        <v>2176</v>
      </c>
      <c r="E780" s="70" t="s">
        <v>97</v>
      </c>
      <c r="F780" s="71">
        <v>6</v>
      </c>
      <c r="G780" s="71">
        <v>6</v>
      </c>
      <c r="H780" s="72" t="s">
        <v>4320</v>
      </c>
      <c r="I780" s="71" t="b">
        <v>0</v>
      </c>
      <c r="J780" s="71">
        <v>59</v>
      </c>
      <c r="K780" s="71">
        <v>40</v>
      </c>
      <c r="L780" s="71">
        <v>69</v>
      </c>
      <c r="M780" s="71">
        <v>4</v>
      </c>
      <c r="N780" s="71">
        <v>70</v>
      </c>
      <c r="O780" s="71">
        <v>0</v>
      </c>
      <c r="P780" s="71">
        <v>11</v>
      </c>
      <c r="Q780" s="71">
        <v>31</v>
      </c>
      <c r="R780" s="71">
        <v>86</v>
      </c>
      <c r="S780" s="71" t="s">
        <v>96</v>
      </c>
      <c r="T780" s="73" t="s">
        <v>4364</v>
      </c>
      <c r="U780" s="71" t="s">
        <v>3397</v>
      </c>
      <c r="V780" s="71" t="b">
        <v>0</v>
      </c>
    </row>
    <row r="781" spans="1:22" ht="17.25">
      <c r="A781" s="70">
        <v>545</v>
      </c>
      <c r="B781" s="70" t="s">
        <v>2175</v>
      </c>
      <c r="C781" s="70" t="s">
        <v>2174</v>
      </c>
      <c r="D781" s="70" t="s">
        <v>2173</v>
      </c>
      <c r="E781" s="70" t="s">
        <v>44</v>
      </c>
      <c r="F781" s="71">
        <v>48</v>
      </c>
      <c r="G781" s="71">
        <v>15</v>
      </c>
      <c r="H781" s="72">
        <v>0.17986111111111111</v>
      </c>
      <c r="I781" s="71" t="b">
        <v>0</v>
      </c>
      <c r="J781" s="71">
        <v>58</v>
      </c>
      <c r="K781" s="71">
        <v>60</v>
      </c>
      <c r="L781" s="71">
        <v>76</v>
      </c>
      <c r="M781" s="71">
        <v>4</v>
      </c>
      <c r="N781" s="71">
        <v>30</v>
      </c>
      <c r="O781" s="71">
        <v>0</v>
      </c>
      <c r="P781" s="71">
        <v>14</v>
      </c>
      <c r="Q781" s="71">
        <v>72</v>
      </c>
      <c r="R781" s="71">
        <v>130</v>
      </c>
      <c r="S781" s="71" t="s">
        <v>29</v>
      </c>
      <c r="T781" s="73">
        <v>31012</v>
      </c>
      <c r="U781" s="71" t="s">
        <v>3815</v>
      </c>
      <c r="V781" s="71" t="b">
        <v>1</v>
      </c>
    </row>
    <row r="782" spans="1:22" ht="17.25">
      <c r="A782" s="70">
        <v>546</v>
      </c>
      <c r="B782" s="70" t="s">
        <v>2172</v>
      </c>
      <c r="C782" s="70" t="s">
        <v>2171</v>
      </c>
      <c r="D782" s="70" t="s">
        <v>2170</v>
      </c>
      <c r="E782" s="70" t="s">
        <v>44</v>
      </c>
      <c r="F782" s="71">
        <v>93</v>
      </c>
      <c r="G782" s="71">
        <v>8</v>
      </c>
      <c r="H782" s="72">
        <v>0.16805555555555557</v>
      </c>
      <c r="I782" s="71" t="b">
        <v>0</v>
      </c>
      <c r="J782" s="71">
        <v>65</v>
      </c>
      <c r="K782" s="71">
        <v>59</v>
      </c>
      <c r="L782" s="71">
        <v>88</v>
      </c>
      <c r="M782" s="71">
        <v>3</v>
      </c>
      <c r="N782" s="71">
        <v>11</v>
      </c>
      <c r="O782" s="71">
        <v>5</v>
      </c>
      <c r="P782" s="71">
        <v>12</v>
      </c>
      <c r="Q782" s="71">
        <v>54</v>
      </c>
      <c r="R782" s="71">
        <v>114</v>
      </c>
      <c r="S782" s="71" t="s">
        <v>74</v>
      </c>
      <c r="T782" s="73">
        <v>42307</v>
      </c>
      <c r="U782" s="71" t="s">
        <v>3816</v>
      </c>
      <c r="V782" s="71" t="b">
        <v>0</v>
      </c>
    </row>
    <row r="783" spans="1:22" ht="17.25">
      <c r="A783" s="70">
        <v>547</v>
      </c>
      <c r="B783" s="70" t="s">
        <v>2169</v>
      </c>
      <c r="C783" s="70" t="s">
        <v>477</v>
      </c>
      <c r="D783" s="70" t="s">
        <v>2168</v>
      </c>
      <c r="E783" s="70" t="s">
        <v>475</v>
      </c>
      <c r="F783" s="71">
        <v>65</v>
      </c>
      <c r="G783" s="71">
        <v>2</v>
      </c>
      <c r="H783" s="72" t="s">
        <v>4315</v>
      </c>
      <c r="I783" s="71" t="b">
        <v>1</v>
      </c>
      <c r="J783" s="71">
        <v>71</v>
      </c>
      <c r="K783" s="71">
        <v>55</v>
      </c>
      <c r="L783" s="71">
        <v>71</v>
      </c>
      <c r="M783" s="71">
        <v>15</v>
      </c>
      <c r="N783" s="71">
        <v>38</v>
      </c>
      <c r="O783" s="71">
        <v>0</v>
      </c>
      <c r="P783" s="71">
        <v>10</v>
      </c>
      <c r="Q783" s="71">
        <v>48</v>
      </c>
      <c r="R783" s="71">
        <v>96</v>
      </c>
      <c r="S783" s="71" t="s">
        <v>48</v>
      </c>
      <c r="T783" s="73" t="s">
        <v>4385</v>
      </c>
      <c r="U783" s="71" t="s">
        <v>3651</v>
      </c>
      <c r="V783" s="71" t="b">
        <v>0</v>
      </c>
    </row>
    <row r="784" spans="1:22" ht="17.25">
      <c r="A784" s="70">
        <v>547</v>
      </c>
      <c r="B784" s="70" t="s">
        <v>2169</v>
      </c>
      <c r="C784" s="70" t="s">
        <v>4709</v>
      </c>
      <c r="D784" s="70" t="s">
        <v>2168</v>
      </c>
      <c r="E784" s="70" t="s">
        <v>475</v>
      </c>
      <c r="F784" s="71">
        <v>65</v>
      </c>
      <c r="G784" s="71">
        <v>2</v>
      </c>
      <c r="H784" s="72" t="s">
        <v>4315</v>
      </c>
      <c r="I784" s="71" t="b">
        <v>1</v>
      </c>
      <c r="J784" s="71">
        <v>71</v>
      </c>
      <c r="K784" s="71">
        <v>55</v>
      </c>
      <c r="L784" s="71">
        <v>71</v>
      </c>
      <c r="M784" s="71">
        <v>15</v>
      </c>
      <c r="N784" s="71">
        <v>38</v>
      </c>
      <c r="O784" s="71">
        <v>0</v>
      </c>
      <c r="P784" s="71">
        <v>10</v>
      </c>
      <c r="Q784" s="71">
        <v>48</v>
      </c>
      <c r="R784" s="71">
        <v>96</v>
      </c>
      <c r="S784" s="71" t="s">
        <v>48</v>
      </c>
      <c r="T784" s="73" t="s">
        <v>4385</v>
      </c>
      <c r="U784" s="71" t="s">
        <v>3651</v>
      </c>
      <c r="V784" s="71" t="b">
        <v>0</v>
      </c>
    </row>
    <row r="785" spans="1:22" ht="17.25">
      <c r="A785" s="70">
        <v>548</v>
      </c>
      <c r="B785" s="70" t="s">
        <v>2167</v>
      </c>
      <c r="C785" s="70" t="s">
        <v>2165</v>
      </c>
      <c r="D785" s="70" t="s">
        <v>2166</v>
      </c>
      <c r="E785" s="70" t="s">
        <v>2165</v>
      </c>
      <c r="F785" s="71">
        <v>165</v>
      </c>
      <c r="G785" s="71">
        <v>2</v>
      </c>
      <c r="H785" s="72">
        <v>0.1986111111111111</v>
      </c>
      <c r="I785" s="71" t="b">
        <v>0</v>
      </c>
      <c r="J785" s="71">
        <v>66</v>
      </c>
      <c r="K785" s="71">
        <v>30</v>
      </c>
      <c r="L785" s="71">
        <v>70</v>
      </c>
      <c r="M785" s="71">
        <v>3</v>
      </c>
      <c r="N785" s="71">
        <v>68</v>
      </c>
      <c r="O785" s="71">
        <v>1</v>
      </c>
      <c r="P785" s="71">
        <v>9</v>
      </c>
      <c r="Q785" s="71">
        <v>36</v>
      </c>
      <c r="R785" s="71">
        <v>112</v>
      </c>
      <c r="S785" s="71" t="s">
        <v>1526</v>
      </c>
      <c r="T785" s="73">
        <v>32690</v>
      </c>
      <c r="U785" s="71" t="s">
        <v>3817</v>
      </c>
      <c r="V785" s="71" t="b">
        <v>0</v>
      </c>
    </row>
    <row r="786" spans="1:22" ht="17.25">
      <c r="A786" s="70">
        <v>549</v>
      </c>
      <c r="B786" s="70" t="s">
        <v>2164</v>
      </c>
      <c r="C786" s="70" t="s">
        <v>4480</v>
      </c>
      <c r="D786" s="70" t="s">
        <v>2163</v>
      </c>
      <c r="E786" s="70" t="s">
        <v>2162</v>
      </c>
      <c r="F786" s="71">
        <v>194</v>
      </c>
      <c r="G786" s="71">
        <v>1</v>
      </c>
      <c r="H786" s="72" t="s">
        <v>4320</v>
      </c>
      <c r="I786" s="71" t="b">
        <v>0</v>
      </c>
      <c r="J786" s="71">
        <v>73</v>
      </c>
      <c r="K786" s="71">
        <v>70</v>
      </c>
      <c r="L786" s="71">
        <v>73</v>
      </c>
      <c r="M786" s="71">
        <v>6</v>
      </c>
      <c r="N786" s="71">
        <v>26</v>
      </c>
      <c r="O786" s="71">
        <v>0</v>
      </c>
      <c r="P786" s="71">
        <v>11</v>
      </c>
      <c r="Q786" s="71">
        <v>58</v>
      </c>
      <c r="R786" s="71">
        <v>126</v>
      </c>
      <c r="S786" s="71" t="s">
        <v>359</v>
      </c>
      <c r="T786" s="73" t="s">
        <v>4353</v>
      </c>
      <c r="U786" s="71" t="s">
        <v>3818</v>
      </c>
      <c r="V786" s="71" t="b">
        <v>0</v>
      </c>
    </row>
    <row r="787" spans="1:22" ht="17.25">
      <c r="A787" s="70">
        <v>549</v>
      </c>
      <c r="B787" s="70" t="s">
        <v>2164</v>
      </c>
      <c r="C787" s="70" t="s">
        <v>4711</v>
      </c>
      <c r="D787" s="70" t="s">
        <v>2163</v>
      </c>
      <c r="E787" s="70" t="s">
        <v>2162</v>
      </c>
      <c r="F787" s="71">
        <v>194</v>
      </c>
      <c r="G787" s="71">
        <v>1</v>
      </c>
      <c r="H787" s="72" t="s">
        <v>4320</v>
      </c>
      <c r="I787" s="71" t="b">
        <v>0</v>
      </c>
      <c r="J787" s="71">
        <v>73</v>
      </c>
      <c r="K787" s="71">
        <v>70</v>
      </c>
      <c r="L787" s="71">
        <v>73</v>
      </c>
      <c r="M787" s="71">
        <v>6</v>
      </c>
      <c r="N787" s="71">
        <v>26</v>
      </c>
      <c r="O787" s="71">
        <v>0</v>
      </c>
      <c r="P787" s="71">
        <v>11</v>
      </c>
      <c r="Q787" s="71">
        <v>58</v>
      </c>
      <c r="R787" s="71">
        <v>126</v>
      </c>
      <c r="S787" s="71" t="s">
        <v>359</v>
      </c>
      <c r="T787" s="73" t="s">
        <v>4353</v>
      </c>
      <c r="U787" s="71" t="s">
        <v>3818</v>
      </c>
      <c r="V787" s="71" t="b">
        <v>0</v>
      </c>
    </row>
    <row r="788" spans="1:22" ht="17.25">
      <c r="A788" s="70">
        <v>549</v>
      </c>
      <c r="B788" s="70" t="s">
        <v>2164</v>
      </c>
      <c r="C788" s="70" t="s">
        <v>4710</v>
      </c>
      <c r="D788" s="70" t="s">
        <v>2163</v>
      </c>
      <c r="E788" s="70" t="s">
        <v>2162</v>
      </c>
      <c r="F788" s="71">
        <v>194</v>
      </c>
      <c r="G788" s="71">
        <v>1</v>
      </c>
      <c r="H788" s="72" t="s">
        <v>4320</v>
      </c>
      <c r="I788" s="71" t="b">
        <v>0</v>
      </c>
      <c r="J788" s="71">
        <v>73</v>
      </c>
      <c r="K788" s="71">
        <v>70</v>
      </c>
      <c r="L788" s="71">
        <v>73</v>
      </c>
      <c r="M788" s="71">
        <v>6</v>
      </c>
      <c r="N788" s="71">
        <v>26</v>
      </c>
      <c r="O788" s="71">
        <v>0</v>
      </c>
      <c r="P788" s="71">
        <v>11</v>
      </c>
      <c r="Q788" s="71">
        <v>58</v>
      </c>
      <c r="R788" s="71">
        <v>126</v>
      </c>
      <c r="S788" s="71" t="s">
        <v>359</v>
      </c>
      <c r="T788" s="73" t="s">
        <v>4353</v>
      </c>
      <c r="U788" s="71" t="s">
        <v>3818</v>
      </c>
      <c r="V788" s="71" t="b">
        <v>0</v>
      </c>
    </row>
    <row r="789" spans="1:22" ht="17.25">
      <c r="A789" s="70">
        <v>549</v>
      </c>
      <c r="B789" s="70" t="s">
        <v>2164</v>
      </c>
      <c r="C789" s="70" t="s">
        <v>4654</v>
      </c>
      <c r="D789" s="70" t="s">
        <v>2163</v>
      </c>
      <c r="E789" s="70" t="s">
        <v>2162</v>
      </c>
      <c r="F789" s="71">
        <v>194</v>
      </c>
      <c r="G789" s="71">
        <v>1</v>
      </c>
      <c r="H789" s="72" t="s">
        <v>4320</v>
      </c>
      <c r="I789" s="71" t="b">
        <v>0</v>
      </c>
      <c r="J789" s="71">
        <v>73</v>
      </c>
      <c r="K789" s="71">
        <v>70</v>
      </c>
      <c r="L789" s="71">
        <v>73</v>
      </c>
      <c r="M789" s="71">
        <v>6</v>
      </c>
      <c r="N789" s="71">
        <v>26</v>
      </c>
      <c r="O789" s="71">
        <v>0</v>
      </c>
      <c r="P789" s="71">
        <v>11</v>
      </c>
      <c r="Q789" s="71">
        <v>58</v>
      </c>
      <c r="R789" s="71">
        <v>126</v>
      </c>
      <c r="S789" s="71" t="s">
        <v>359</v>
      </c>
      <c r="T789" s="73" t="s">
        <v>4353</v>
      </c>
      <c r="U789" s="71" t="s">
        <v>3818</v>
      </c>
      <c r="V789" s="71" t="b">
        <v>0</v>
      </c>
    </row>
    <row r="790" spans="1:22" ht="17.25">
      <c r="A790" s="70">
        <v>550</v>
      </c>
      <c r="B790" s="70" t="s">
        <v>2161</v>
      </c>
      <c r="C790" s="70" t="s">
        <v>4474</v>
      </c>
      <c r="D790" s="70" t="s">
        <v>2160</v>
      </c>
      <c r="E790" s="70" t="s">
        <v>35</v>
      </c>
      <c r="F790" s="71">
        <v>59</v>
      </c>
      <c r="G790" s="71">
        <v>21</v>
      </c>
      <c r="H790" s="72">
        <v>0.19166666666666668</v>
      </c>
      <c r="I790" s="71" t="b">
        <v>0</v>
      </c>
      <c r="J790" s="71">
        <v>58</v>
      </c>
      <c r="K790" s="71">
        <v>83</v>
      </c>
      <c r="L790" s="71">
        <v>92</v>
      </c>
      <c r="M790" s="71">
        <v>12</v>
      </c>
      <c r="N790" s="71">
        <v>1</v>
      </c>
      <c r="O790" s="71">
        <v>0</v>
      </c>
      <c r="P790" s="71">
        <v>4</v>
      </c>
      <c r="Q790" s="71">
        <v>58</v>
      </c>
      <c r="R790" s="71">
        <v>174</v>
      </c>
      <c r="S790" s="71" t="s">
        <v>26</v>
      </c>
      <c r="T790" s="73">
        <v>39170</v>
      </c>
      <c r="U790" s="71" t="s">
        <v>3600</v>
      </c>
      <c r="V790" s="71" t="b">
        <v>0</v>
      </c>
    </row>
    <row r="791" spans="1:22" ht="17.25">
      <c r="A791" s="70">
        <v>550</v>
      </c>
      <c r="B791" s="70" t="s">
        <v>2161</v>
      </c>
      <c r="C791" s="70" t="s">
        <v>37</v>
      </c>
      <c r="D791" s="70" t="s">
        <v>2160</v>
      </c>
      <c r="E791" s="70" t="s">
        <v>35</v>
      </c>
      <c r="F791" s="71">
        <v>59</v>
      </c>
      <c r="G791" s="71">
        <v>21</v>
      </c>
      <c r="H791" s="72">
        <v>0.19166666666666668</v>
      </c>
      <c r="I791" s="71" t="b">
        <v>0</v>
      </c>
      <c r="J791" s="71">
        <v>58</v>
      </c>
      <c r="K791" s="71">
        <v>83</v>
      </c>
      <c r="L791" s="71">
        <v>92</v>
      </c>
      <c r="M791" s="71">
        <v>12</v>
      </c>
      <c r="N791" s="71">
        <v>1</v>
      </c>
      <c r="O791" s="71">
        <v>0</v>
      </c>
      <c r="P791" s="71">
        <v>4</v>
      </c>
      <c r="Q791" s="71">
        <v>58</v>
      </c>
      <c r="R791" s="71">
        <v>174</v>
      </c>
      <c r="S791" s="71" t="s">
        <v>26</v>
      </c>
      <c r="T791" s="73">
        <v>39170</v>
      </c>
      <c r="U791" s="71" t="s">
        <v>3600</v>
      </c>
      <c r="V791" s="71" t="b">
        <v>0</v>
      </c>
    </row>
    <row r="792" spans="1:22" ht="17.25">
      <c r="A792" s="70">
        <v>551</v>
      </c>
      <c r="B792" s="70" t="s">
        <v>2159</v>
      </c>
      <c r="C792" s="70" t="s">
        <v>4555</v>
      </c>
      <c r="D792" s="70" t="s">
        <v>2158</v>
      </c>
      <c r="E792" s="70" t="s">
        <v>171</v>
      </c>
      <c r="F792" s="71">
        <v>10</v>
      </c>
      <c r="G792" s="71">
        <v>42</v>
      </c>
      <c r="H792" s="72" t="s">
        <v>4317</v>
      </c>
      <c r="I792" s="71" t="b">
        <v>0</v>
      </c>
      <c r="J792" s="71">
        <v>73</v>
      </c>
      <c r="K792" s="71">
        <v>68</v>
      </c>
      <c r="L792" s="71">
        <v>73</v>
      </c>
      <c r="M792" s="71">
        <v>5</v>
      </c>
      <c r="N792" s="71">
        <v>21</v>
      </c>
      <c r="O792" s="71">
        <v>0</v>
      </c>
      <c r="P792" s="71">
        <v>13</v>
      </c>
      <c r="Q792" s="71">
        <v>56</v>
      </c>
      <c r="R792" s="71">
        <v>120</v>
      </c>
      <c r="S792" s="71" t="s">
        <v>96</v>
      </c>
      <c r="T792" s="73" t="s">
        <v>4385</v>
      </c>
      <c r="U792" s="71" t="s">
        <v>3819</v>
      </c>
      <c r="V792" s="71" t="b">
        <v>0</v>
      </c>
    </row>
    <row r="793" spans="1:22" ht="17.25">
      <c r="A793" s="70">
        <v>551</v>
      </c>
      <c r="B793" s="70" t="s">
        <v>2159</v>
      </c>
      <c r="C793" s="70" t="s">
        <v>383</v>
      </c>
      <c r="D793" s="70" t="s">
        <v>2158</v>
      </c>
      <c r="E793" s="70" t="s">
        <v>171</v>
      </c>
      <c r="F793" s="71">
        <v>10</v>
      </c>
      <c r="G793" s="71">
        <v>42</v>
      </c>
      <c r="H793" s="72" t="s">
        <v>4317</v>
      </c>
      <c r="I793" s="71" t="b">
        <v>0</v>
      </c>
      <c r="J793" s="71">
        <v>73</v>
      </c>
      <c r="K793" s="71">
        <v>68</v>
      </c>
      <c r="L793" s="71">
        <v>73</v>
      </c>
      <c r="M793" s="71">
        <v>5</v>
      </c>
      <c r="N793" s="71">
        <v>21</v>
      </c>
      <c r="O793" s="71">
        <v>0</v>
      </c>
      <c r="P793" s="71">
        <v>13</v>
      </c>
      <c r="Q793" s="71">
        <v>56</v>
      </c>
      <c r="R793" s="71">
        <v>120</v>
      </c>
      <c r="S793" s="71" t="s">
        <v>96</v>
      </c>
      <c r="T793" s="73" t="s">
        <v>4385</v>
      </c>
      <c r="U793" s="71" t="s">
        <v>3819</v>
      </c>
      <c r="V793" s="71" t="b">
        <v>0</v>
      </c>
    </row>
    <row r="794" spans="1:22" ht="17.25">
      <c r="A794" s="70">
        <v>552</v>
      </c>
      <c r="B794" s="70" t="s">
        <v>2157</v>
      </c>
      <c r="C794" s="70" t="s">
        <v>67</v>
      </c>
      <c r="D794" s="70" t="s">
        <v>2156</v>
      </c>
      <c r="E794" s="70" t="s">
        <v>65</v>
      </c>
      <c r="F794" s="71">
        <v>74</v>
      </c>
      <c r="G794" s="71">
        <v>1</v>
      </c>
      <c r="H794" s="72">
        <v>0.11666666666666667</v>
      </c>
      <c r="I794" s="71" t="b">
        <v>1</v>
      </c>
      <c r="J794" s="71">
        <v>55</v>
      </c>
      <c r="K794" s="71">
        <v>92</v>
      </c>
      <c r="L794" s="71">
        <v>93</v>
      </c>
      <c r="M794" s="71">
        <v>4</v>
      </c>
      <c r="N794" s="71">
        <v>1</v>
      </c>
      <c r="O794" s="71">
        <v>0</v>
      </c>
      <c r="P794" s="71">
        <v>29</v>
      </c>
      <c r="Q794" s="71">
        <v>10</v>
      </c>
      <c r="R794" s="71">
        <v>145</v>
      </c>
      <c r="S794" s="71" t="s">
        <v>48</v>
      </c>
      <c r="T794" s="73">
        <v>45730</v>
      </c>
      <c r="U794" s="71" t="s">
        <v>3386</v>
      </c>
      <c r="V794" s="71" t="b">
        <v>0</v>
      </c>
    </row>
    <row r="795" spans="1:22" ht="17.25">
      <c r="A795" s="70">
        <v>553</v>
      </c>
      <c r="B795" s="70" t="s">
        <v>2155</v>
      </c>
      <c r="C795" s="70" t="s">
        <v>383</v>
      </c>
      <c r="D795" s="70" t="s">
        <v>1044</v>
      </c>
      <c r="E795" s="70" t="s">
        <v>381</v>
      </c>
      <c r="F795" s="71">
        <v>24</v>
      </c>
      <c r="G795" s="71">
        <v>4</v>
      </c>
      <c r="H795" s="72">
        <v>0.11666666666666667</v>
      </c>
      <c r="I795" s="71" t="b">
        <v>0</v>
      </c>
      <c r="J795" s="71">
        <v>86</v>
      </c>
      <c r="K795" s="71">
        <v>80</v>
      </c>
      <c r="L795" s="71">
        <v>94</v>
      </c>
      <c r="M795" s="71">
        <v>3</v>
      </c>
      <c r="N795" s="71">
        <v>5</v>
      </c>
      <c r="O795" s="71">
        <v>0</v>
      </c>
      <c r="P795" s="71">
        <v>9</v>
      </c>
      <c r="Q795" s="71">
        <v>87</v>
      </c>
      <c r="R795" s="71">
        <v>107</v>
      </c>
      <c r="S795" s="71" t="s">
        <v>96</v>
      </c>
      <c r="T795" s="73">
        <v>45709</v>
      </c>
      <c r="U795" s="71" t="s">
        <v>3820</v>
      </c>
      <c r="V795" s="71" t="b">
        <v>0</v>
      </c>
    </row>
    <row r="796" spans="1:22" ht="17.25">
      <c r="A796" s="70">
        <v>554</v>
      </c>
      <c r="B796" s="70" t="s">
        <v>2154</v>
      </c>
      <c r="C796" s="70" t="s">
        <v>1221</v>
      </c>
      <c r="D796" s="70" t="s">
        <v>2153</v>
      </c>
      <c r="E796" s="70" t="s">
        <v>44</v>
      </c>
      <c r="F796" s="71">
        <v>149</v>
      </c>
      <c r="G796" s="71">
        <v>24</v>
      </c>
      <c r="H796" s="72">
        <v>0.14444444444444443</v>
      </c>
      <c r="I796" s="71" t="b">
        <v>0</v>
      </c>
      <c r="J796" s="71">
        <v>57</v>
      </c>
      <c r="K796" s="71">
        <v>91</v>
      </c>
      <c r="L796" s="71">
        <v>92</v>
      </c>
      <c r="M796" s="71">
        <v>13</v>
      </c>
      <c r="N796" s="71">
        <v>6</v>
      </c>
      <c r="O796" s="71">
        <v>0</v>
      </c>
      <c r="P796" s="71">
        <v>16</v>
      </c>
      <c r="Q796" s="71">
        <v>42</v>
      </c>
      <c r="R796" s="71">
        <v>116</v>
      </c>
      <c r="S796" s="71" t="s">
        <v>135</v>
      </c>
      <c r="T796" s="73">
        <v>29063</v>
      </c>
      <c r="U796" s="71" t="s">
        <v>3821</v>
      </c>
      <c r="V796" s="71" t="b">
        <v>0</v>
      </c>
    </row>
    <row r="797" spans="1:22" ht="17.25">
      <c r="A797" s="70">
        <v>555</v>
      </c>
      <c r="B797" s="70" t="s">
        <v>2152</v>
      </c>
      <c r="C797" s="70" t="s">
        <v>2151</v>
      </c>
      <c r="D797" s="70" t="s">
        <v>2150</v>
      </c>
      <c r="E797" s="70" t="s">
        <v>2149</v>
      </c>
      <c r="F797" s="71">
        <v>153</v>
      </c>
      <c r="G797" s="71">
        <v>5</v>
      </c>
      <c r="H797" s="72">
        <v>0.15833333333333333</v>
      </c>
      <c r="I797" s="71" t="b">
        <v>0</v>
      </c>
      <c r="J797" s="71">
        <v>64</v>
      </c>
      <c r="K797" s="71">
        <v>58</v>
      </c>
      <c r="L797" s="71">
        <v>84</v>
      </c>
      <c r="M797" s="71">
        <v>21</v>
      </c>
      <c r="N797" s="71">
        <v>47</v>
      </c>
      <c r="O797" s="71">
        <v>0</v>
      </c>
      <c r="P797" s="71">
        <v>10</v>
      </c>
      <c r="Q797" s="71">
        <v>91</v>
      </c>
      <c r="R797" s="71">
        <v>156</v>
      </c>
      <c r="S797" s="71" t="s">
        <v>74</v>
      </c>
      <c r="T797" s="73">
        <v>45618</v>
      </c>
      <c r="U797" s="71" t="s">
        <v>3822</v>
      </c>
      <c r="V797" s="71" t="b">
        <v>0</v>
      </c>
    </row>
    <row r="798" spans="1:22" ht="17.25">
      <c r="A798" s="70">
        <v>556</v>
      </c>
      <c r="B798" s="70" t="s">
        <v>2148</v>
      </c>
      <c r="C798" s="70" t="s">
        <v>229</v>
      </c>
      <c r="D798" s="70" t="s">
        <v>2147</v>
      </c>
      <c r="E798" s="70" t="s">
        <v>227</v>
      </c>
      <c r="F798" s="71">
        <v>76</v>
      </c>
      <c r="G798" s="71">
        <v>20</v>
      </c>
      <c r="H798" s="72">
        <v>0.12847222222222221</v>
      </c>
      <c r="I798" s="71" t="b">
        <v>0</v>
      </c>
      <c r="J798" s="71">
        <v>62</v>
      </c>
      <c r="K798" s="71">
        <v>65</v>
      </c>
      <c r="L798" s="71">
        <v>76</v>
      </c>
      <c r="M798" s="71">
        <v>5</v>
      </c>
      <c r="N798" s="71">
        <v>35</v>
      </c>
      <c r="O798" s="71">
        <v>0</v>
      </c>
      <c r="P798" s="71">
        <v>10</v>
      </c>
      <c r="Q798" s="71">
        <v>52</v>
      </c>
      <c r="R798" s="71">
        <v>95</v>
      </c>
      <c r="S798" s="71" t="s">
        <v>96</v>
      </c>
      <c r="T798" s="73">
        <v>45583</v>
      </c>
      <c r="U798" s="71" t="s">
        <v>3823</v>
      </c>
      <c r="V798" s="71" t="b">
        <v>0</v>
      </c>
    </row>
    <row r="799" spans="1:22" ht="17.25">
      <c r="A799" s="70">
        <v>557</v>
      </c>
      <c r="B799" s="70" t="s">
        <v>2146</v>
      </c>
      <c r="C799" s="70" t="s">
        <v>1276</v>
      </c>
      <c r="D799" s="70" t="s">
        <v>2145</v>
      </c>
      <c r="E799" s="70" t="s">
        <v>1274</v>
      </c>
      <c r="F799" s="71">
        <v>54</v>
      </c>
      <c r="G799" s="71">
        <v>31</v>
      </c>
      <c r="H799" s="72">
        <v>0.13750000000000001</v>
      </c>
      <c r="I799" s="71" t="b">
        <v>0</v>
      </c>
      <c r="J799" s="71">
        <v>36</v>
      </c>
      <c r="K799" s="71">
        <v>54</v>
      </c>
      <c r="L799" s="71">
        <v>90</v>
      </c>
      <c r="M799" s="71">
        <v>5</v>
      </c>
      <c r="N799" s="71">
        <v>34</v>
      </c>
      <c r="O799" s="71">
        <v>0</v>
      </c>
      <c r="P799" s="71">
        <v>14</v>
      </c>
      <c r="Q799" s="71">
        <v>30</v>
      </c>
      <c r="R799" s="71">
        <v>78</v>
      </c>
      <c r="S799" s="71" t="s">
        <v>96</v>
      </c>
      <c r="T799" s="73">
        <v>44869</v>
      </c>
      <c r="U799" s="71" t="s">
        <v>3824</v>
      </c>
      <c r="V799" s="71" t="b">
        <v>0</v>
      </c>
    </row>
    <row r="800" spans="1:22" ht="17.25">
      <c r="A800" s="70">
        <v>558</v>
      </c>
      <c r="B800" s="70" t="s">
        <v>2144</v>
      </c>
      <c r="C800" s="70" t="s">
        <v>106</v>
      </c>
      <c r="D800" s="70" t="s">
        <v>2143</v>
      </c>
      <c r="E800" s="70" t="s">
        <v>104</v>
      </c>
      <c r="F800" s="71">
        <v>110</v>
      </c>
      <c r="G800" s="71">
        <v>3</v>
      </c>
      <c r="H800" s="72" t="s">
        <v>4320</v>
      </c>
      <c r="I800" s="71" t="b">
        <v>0</v>
      </c>
      <c r="J800" s="71">
        <v>56</v>
      </c>
      <c r="K800" s="71">
        <v>35</v>
      </c>
      <c r="L800" s="71">
        <v>68</v>
      </c>
      <c r="M800" s="71">
        <v>4</v>
      </c>
      <c r="N800" s="71">
        <v>80</v>
      </c>
      <c r="O800" s="71">
        <v>0</v>
      </c>
      <c r="P800" s="71">
        <v>10</v>
      </c>
      <c r="Q800" s="71">
        <v>32</v>
      </c>
      <c r="R800" s="71">
        <v>90</v>
      </c>
      <c r="S800" s="71" t="s">
        <v>96</v>
      </c>
      <c r="T800" s="73" t="s">
        <v>4358</v>
      </c>
      <c r="U800" s="71" t="s">
        <v>3825</v>
      </c>
      <c r="V800" s="71" t="b">
        <v>0</v>
      </c>
    </row>
    <row r="801" spans="1:22" ht="17.25">
      <c r="A801" s="70">
        <v>559</v>
      </c>
      <c r="B801" s="70" t="s">
        <v>2142</v>
      </c>
      <c r="C801" s="70" t="s">
        <v>4481</v>
      </c>
      <c r="D801" s="70" t="s">
        <v>2141</v>
      </c>
      <c r="E801" s="70" t="s">
        <v>188</v>
      </c>
      <c r="F801" s="71">
        <v>113</v>
      </c>
      <c r="G801" s="71">
        <v>1</v>
      </c>
      <c r="H801" s="72" t="s">
        <v>4315</v>
      </c>
      <c r="I801" s="71" t="b">
        <v>1</v>
      </c>
      <c r="J801" s="71">
        <v>80</v>
      </c>
      <c r="K801" s="71">
        <v>65</v>
      </c>
      <c r="L801" s="71">
        <v>73</v>
      </c>
      <c r="M801" s="71">
        <v>8</v>
      </c>
      <c r="N801" s="71">
        <v>24</v>
      </c>
      <c r="O801" s="71">
        <v>0</v>
      </c>
      <c r="P801" s="71">
        <v>14</v>
      </c>
      <c r="Q801" s="71">
        <v>71</v>
      </c>
      <c r="R801" s="71">
        <v>98</v>
      </c>
      <c r="S801" s="71" t="s">
        <v>128</v>
      </c>
      <c r="T801" s="73" t="s">
        <v>4385</v>
      </c>
      <c r="U801" s="71" t="s">
        <v>3826</v>
      </c>
      <c r="V801" s="71" t="b">
        <v>0</v>
      </c>
    </row>
    <row r="802" spans="1:22" ht="17.25">
      <c r="A802" s="70">
        <v>559</v>
      </c>
      <c r="B802" s="70" t="s">
        <v>2142</v>
      </c>
      <c r="C802" s="70" t="s">
        <v>2616</v>
      </c>
      <c r="D802" s="70" t="s">
        <v>2141</v>
      </c>
      <c r="E802" s="70" t="s">
        <v>188</v>
      </c>
      <c r="F802" s="71">
        <v>113</v>
      </c>
      <c r="G802" s="71">
        <v>1</v>
      </c>
      <c r="H802" s="72" t="s">
        <v>4315</v>
      </c>
      <c r="I802" s="71" t="b">
        <v>1</v>
      </c>
      <c r="J802" s="71">
        <v>80</v>
      </c>
      <c r="K802" s="71">
        <v>65</v>
      </c>
      <c r="L802" s="71">
        <v>73</v>
      </c>
      <c r="M802" s="71">
        <v>8</v>
      </c>
      <c r="N802" s="71">
        <v>24</v>
      </c>
      <c r="O802" s="71">
        <v>0</v>
      </c>
      <c r="P802" s="71">
        <v>14</v>
      </c>
      <c r="Q802" s="71">
        <v>71</v>
      </c>
      <c r="R802" s="71">
        <v>98</v>
      </c>
      <c r="S802" s="71" t="s">
        <v>128</v>
      </c>
      <c r="T802" s="73" t="s">
        <v>4385</v>
      </c>
      <c r="U802" s="71" t="s">
        <v>3826</v>
      </c>
      <c r="V802" s="71" t="b">
        <v>0</v>
      </c>
    </row>
    <row r="803" spans="1:22" ht="17.25">
      <c r="A803" s="70">
        <v>560</v>
      </c>
      <c r="B803" s="70" t="s">
        <v>2140</v>
      </c>
      <c r="C803" s="70" t="s">
        <v>2139</v>
      </c>
      <c r="D803" s="70" t="s">
        <v>2138</v>
      </c>
      <c r="E803" s="70" t="s">
        <v>2137</v>
      </c>
      <c r="F803" s="71">
        <v>149</v>
      </c>
      <c r="G803" s="71">
        <v>1</v>
      </c>
      <c r="H803" s="72">
        <v>0.12847222222222221</v>
      </c>
      <c r="I803" s="71" t="b">
        <v>0</v>
      </c>
      <c r="J803" s="71">
        <v>68</v>
      </c>
      <c r="K803" s="71">
        <v>70</v>
      </c>
      <c r="L803" s="71">
        <v>78</v>
      </c>
      <c r="M803" s="71">
        <v>8</v>
      </c>
      <c r="N803" s="71">
        <v>20</v>
      </c>
      <c r="O803" s="71">
        <v>0</v>
      </c>
      <c r="P803" s="71">
        <v>11</v>
      </c>
      <c r="Q803" s="71">
        <v>58</v>
      </c>
      <c r="R803" s="71">
        <v>105</v>
      </c>
      <c r="S803" s="71" t="s">
        <v>96</v>
      </c>
      <c r="T803" s="73">
        <v>45793</v>
      </c>
      <c r="U803" s="71" t="s">
        <v>3827</v>
      </c>
      <c r="V803" s="71" t="b">
        <v>0</v>
      </c>
    </row>
    <row r="804" spans="1:22" ht="17.25">
      <c r="A804" s="70">
        <v>561</v>
      </c>
      <c r="B804" s="70" t="s">
        <v>2136</v>
      </c>
      <c r="C804" s="70" t="s">
        <v>366</v>
      </c>
      <c r="D804" s="70" t="s">
        <v>2135</v>
      </c>
      <c r="E804" s="70" t="s">
        <v>44</v>
      </c>
      <c r="F804" s="71">
        <v>181</v>
      </c>
      <c r="G804" s="71">
        <v>3</v>
      </c>
      <c r="H804" s="72">
        <v>0.1875</v>
      </c>
      <c r="I804" s="71" t="b">
        <v>0</v>
      </c>
      <c r="J804" s="71">
        <v>86</v>
      </c>
      <c r="K804" s="71">
        <v>61</v>
      </c>
      <c r="L804" s="71">
        <v>88</v>
      </c>
      <c r="M804" s="71">
        <v>8</v>
      </c>
      <c r="N804" s="71">
        <v>1</v>
      </c>
      <c r="O804" s="71">
        <v>0</v>
      </c>
      <c r="P804" s="71">
        <v>3</v>
      </c>
      <c r="Q804" s="71">
        <v>93</v>
      </c>
      <c r="R804" s="71">
        <v>115</v>
      </c>
      <c r="S804" s="71" t="s">
        <v>1126</v>
      </c>
      <c r="T804" s="73">
        <v>41953</v>
      </c>
      <c r="U804" s="71" t="s">
        <v>3828</v>
      </c>
      <c r="V804" s="71" t="b">
        <v>0</v>
      </c>
    </row>
    <row r="805" spans="1:22" ht="17.25">
      <c r="A805" s="70">
        <v>561</v>
      </c>
      <c r="B805" s="70" t="s">
        <v>2136</v>
      </c>
      <c r="C805" s="70" t="s">
        <v>4482</v>
      </c>
      <c r="D805" s="70" t="s">
        <v>2135</v>
      </c>
      <c r="E805" s="70" t="s">
        <v>44</v>
      </c>
      <c r="F805" s="71">
        <v>181</v>
      </c>
      <c r="G805" s="71">
        <v>3</v>
      </c>
      <c r="H805" s="72">
        <v>0.1875</v>
      </c>
      <c r="I805" s="71" t="b">
        <v>0</v>
      </c>
      <c r="J805" s="71">
        <v>86</v>
      </c>
      <c r="K805" s="71">
        <v>61</v>
      </c>
      <c r="L805" s="71">
        <v>88</v>
      </c>
      <c r="M805" s="71">
        <v>8</v>
      </c>
      <c r="N805" s="71">
        <v>1</v>
      </c>
      <c r="O805" s="71">
        <v>0</v>
      </c>
      <c r="P805" s="71">
        <v>3</v>
      </c>
      <c r="Q805" s="71">
        <v>93</v>
      </c>
      <c r="R805" s="71">
        <v>115</v>
      </c>
      <c r="S805" s="71" t="s">
        <v>1126</v>
      </c>
      <c r="T805" s="73">
        <v>41953</v>
      </c>
      <c r="U805" s="71" t="s">
        <v>3828</v>
      </c>
      <c r="V805" s="71" t="b">
        <v>0</v>
      </c>
    </row>
    <row r="806" spans="1:22" ht="17.25">
      <c r="A806" s="70">
        <v>562</v>
      </c>
      <c r="B806" s="70" t="s">
        <v>2134</v>
      </c>
      <c r="C806" s="70" t="s">
        <v>2133</v>
      </c>
      <c r="D806" s="70" t="s">
        <v>2132</v>
      </c>
      <c r="E806" s="70" t="s">
        <v>2131</v>
      </c>
      <c r="F806" s="71">
        <v>134</v>
      </c>
      <c r="G806" s="71">
        <v>2</v>
      </c>
      <c r="H806" s="72">
        <v>0.11666666666666667</v>
      </c>
      <c r="I806" s="71" t="b">
        <v>1</v>
      </c>
      <c r="J806" s="71">
        <v>80</v>
      </c>
      <c r="K806" s="71">
        <v>75</v>
      </c>
      <c r="L806" s="71">
        <v>80</v>
      </c>
      <c r="M806" s="71">
        <v>12</v>
      </c>
      <c r="N806" s="71">
        <v>12</v>
      </c>
      <c r="O806" s="71">
        <v>0</v>
      </c>
      <c r="P806" s="71">
        <v>12</v>
      </c>
      <c r="Q806" s="71">
        <v>62</v>
      </c>
      <c r="R806" s="71">
        <v>100</v>
      </c>
      <c r="S806" s="71" t="s">
        <v>128</v>
      </c>
      <c r="T806" s="73">
        <v>45765</v>
      </c>
      <c r="U806" s="71" t="s">
        <v>3829</v>
      </c>
      <c r="V806" s="71" t="b">
        <v>0</v>
      </c>
    </row>
    <row r="807" spans="1:22" ht="17.25">
      <c r="A807" s="70">
        <v>564</v>
      </c>
      <c r="B807" s="70" t="s">
        <v>2129</v>
      </c>
      <c r="C807" s="70" t="s">
        <v>4427</v>
      </c>
      <c r="D807" s="70" t="s">
        <v>2128</v>
      </c>
      <c r="E807" s="70" t="s">
        <v>200</v>
      </c>
      <c r="F807" s="71">
        <v>34</v>
      </c>
      <c r="G807" s="71">
        <v>30</v>
      </c>
      <c r="H807" s="72">
        <v>0.10277777777777777</v>
      </c>
      <c r="I807" s="71" t="b">
        <v>0</v>
      </c>
      <c r="J807" s="71">
        <v>68</v>
      </c>
      <c r="K807" s="71">
        <v>71</v>
      </c>
      <c r="L807" s="71">
        <v>92</v>
      </c>
      <c r="M807" s="71">
        <v>3</v>
      </c>
      <c r="N807" s="71">
        <v>4</v>
      </c>
      <c r="O807" s="71">
        <v>0</v>
      </c>
      <c r="P807" s="71">
        <v>23</v>
      </c>
      <c r="Q807" s="71">
        <v>55</v>
      </c>
      <c r="R807" s="71">
        <v>130</v>
      </c>
      <c r="S807" s="71" t="s">
        <v>274</v>
      </c>
      <c r="T807" s="73">
        <v>45387</v>
      </c>
      <c r="U807" s="71" t="s">
        <v>3830</v>
      </c>
      <c r="V807" s="71" t="b">
        <v>0</v>
      </c>
    </row>
    <row r="808" spans="1:22" ht="17.25">
      <c r="A808" s="70">
        <v>564</v>
      </c>
      <c r="B808" s="70" t="s">
        <v>2129</v>
      </c>
      <c r="C808" s="70" t="s">
        <v>2211</v>
      </c>
      <c r="D808" s="70" t="s">
        <v>2128</v>
      </c>
      <c r="E808" s="70" t="s">
        <v>200</v>
      </c>
      <c r="F808" s="71">
        <v>34</v>
      </c>
      <c r="G808" s="71">
        <v>30</v>
      </c>
      <c r="H808" s="72">
        <v>0.10277777777777777</v>
      </c>
      <c r="I808" s="71" t="b">
        <v>0</v>
      </c>
      <c r="J808" s="71">
        <v>68</v>
      </c>
      <c r="K808" s="71">
        <v>71</v>
      </c>
      <c r="L808" s="71">
        <v>92</v>
      </c>
      <c r="M808" s="71">
        <v>3</v>
      </c>
      <c r="N808" s="71">
        <v>4</v>
      </c>
      <c r="O808" s="71">
        <v>0</v>
      </c>
      <c r="P808" s="71">
        <v>23</v>
      </c>
      <c r="Q808" s="71">
        <v>55</v>
      </c>
      <c r="R808" s="71">
        <v>130</v>
      </c>
      <c r="S808" s="71" t="s">
        <v>274</v>
      </c>
      <c r="T808" s="73">
        <v>45387</v>
      </c>
      <c r="U808" s="71" t="s">
        <v>3830</v>
      </c>
      <c r="V808" s="71" t="b">
        <v>0</v>
      </c>
    </row>
    <row r="809" spans="1:22" ht="17.25">
      <c r="A809" s="70">
        <v>565</v>
      </c>
      <c r="B809" s="70" t="s">
        <v>2127</v>
      </c>
      <c r="C809" s="70" t="s">
        <v>2126</v>
      </c>
      <c r="D809" s="70" t="s">
        <v>2125</v>
      </c>
      <c r="E809" s="70" t="s">
        <v>2111</v>
      </c>
      <c r="F809" s="71">
        <v>175</v>
      </c>
      <c r="G809" s="71">
        <v>2</v>
      </c>
      <c r="H809" s="72">
        <v>0.12847222222222221</v>
      </c>
      <c r="I809" s="71" t="b">
        <v>0</v>
      </c>
      <c r="J809" s="71">
        <v>62</v>
      </c>
      <c r="K809" s="71">
        <v>62</v>
      </c>
      <c r="L809" s="71">
        <v>76</v>
      </c>
      <c r="M809" s="71">
        <v>6</v>
      </c>
      <c r="N809" s="71">
        <v>30</v>
      </c>
      <c r="O809" s="71">
        <v>0</v>
      </c>
      <c r="P809" s="71">
        <v>10</v>
      </c>
      <c r="Q809" s="71">
        <v>48</v>
      </c>
      <c r="R809" s="71">
        <v>100</v>
      </c>
      <c r="S809" s="71" t="s">
        <v>1028</v>
      </c>
      <c r="T809" s="73">
        <v>43147</v>
      </c>
      <c r="U809" s="71" t="s">
        <v>3831</v>
      </c>
      <c r="V809" s="71" t="b">
        <v>0</v>
      </c>
    </row>
    <row r="810" spans="1:22" ht="17.25">
      <c r="A810" s="70">
        <v>566</v>
      </c>
      <c r="B810" s="70" t="s">
        <v>2124</v>
      </c>
      <c r="C810" s="70" t="s">
        <v>485</v>
      </c>
      <c r="D810" s="70" t="s">
        <v>2123</v>
      </c>
      <c r="E810" s="70" t="s">
        <v>2122</v>
      </c>
      <c r="F810" s="71">
        <v>61</v>
      </c>
      <c r="G810" s="71">
        <v>23</v>
      </c>
      <c r="H810" s="72">
        <v>0.12847222222222221</v>
      </c>
      <c r="I810" s="71" t="b">
        <v>1</v>
      </c>
      <c r="J810" s="71">
        <v>80</v>
      </c>
      <c r="K810" s="71">
        <v>75</v>
      </c>
      <c r="L810" s="71">
        <v>80</v>
      </c>
      <c r="M810" s="71">
        <v>10</v>
      </c>
      <c r="N810" s="71">
        <v>12</v>
      </c>
      <c r="O810" s="71">
        <v>0</v>
      </c>
      <c r="P810" s="71">
        <v>12</v>
      </c>
      <c r="Q810" s="71">
        <v>60</v>
      </c>
      <c r="R810" s="71">
        <v>108</v>
      </c>
      <c r="S810" s="71" t="s">
        <v>61</v>
      </c>
      <c r="T810" s="73">
        <v>45730</v>
      </c>
      <c r="U810" s="71" t="s">
        <v>3832</v>
      </c>
      <c r="V810" s="71" t="b">
        <v>0</v>
      </c>
    </row>
    <row r="811" spans="1:22" ht="17.25">
      <c r="A811" s="70">
        <v>567</v>
      </c>
      <c r="B811" s="70" t="s">
        <v>2121</v>
      </c>
      <c r="C811" s="70" t="s">
        <v>430</v>
      </c>
      <c r="D811" s="70" t="s">
        <v>2120</v>
      </c>
      <c r="E811" s="70" t="s">
        <v>75</v>
      </c>
      <c r="F811" s="71">
        <v>72</v>
      </c>
      <c r="G811" s="71">
        <v>2</v>
      </c>
      <c r="H811" s="72">
        <v>0.11666666666666667</v>
      </c>
      <c r="I811" s="71" t="b">
        <v>1</v>
      </c>
      <c r="J811" s="71">
        <v>34</v>
      </c>
      <c r="K811" s="71">
        <v>37</v>
      </c>
      <c r="L811" s="71">
        <v>85</v>
      </c>
      <c r="M811" s="71">
        <v>4</v>
      </c>
      <c r="N811" s="71">
        <v>78</v>
      </c>
      <c r="O811" s="71">
        <v>0</v>
      </c>
      <c r="P811" s="71">
        <v>9</v>
      </c>
      <c r="Q811" s="71">
        <v>40</v>
      </c>
      <c r="R811" s="71">
        <v>81</v>
      </c>
      <c r="S811" s="71" t="s">
        <v>96</v>
      </c>
      <c r="T811" s="73">
        <v>45359</v>
      </c>
      <c r="U811" s="71" t="s">
        <v>3833</v>
      </c>
      <c r="V811" s="71" t="b">
        <v>0</v>
      </c>
    </row>
    <row r="812" spans="1:22" ht="17.25">
      <c r="A812" s="70">
        <v>568</v>
      </c>
      <c r="B812" s="70" t="s">
        <v>2119</v>
      </c>
      <c r="C812" s="70" t="s">
        <v>4659</v>
      </c>
      <c r="D812" s="70" t="s">
        <v>1141</v>
      </c>
      <c r="E812" s="70" t="s">
        <v>2118</v>
      </c>
      <c r="F812" s="71">
        <v>22</v>
      </c>
      <c r="G812" s="71">
        <v>30</v>
      </c>
      <c r="H812" s="72">
        <v>0.11666666666666667</v>
      </c>
      <c r="I812" s="71" t="b">
        <v>0</v>
      </c>
      <c r="J812" s="71">
        <v>71</v>
      </c>
      <c r="K812" s="71">
        <v>69</v>
      </c>
      <c r="L812" s="71">
        <v>88</v>
      </c>
      <c r="M812" s="71">
        <v>4</v>
      </c>
      <c r="N812" s="71">
        <v>2</v>
      </c>
      <c r="O812" s="71">
        <v>0</v>
      </c>
      <c r="P812" s="71">
        <v>11</v>
      </c>
      <c r="Q812" s="71">
        <v>16</v>
      </c>
      <c r="R812" s="71">
        <v>107</v>
      </c>
      <c r="S812" s="71" t="s">
        <v>1012</v>
      </c>
      <c r="T812" s="73">
        <v>45702</v>
      </c>
      <c r="U812" s="71" t="s">
        <v>3834</v>
      </c>
      <c r="V812" s="71" t="b">
        <v>0</v>
      </c>
    </row>
    <row r="813" spans="1:22" ht="17.25">
      <c r="A813" s="70">
        <v>568</v>
      </c>
      <c r="B813" s="70" t="s">
        <v>2119</v>
      </c>
      <c r="C813" s="70" t="s">
        <v>2118</v>
      </c>
      <c r="D813" s="70" t="s">
        <v>1141</v>
      </c>
      <c r="E813" s="70" t="s">
        <v>2118</v>
      </c>
      <c r="F813" s="71">
        <v>22</v>
      </c>
      <c r="G813" s="71">
        <v>30</v>
      </c>
      <c r="H813" s="72">
        <v>0.11666666666666667</v>
      </c>
      <c r="I813" s="71" t="b">
        <v>0</v>
      </c>
      <c r="J813" s="71">
        <v>71</v>
      </c>
      <c r="K813" s="71">
        <v>69</v>
      </c>
      <c r="L813" s="71">
        <v>88</v>
      </c>
      <c r="M813" s="71">
        <v>4</v>
      </c>
      <c r="N813" s="71">
        <v>2</v>
      </c>
      <c r="O813" s="71">
        <v>0</v>
      </c>
      <c r="P813" s="71">
        <v>11</v>
      </c>
      <c r="Q813" s="71">
        <v>16</v>
      </c>
      <c r="R813" s="71">
        <v>107</v>
      </c>
      <c r="S813" s="71" t="s">
        <v>1012</v>
      </c>
      <c r="T813" s="73">
        <v>45702</v>
      </c>
      <c r="U813" s="71" t="s">
        <v>3834</v>
      </c>
      <c r="V813" s="71" t="b">
        <v>0</v>
      </c>
    </row>
    <row r="814" spans="1:22" ht="17.25">
      <c r="A814" s="70">
        <v>570</v>
      </c>
      <c r="B814" s="70" t="s">
        <v>2114</v>
      </c>
      <c r="C814" s="70" t="s">
        <v>2113</v>
      </c>
      <c r="D814" s="70" t="s">
        <v>2112</v>
      </c>
      <c r="E814" s="70" t="s">
        <v>2111</v>
      </c>
      <c r="F814" s="71">
        <v>96</v>
      </c>
      <c r="G814" s="71">
        <v>1</v>
      </c>
      <c r="H814" s="72">
        <v>0.13750000000000001</v>
      </c>
      <c r="I814" s="71" t="b">
        <v>0</v>
      </c>
      <c r="J814" s="71">
        <v>62</v>
      </c>
      <c r="K814" s="71">
        <v>65</v>
      </c>
      <c r="L814" s="71">
        <v>78</v>
      </c>
      <c r="M814" s="71">
        <v>5</v>
      </c>
      <c r="N814" s="71">
        <v>30</v>
      </c>
      <c r="O814" s="71">
        <v>0</v>
      </c>
      <c r="P814" s="71">
        <v>14</v>
      </c>
      <c r="Q814" s="71">
        <v>78</v>
      </c>
      <c r="R814" s="71">
        <v>120</v>
      </c>
      <c r="S814" s="71" t="s">
        <v>29</v>
      </c>
      <c r="T814" s="73">
        <v>44166</v>
      </c>
      <c r="U814" s="71" t="s">
        <v>3835</v>
      </c>
      <c r="V814" s="71" t="b">
        <v>1</v>
      </c>
    </row>
    <row r="815" spans="1:22" ht="17.25">
      <c r="A815" s="70">
        <v>571</v>
      </c>
      <c r="B815" s="70" t="s">
        <v>2110</v>
      </c>
      <c r="C815" s="70" t="s">
        <v>720</v>
      </c>
      <c r="D815" s="70" t="s">
        <v>2109</v>
      </c>
      <c r="E815" s="70" t="s">
        <v>718</v>
      </c>
      <c r="F815" s="71">
        <v>7</v>
      </c>
      <c r="G815" s="71">
        <v>63</v>
      </c>
      <c r="H815" s="72">
        <v>0.1388888888888889</v>
      </c>
      <c r="I815" s="71" t="b">
        <v>1</v>
      </c>
      <c r="J815" s="71">
        <v>80</v>
      </c>
      <c r="K815" s="71">
        <v>55</v>
      </c>
      <c r="L815" s="71">
        <v>90</v>
      </c>
      <c r="M815" s="71">
        <v>4</v>
      </c>
      <c r="N815" s="71">
        <v>10</v>
      </c>
      <c r="O815" s="71">
        <v>0</v>
      </c>
      <c r="P815" s="71">
        <v>12</v>
      </c>
      <c r="Q815" s="71">
        <v>65</v>
      </c>
      <c r="R815" s="71">
        <v>111</v>
      </c>
      <c r="S815" s="71" t="s">
        <v>96</v>
      </c>
      <c r="T815" s="73">
        <v>45625</v>
      </c>
      <c r="U815" s="71" t="s">
        <v>3836</v>
      </c>
      <c r="V815" s="71" t="b">
        <v>0</v>
      </c>
    </row>
    <row r="816" spans="1:22" ht="17.25">
      <c r="A816" s="70">
        <v>572</v>
      </c>
      <c r="B816" s="70" t="s">
        <v>2108</v>
      </c>
      <c r="C816" s="70" t="s">
        <v>198</v>
      </c>
      <c r="D816" s="70" t="s">
        <v>2107</v>
      </c>
      <c r="E816" s="70" t="s">
        <v>196</v>
      </c>
      <c r="F816" s="71">
        <v>174</v>
      </c>
      <c r="G816" s="71">
        <v>2</v>
      </c>
      <c r="H816" s="72" t="s">
        <v>4334</v>
      </c>
      <c r="I816" s="71" t="b">
        <v>0</v>
      </c>
      <c r="J816" s="71">
        <v>56</v>
      </c>
      <c r="K816" s="71">
        <v>48</v>
      </c>
      <c r="L816" s="71">
        <v>71</v>
      </c>
      <c r="M816" s="71">
        <v>4</v>
      </c>
      <c r="N816" s="71">
        <v>54</v>
      </c>
      <c r="O816" s="71">
        <v>0</v>
      </c>
      <c r="P816" s="71">
        <v>11</v>
      </c>
      <c r="Q816" s="71">
        <v>39</v>
      </c>
      <c r="R816" s="71">
        <v>115</v>
      </c>
      <c r="S816" s="71" t="s">
        <v>195</v>
      </c>
      <c r="T816" s="73" t="s">
        <v>4337</v>
      </c>
      <c r="U816" s="71" t="s">
        <v>3837</v>
      </c>
      <c r="V816" s="71" t="b">
        <v>0</v>
      </c>
    </row>
    <row r="817" spans="1:22" ht="17.25">
      <c r="A817" s="70">
        <v>573</v>
      </c>
      <c r="B817" s="70" t="s">
        <v>2106</v>
      </c>
      <c r="C817" s="70" t="s">
        <v>106</v>
      </c>
      <c r="D817" s="70" t="s">
        <v>2105</v>
      </c>
      <c r="E817" s="70" t="s">
        <v>104</v>
      </c>
      <c r="F817" s="71">
        <v>67</v>
      </c>
      <c r="G817" s="71">
        <v>4</v>
      </c>
      <c r="H817" s="72" t="s">
        <v>4320</v>
      </c>
      <c r="I817" s="71" t="b">
        <v>0</v>
      </c>
      <c r="J817" s="71">
        <v>50</v>
      </c>
      <c r="K817" s="71">
        <v>41</v>
      </c>
      <c r="L817" s="71">
        <v>70</v>
      </c>
      <c r="M817" s="71">
        <v>5</v>
      </c>
      <c r="N817" s="71">
        <v>71</v>
      </c>
      <c r="O817" s="71">
        <v>0</v>
      </c>
      <c r="P817" s="71">
        <v>13</v>
      </c>
      <c r="Q817" s="71">
        <v>26</v>
      </c>
      <c r="R817" s="71">
        <v>128</v>
      </c>
      <c r="S817" s="71" t="s">
        <v>96</v>
      </c>
      <c r="T817" s="73" t="s">
        <v>4358</v>
      </c>
      <c r="U817" s="71" t="s">
        <v>3838</v>
      </c>
      <c r="V817" s="71" t="b">
        <v>0</v>
      </c>
    </row>
    <row r="818" spans="1:22" ht="17.25">
      <c r="A818" s="70">
        <v>575</v>
      </c>
      <c r="B818" s="70" t="s">
        <v>2101</v>
      </c>
      <c r="C818" s="70" t="s">
        <v>229</v>
      </c>
      <c r="D818" s="70" t="s">
        <v>2100</v>
      </c>
      <c r="E818" s="70" t="s">
        <v>227</v>
      </c>
      <c r="F818" s="71">
        <v>150</v>
      </c>
      <c r="G818" s="71">
        <v>7</v>
      </c>
      <c r="H818" s="72">
        <v>0.12847222222222221</v>
      </c>
      <c r="I818" s="71" t="b">
        <v>0</v>
      </c>
      <c r="J818" s="71">
        <v>63</v>
      </c>
      <c r="K818" s="71">
        <v>75</v>
      </c>
      <c r="L818" s="71">
        <v>90</v>
      </c>
      <c r="M818" s="71">
        <v>4</v>
      </c>
      <c r="N818" s="71">
        <v>15</v>
      </c>
      <c r="O818" s="71">
        <v>0</v>
      </c>
      <c r="P818" s="71">
        <v>13</v>
      </c>
      <c r="Q818" s="71">
        <v>28</v>
      </c>
      <c r="R818" s="71">
        <v>90</v>
      </c>
      <c r="S818" s="71" t="s">
        <v>96</v>
      </c>
      <c r="T818" s="73">
        <v>45583</v>
      </c>
      <c r="U818" s="71" t="s">
        <v>3839</v>
      </c>
      <c r="V818" s="71" t="b">
        <v>0</v>
      </c>
    </row>
    <row r="819" spans="1:22" ht="17.25">
      <c r="A819" s="70">
        <v>576</v>
      </c>
      <c r="B819" s="70" t="s">
        <v>2099</v>
      </c>
      <c r="C819" s="70" t="s">
        <v>485</v>
      </c>
      <c r="D819" s="70" t="s">
        <v>2098</v>
      </c>
      <c r="E819" s="70" t="s">
        <v>483</v>
      </c>
      <c r="F819" s="71">
        <v>40</v>
      </c>
      <c r="G819" s="71">
        <v>7</v>
      </c>
      <c r="H819" s="72">
        <v>0.12847222222222221</v>
      </c>
      <c r="I819" s="71" t="b">
        <v>1</v>
      </c>
      <c r="J819" s="71">
        <v>80</v>
      </c>
      <c r="K819" s="71">
        <v>75</v>
      </c>
      <c r="L819" s="71">
        <v>80</v>
      </c>
      <c r="M819" s="71">
        <v>10</v>
      </c>
      <c r="N819" s="71">
        <v>12</v>
      </c>
      <c r="O819" s="71">
        <v>0</v>
      </c>
      <c r="P819" s="71">
        <v>12</v>
      </c>
      <c r="Q819" s="71">
        <v>60</v>
      </c>
      <c r="R819" s="71">
        <v>108</v>
      </c>
      <c r="S819" s="71" t="s">
        <v>61</v>
      </c>
      <c r="T819" s="73">
        <v>45730</v>
      </c>
      <c r="U819" s="71" t="s">
        <v>3840</v>
      </c>
      <c r="V819" s="71" t="b">
        <v>0</v>
      </c>
    </row>
    <row r="820" spans="1:22" ht="17.25">
      <c r="A820" s="70">
        <v>577</v>
      </c>
      <c r="B820" s="70" t="s">
        <v>2097</v>
      </c>
      <c r="C820" s="70" t="s">
        <v>2096</v>
      </c>
      <c r="D820" s="70" t="s">
        <v>2095</v>
      </c>
      <c r="E820" s="70" t="s">
        <v>2094</v>
      </c>
      <c r="F820" s="71">
        <v>163</v>
      </c>
      <c r="G820" s="71">
        <v>2</v>
      </c>
      <c r="H820" s="72" t="s">
        <v>4315</v>
      </c>
      <c r="I820" s="71" t="b">
        <v>0</v>
      </c>
      <c r="J820" s="71">
        <v>68</v>
      </c>
      <c r="K820" s="71">
        <v>48</v>
      </c>
      <c r="L820" s="71">
        <v>70</v>
      </c>
      <c r="M820" s="71">
        <v>8</v>
      </c>
      <c r="N820" s="71">
        <v>55</v>
      </c>
      <c r="O820" s="71">
        <v>0</v>
      </c>
      <c r="P820" s="71">
        <v>11</v>
      </c>
      <c r="Q820" s="71">
        <v>49</v>
      </c>
      <c r="R820" s="71">
        <v>90</v>
      </c>
      <c r="S820" s="71" t="s">
        <v>128</v>
      </c>
      <c r="T820" s="73" t="s">
        <v>4392</v>
      </c>
      <c r="U820" s="71" t="s">
        <v>3841</v>
      </c>
      <c r="V820" s="71" t="b">
        <v>0</v>
      </c>
    </row>
    <row r="821" spans="1:22" ht="17.25">
      <c r="A821" s="70">
        <v>578</v>
      </c>
      <c r="B821" s="70" t="s">
        <v>2093</v>
      </c>
      <c r="C821" s="70" t="s">
        <v>713</v>
      </c>
      <c r="D821" s="70" t="s">
        <v>339</v>
      </c>
      <c r="E821" s="70" t="s">
        <v>338</v>
      </c>
      <c r="F821" s="71">
        <v>52</v>
      </c>
      <c r="G821" s="71">
        <v>29</v>
      </c>
      <c r="H821" s="72">
        <v>0.12847222222222221</v>
      </c>
      <c r="I821" s="71" t="b">
        <v>1</v>
      </c>
      <c r="J821" s="71">
        <v>80</v>
      </c>
      <c r="K821" s="71">
        <v>75</v>
      </c>
      <c r="L821" s="71">
        <v>80</v>
      </c>
      <c r="M821" s="71">
        <v>12</v>
      </c>
      <c r="N821" s="71">
        <v>8</v>
      </c>
      <c r="O821" s="71">
        <v>0</v>
      </c>
      <c r="P821" s="71">
        <v>13</v>
      </c>
      <c r="Q821" s="71">
        <v>68</v>
      </c>
      <c r="R821" s="71">
        <v>128</v>
      </c>
      <c r="S821" s="71" t="s">
        <v>312</v>
      </c>
      <c r="T821" s="73">
        <v>45702</v>
      </c>
      <c r="U821" s="71" t="s">
        <v>3842</v>
      </c>
      <c r="V821" s="71" t="b">
        <v>0</v>
      </c>
    </row>
    <row r="822" spans="1:22" ht="17.25">
      <c r="A822" s="70">
        <v>578</v>
      </c>
      <c r="B822" s="70" t="s">
        <v>2093</v>
      </c>
      <c r="C822" s="70" t="s">
        <v>4712</v>
      </c>
      <c r="D822" s="70" t="s">
        <v>339</v>
      </c>
      <c r="E822" s="70" t="s">
        <v>338</v>
      </c>
      <c r="F822" s="71">
        <v>52</v>
      </c>
      <c r="G822" s="71">
        <v>29</v>
      </c>
      <c r="H822" s="72">
        <v>0.12847222222222221</v>
      </c>
      <c r="I822" s="71" t="b">
        <v>1</v>
      </c>
      <c r="J822" s="71">
        <v>80</v>
      </c>
      <c r="K822" s="71">
        <v>75</v>
      </c>
      <c r="L822" s="71">
        <v>80</v>
      </c>
      <c r="M822" s="71">
        <v>12</v>
      </c>
      <c r="N822" s="71">
        <v>8</v>
      </c>
      <c r="O822" s="71">
        <v>0</v>
      </c>
      <c r="P822" s="71">
        <v>13</v>
      </c>
      <c r="Q822" s="71">
        <v>68</v>
      </c>
      <c r="R822" s="71">
        <v>128</v>
      </c>
      <c r="S822" s="71" t="s">
        <v>312</v>
      </c>
      <c r="T822" s="73">
        <v>45702</v>
      </c>
      <c r="U822" s="71" t="s">
        <v>3842</v>
      </c>
      <c r="V822" s="71" t="b">
        <v>0</v>
      </c>
    </row>
    <row r="823" spans="1:22" ht="17.25">
      <c r="A823" s="70">
        <v>579</v>
      </c>
      <c r="B823" s="70" t="s">
        <v>2092</v>
      </c>
      <c r="C823" s="70" t="s">
        <v>2091</v>
      </c>
      <c r="D823" s="70" t="s">
        <v>2090</v>
      </c>
      <c r="E823" s="70" t="s">
        <v>2089</v>
      </c>
      <c r="F823" s="71">
        <v>157</v>
      </c>
      <c r="G823" s="71">
        <v>6</v>
      </c>
      <c r="H823" s="72">
        <v>0.17916666666666667</v>
      </c>
      <c r="I823" s="71" t="b">
        <v>0</v>
      </c>
      <c r="J823" s="71">
        <v>52</v>
      </c>
      <c r="K823" s="71">
        <v>47</v>
      </c>
      <c r="L823" s="71">
        <v>85</v>
      </c>
      <c r="M823" s="71">
        <v>7</v>
      </c>
      <c r="N823" s="71">
        <v>53</v>
      </c>
      <c r="O823" s="71">
        <v>61</v>
      </c>
      <c r="P823" s="71">
        <v>11</v>
      </c>
      <c r="Q823" s="71">
        <v>4</v>
      </c>
      <c r="R823" s="71">
        <v>128</v>
      </c>
      <c r="S823" s="71" t="s">
        <v>79</v>
      </c>
      <c r="T823" s="73">
        <v>41547</v>
      </c>
      <c r="U823" s="71" t="s">
        <v>3843</v>
      </c>
      <c r="V823" s="71" t="b">
        <v>0</v>
      </c>
    </row>
    <row r="824" spans="1:22" ht="17.25">
      <c r="A824" s="70">
        <v>580</v>
      </c>
      <c r="B824" s="70" t="s">
        <v>2088</v>
      </c>
      <c r="C824" s="70" t="s">
        <v>4483</v>
      </c>
      <c r="D824" s="70" t="s">
        <v>2087</v>
      </c>
      <c r="E824" s="70" t="s">
        <v>2086</v>
      </c>
      <c r="F824" s="71">
        <v>151</v>
      </c>
      <c r="G824" s="71">
        <v>1</v>
      </c>
      <c r="H824" s="72" t="s">
        <v>4320</v>
      </c>
      <c r="I824" s="71" t="b">
        <v>1</v>
      </c>
      <c r="J824" s="71">
        <v>82</v>
      </c>
      <c r="K824" s="71">
        <v>61</v>
      </c>
      <c r="L824" s="71">
        <v>72</v>
      </c>
      <c r="M824" s="71">
        <v>22</v>
      </c>
      <c r="N824" s="71">
        <v>16</v>
      </c>
      <c r="O824" s="71">
        <v>0</v>
      </c>
      <c r="P824" s="71">
        <v>12</v>
      </c>
      <c r="Q824" s="71">
        <v>45</v>
      </c>
      <c r="R824" s="71">
        <v>134</v>
      </c>
      <c r="S824" s="71" t="s">
        <v>48</v>
      </c>
      <c r="T824" s="73" t="s">
        <v>4385</v>
      </c>
      <c r="U824" s="71" t="s">
        <v>3844</v>
      </c>
      <c r="V824" s="71" t="b">
        <v>0</v>
      </c>
    </row>
    <row r="825" spans="1:22" ht="17.25">
      <c r="A825" s="70">
        <v>580</v>
      </c>
      <c r="B825" s="70" t="s">
        <v>2088</v>
      </c>
      <c r="C825" s="70" t="s">
        <v>182</v>
      </c>
      <c r="D825" s="70" t="s">
        <v>2087</v>
      </c>
      <c r="E825" s="70" t="s">
        <v>2086</v>
      </c>
      <c r="F825" s="71">
        <v>151</v>
      </c>
      <c r="G825" s="71">
        <v>1</v>
      </c>
      <c r="H825" s="72" t="s">
        <v>4320</v>
      </c>
      <c r="I825" s="71" t="b">
        <v>1</v>
      </c>
      <c r="J825" s="71">
        <v>82</v>
      </c>
      <c r="K825" s="71">
        <v>61</v>
      </c>
      <c r="L825" s="71">
        <v>72</v>
      </c>
      <c r="M825" s="71">
        <v>22</v>
      </c>
      <c r="N825" s="71">
        <v>16</v>
      </c>
      <c r="O825" s="71">
        <v>0</v>
      </c>
      <c r="P825" s="71">
        <v>12</v>
      </c>
      <c r="Q825" s="71">
        <v>45</v>
      </c>
      <c r="R825" s="71">
        <v>134</v>
      </c>
      <c r="S825" s="71" t="s">
        <v>48</v>
      </c>
      <c r="T825" s="73" t="s">
        <v>4385</v>
      </c>
      <c r="U825" s="71" t="s">
        <v>3844</v>
      </c>
      <c r="V825" s="71" t="b">
        <v>0</v>
      </c>
    </row>
    <row r="826" spans="1:22" ht="17.25">
      <c r="A826" s="70">
        <v>581</v>
      </c>
      <c r="B826" s="70" t="s">
        <v>2085</v>
      </c>
      <c r="C826" s="70" t="s">
        <v>182</v>
      </c>
      <c r="D826" s="70" t="s">
        <v>2084</v>
      </c>
      <c r="E826" s="70" t="s">
        <v>180</v>
      </c>
      <c r="F826" s="71">
        <v>6</v>
      </c>
      <c r="G826" s="71">
        <v>7</v>
      </c>
      <c r="H826" s="72" t="s">
        <v>4320</v>
      </c>
      <c r="I826" s="71" t="b">
        <v>1</v>
      </c>
      <c r="J826" s="71">
        <v>68</v>
      </c>
      <c r="K826" s="71">
        <v>48</v>
      </c>
      <c r="L826" s="71">
        <v>70</v>
      </c>
      <c r="M826" s="71">
        <v>26</v>
      </c>
      <c r="N826" s="71">
        <v>54</v>
      </c>
      <c r="O826" s="71">
        <v>0</v>
      </c>
      <c r="P826" s="71">
        <v>12</v>
      </c>
      <c r="Q826" s="71">
        <v>26</v>
      </c>
      <c r="R826" s="71">
        <v>134</v>
      </c>
      <c r="S826" s="71" t="s">
        <v>48</v>
      </c>
      <c r="T826" s="73" t="s">
        <v>4330</v>
      </c>
      <c r="U826" s="71" t="s">
        <v>3649</v>
      </c>
      <c r="V826" s="71" t="b">
        <v>0</v>
      </c>
    </row>
    <row r="827" spans="1:22" ht="17.25">
      <c r="A827" s="70">
        <v>582</v>
      </c>
      <c r="B827" s="70" t="s">
        <v>2083</v>
      </c>
      <c r="C827" s="70" t="s">
        <v>2082</v>
      </c>
      <c r="D827" s="70" t="s">
        <v>2081</v>
      </c>
      <c r="E827" s="70" t="s">
        <v>2080</v>
      </c>
      <c r="F827" s="71">
        <v>190</v>
      </c>
      <c r="G827" s="71">
        <v>1</v>
      </c>
      <c r="H827" s="72" t="s">
        <v>4315</v>
      </c>
      <c r="I827" s="71" t="b">
        <v>0</v>
      </c>
      <c r="J827" s="71">
        <v>82</v>
      </c>
      <c r="K827" s="71">
        <v>74</v>
      </c>
      <c r="L827" s="71">
        <v>74</v>
      </c>
      <c r="M827" s="71">
        <v>6</v>
      </c>
      <c r="N827" s="71">
        <v>31</v>
      </c>
      <c r="O827" s="71">
        <v>0</v>
      </c>
      <c r="P827" s="71">
        <v>18</v>
      </c>
      <c r="Q827" s="71">
        <v>84</v>
      </c>
      <c r="R827" s="71">
        <v>124</v>
      </c>
      <c r="S827" s="71" t="s">
        <v>312</v>
      </c>
      <c r="T827" s="73" t="s">
        <v>4331</v>
      </c>
      <c r="U827" s="71" t="s">
        <v>3845</v>
      </c>
      <c r="V827" s="71" t="b">
        <v>0</v>
      </c>
    </row>
    <row r="828" spans="1:22" ht="17.25">
      <c r="A828" s="70">
        <v>583</v>
      </c>
      <c r="B828" s="70" t="s">
        <v>2079</v>
      </c>
      <c r="C828" s="70" t="s">
        <v>2078</v>
      </c>
      <c r="D828" s="70" t="s">
        <v>2077</v>
      </c>
      <c r="E828" s="70" t="s">
        <v>70</v>
      </c>
      <c r="F828" s="71">
        <v>90</v>
      </c>
      <c r="G828" s="71">
        <v>3</v>
      </c>
      <c r="H828" s="72">
        <v>0.13055555555555556</v>
      </c>
      <c r="I828" s="71" t="b">
        <v>0</v>
      </c>
      <c r="J828" s="71">
        <v>74</v>
      </c>
      <c r="K828" s="71">
        <v>84</v>
      </c>
      <c r="L828" s="71">
        <v>89</v>
      </c>
      <c r="M828" s="71">
        <v>12</v>
      </c>
      <c r="N828" s="71">
        <v>8</v>
      </c>
      <c r="O828" s="71">
        <v>0</v>
      </c>
      <c r="P828" s="71">
        <v>38</v>
      </c>
      <c r="Q828" s="71">
        <v>82</v>
      </c>
      <c r="R828" s="71">
        <v>113</v>
      </c>
      <c r="S828" s="71" t="s">
        <v>2076</v>
      </c>
      <c r="T828" s="73">
        <v>30112</v>
      </c>
      <c r="U828" s="71" t="s">
        <v>3846</v>
      </c>
      <c r="V828" s="71" t="b">
        <v>0</v>
      </c>
    </row>
    <row r="829" spans="1:22" ht="17.25">
      <c r="A829" s="70">
        <v>584</v>
      </c>
      <c r="B829" s="70" t="s">
        <v>2075</v>
      </c>
      <c r="C829" s="70" t="s">
        <v>504</v>
      </c>
      <c r="D829" s="70" t="s">
        <v>503</v>
      </c>
      <c r="E829" s="70" t="s">
        <v>502</v>
      </c>
      <c r="F829" s="71">
        <v>146</v>
      </c>
      <c r="G829" s="71">
        <v>7</v>
      </c>
      <c r="H829" s="72" t="s">
        <v>4315</v>
      </c>
      <c r="I829" s="71" t="b">
        <v>0</v>
      </c>
      <c r="J829" s="71">
        <v>56</v>
      </c>
      <c r="K829" s="71">
        <v>53</v>
      </c>
      <c r="L829" s="71">
        <v>71</v>
      </c>
      <c r="M829" s="71">
        <v>4</v>
      </c>
      <c r="N829" s="71">
        <v>52</v>
      </c>
      <c r="O829" s="71">
        <v>0</v>
      </c>
      <c r="P829" s="71">
        <v>11</v>
      </c>
      <c r="Q829" s="71">
        <v>39</v>
      </c>
      <c r="R829" s="71">
        <v>124</v>
      </c>
      <c r="S829" s="71" t="s">
        <v>96</v>
      </c>
      <c r="T829" s="73" t="s">
        <v>4375</v>
      </c>
      <c r="U829" s="71" t="s">
        <v>3847</v>
      </c>
      <c r="V829" s="71" t="b">
        <v>0</v>
      </c>
    </row>
    <row r="830" spans="1:22" ht="17.25">
      <c r="A830" s="70">
        <v>585</v>
      </c>
      <c r="B830" s="70" t="s">
        <v>2074</v>
      </c>
      <c r="C830" s="70" t="s">
        <v>51</v>
      </c>
      <c r="D830" s="70" t="s">
        <v>1092</v>
      </c>
      <c r="E830" s="70" t="s">
        <v>49</v>
      </c>
      <c r="F830" s="71">
        <v>59</v>
      </c>
      <c r="G830" s="71">
        <v>2</v>
      </c>
      <c r="H830" s="72" t="s">
        <v>4320</v>
      </c>
      <c r="I830" s="71" t="b">
        <v>1</v>
      </c>
      <c r="J830" s="71">
        <v>78</v>
      </c>
      <c r="K830" s="71">
        <v>70</v>
      </c>
      <c r="L830" s="71">
        <v>74</v>
      </c>
      <c r="M830" s="71">
        <v>8</v>
      </c>
      <c r="N830" s="71">
        <v>15</v>
      </c>
      <c r="O830" s="71">
        <v>0</v>
      </c>
      <c r="P830" s="71">
        <v>16</v>
      </c>
      <c r="Q830" s="71">
        <v>50</v>
      </c>
      <c r="R830" s="71">
        <v>142</v>
      </c>
      <c r="S830" s="71" t="s">
        <v>48</v>
      </c>
      <c r="T830" s="73" t="s">
        <v>4385</v>
      </c>
      <c r="U830" s="71" t="s">
        <v>3848</v>
      </c>
      <c r="V830" s="71" t="b">
        <v>0</v>
      </c>
    </row>
    <row r="831" spans="1:22" ht="17.25">
      <c r="A831" s="70">
        <v>587</v>
      </c>
      <c r="B831" s="70" t="s">
        <v>2072</v>
      </c>
      <c r="C831" s="70" t="s">
        <v>237</v>
      </c>
      <c r="D831" s="70" t="s">
        <v>2071</v>
      </c>
      <c r="E831" s="70" t="s">
        <v>344</v>
      </c>
      <c r="F831" s="71">
        <v>9</v>
      </c>
      <c r="G831" s="71">
        <v>10</v>
      </c>
      <c r="H831" s="72">
        <v>0.15833333333333333</v>
      </c>
      <c r="I831" s="71" t="b">
        <v>1</v>
      </c>
      <c r="J831" s="71">
        <v>65</v>
      </c>
      <c r="K831" s="71">
        <v>64</v>
      </c>
      <c r="L831" s="71">
        <v>89</v>
      </c>
      <c r="M831" s="71">
        <v>3</v>
      </c>
      <c r="N831" s="71">
        <v>9</v>
      </c>
      <c r="O831" s="71">
        <v>0</v>
      </c>
      <c r="P831" s="71">
        <v>67</v>
      </c>
      <c r="Q831" s="71">
        <v>42</v>
      </c>
      <c r="R831" s="71">
        <v>120</v>
      </c>
      <c r="S831" s="71" t="s">
        <v>26</v>
      </c>
      <c r="T831" s="73">
        <v>45688</v>
      </c>
      <c r="U831" s="71" t="s">
        <v>3481</v>
      </c>
      <c r="V831" s="71" t="b">
        <v>0</v>
      </c>
    </row>
    <row r="832" spans="1:22" ht="17.25">
      <c r="A832" s="70">
        <v>588</v>
      </c>
      <c r="B832" s="70" t="s">
        <v>2070</v>
      </c>
      <c r="C832" s="70" t="s">
        <v>366</v>
      </c>
      <c r="D832" s="70" t="s">
        <v>2069</v>
      </c>
      <c r="E832" s="70" t="s">
        <v>171</v>
      </c>
      <c r="F832" s="71">
        <v>78</v>
      </c>
      <c r="G832" s="71">
        <v>1</v>
      </c>
      <c r="H832" s="72" t="s">
        <v>4315</v>
      </c>
      <c r="I832" s="71" t="b">
        <v>0</v>
      </c>
      <c r="J832" s="71">
        <v>73</v>
      </c>
      <c r="K832" s="71">
        <v>65</v>
      </c>
      <c r="L832" s="71">
        <v>73</v>
      </c>
      <c r="M832" s="71">
        <v>6</v>
      </c>
      <c r="N832" s="71">
        <v>20</v>
      </c>
      <c r="O832" s="71">
        <v>0</v>
      </c>
      <c r="P832" s="71">
        <v>14</v>
      </c>
      <c r="Q832" s="71">
        <v>63</v>
      </c>
      <c r="R832" s="71">
        <v>110</v>
      </c>
      <c r="S832" s="71" t="s">
        <v>96</v>
      </c>
      <c r="T832" s="73" t="s">
        <v>4368</v>
      </c>
      <c r="U832" s="71" t="s">
        <v>3448</v>
      </c>
      <c r="V832" s="71" t="b">
        <v>0</v>
      </c>
    </row>
    <row r="833" spans="1:22" ht="17.25">
      <c r="A833" s="70">
        <v>591</v>
      </c>
      <c r="B833" s="70" t="s">
        <v>2064</v>
      </c>
      <c r="C833" s="70" t="s">
        <v>383</v>
      </c>
      <c r="D833" s="70" t="s">
        <v>2063</v>
      </c>
      <c r="E833" s="70" t="s">
        <v>381</v>
      </c>
      <c r="F833" s="71">
        <v>28</v>
      </c>
      <c r="G833" s="71">
        <v>2</v>
      </c>
      <c r="H833" s="72">
        <v>0.12847222222222221</v>
      </c>
      <c r="I833" s="71" t="b">
        <v>0</v>
      </c>
      <c r="J833" s="71">
        <v>75</v>
      </c>
      <c r="K833" s="71">
        <v>78</v>
      </c>
      <c r="L833" s="71">
        <v>80</v>
      </c>
      <c r="M833" s="71">
        <v>8</v>
      </c>
      <c r="N833" s="71">
        <v>12</v>
      </c>
      <c r="O833" s="71">
        <v>0</v>
      </c>
      <c r="P833" s="71">
        <v>12</v>
      </c>
      <c r="Q833" s="71">
        <v>60</v>
      </c>
      <c r="R833" s="71">
        <v>115</v>
      </c>
      <c r="S833" s="71" t="s">
        <v>96</v>
      </c>
      <c r="T833" s="73">
        <v>45709</v>
      </c>
      <c r="U833" s="71" t="s">
        <v>3849</v>
      </c>
      <c r="V833" s="71" t="b">
        <v>0</v>
      </c>
    </row>
    <row r="834" spans="1:22" ht="17.25">
      <c r="A834" s="70">
        <v>592</v>
      </c>
      <c r="B834" s="70" t="s">
        <v>2062</v>
      </c>
      <c r="C834" s="70" t="s">
        <v>2061</v>
      </c>
      <c r="D834" s="70" t="s">
        <v>2060</v>
      </c>
      <c r="E834" s="70" t="s">
        <v>1485</v>
      </c>
      <c r="F834" s="71">
        <v>47</v>
      </c>
      <c r="G834" s="71">
        <v>24</v>
      </c>
      <c r="H834" s="72">
        <v>0.12847222222222221</v>
      </c>
      <c r="I834" s="71" t="b">
        <v>1</v>
      </c>
      <c r="J834" s="71">
        <v>72</v>
      </c>
      <c r="K834" s="71">
        <v>75</v>
      </c>
      <c r="L834" s="71">
        <v>80</v>
      </c>
      <c r="M834" s="71">
        <v>14</v>
      </c>
      <c r="N834" s="71">
        <v>5</v>
      </c>
      <c r="O834" s="71">
        <v>0</v>
      </c>
      <c r="P834" s="71">
        <v>12</v>
      </c>
      <c r="Q834" s="71">
        <v>48</v>
      </c>
      <c r="R834" s="71">
        <v>128</v>
      </c>
      <c r="S834" s="71" t="s">
        <v>48</v>
      </c>
      <c r="T834" s="73">
        <v>45793</v>
      </c>
      <c r="U834" s="71" t="s">
        <v>3396</v>
      </c>
      <c r="V834" s="71" t="b">
        <v>0</v>
      </c>
    </row>
    <row r="835" spans="1:22" ht="17.25">
      <c r="A835" s="70">
        <v>593</v>
      </c>
      <c r="B835" s="70" t="s">
        <v>2059</v>
      </c>
      <c r="C835" s="70" t="s">
        <v>4484</v>
      </c>
      <c r="D835" s="70" t="s">
        <v>2058</v>
      </c>
      <c r="E835" s="70" t="s">
        <v>2057</v>
      </c>
      <c r="F835" s="71">
        <v>3</v>
      </c>
      <c r="G835" s="71">
        <v>160</v>
      </c>
      <c r="H835" s="72">
        <v>0.16180555555555556</v>
      </c>
      <c r="I835" s="71" t="b">
        <v>1</v>
      </c>
      <c r="J835" s="71">
        <v>73</v>
      </c>
      <c r="K835" s="71">
        <v>77</v>
      </c>
      <c r="L835" s="71">
        <v>92</v>
      </c>
      <c r="M835" s="71">
        <v>12</v>
      </c>
      <c r="N835" s="71">
        <v>3</v>
      </c>
      <c r="O835" s="71">
        <v>1</v>
      </c>
      <c r="P835" s="71">
        <v>10</v>
      </c>
      <c r="Q835" s="71">
        <v>73</v>
      </c>
      <c r="R835" s="71">
        <v>98</v>
      </c>
      <c r="S835" s="71" t="s">
        <v>1012</v>
      </c>
      <c r="T835" s="73">
        <v>42832</v>
      </c>
      <c r="U835" s="71" t="s">
        <v>3850</v>
      </c>
      <c r="V835" s="71" t="b">
        <v>0</v>
      </c>
    </row>
    <row r="836" spans="1:22" ht="17.25">
      <c r="A836" s="70">
        <v>593</v>
      </c>
      <c r="B836" s="70" t="s">
        <v>2059</v>
      </c>
      <c r="C836" s="70" t="s">
        <v>4592</v>
      </c>
      <c r="D836" s="70" t="s">
        <v>2058</v>
      </c>
      <c r="E836" s="70" t="s">
        <v>2057</v>
      </c>
      <c r="F836" s="71">
        <v>3</v>
      </c>
      <c r="G836" s="71">
        <v>160</v>
      </c>
      <c r="H836" s="72">
        <v>0.16180555555555556</v>
      </c>
      <c r="I836" s="71" t="b">
        <v>1</v>
      </c>
      <c r="J836" s="71">
        <v>73</v>
      </c>
      <c r="K836" s="71">
        <v>77</v>
      </c>
      <c r="L836" s="71">
        <v>92</v>
      </c>
      <c r="M836" s="71">
        <v>12</v>
      </c>
      <c r="N836" s="71">
        <v>3</v>
      </c>
      <c r="O836" s="71">
        <v>1</v>
      </c>
      <c r="P836" s="71">
        <v>10</v>
      </c>
      <c r="Q836" s="71">
        <v>73</v>
      </c>
      <c r="R836" s="71">
        <v>98</v>
      </c>
      <c r="S836" s="71" t="s">
        <v>1012</v>
      </c>
      <c r="T836" s="73">
        <v>42832</v>
      </c>
      <c r="U836" s="71" t="s">
        <v>3850</v>
      </c>
      <c r="V836" s="71" t="b">
        <v>0</v>
      </c>
    </row>
    <row r="837" spans="1:22" ht="17.25">
      <c r="A837" s="70">
        <v>594</v>
      </c>
      <c r="B837" s="70" t="s">
        <v>2056</v>
      </c>
      <c r="C837" s="70" t="s">
        <v>2055</v>
      </c>
      <c r="D837" s="70" t="s">
        <v>2054</v>
      </c>
      <c r="E837" s="70" t="s">
        <v>188</v>
      </c>
      <c r="F837" s="71">
        <v>134</v>
      </c>
      <c r="G837" s="71">
        <v>2</v>
      </c>
      <c r="H837" s="72" t="s">
        <v>4315</v>
      </c>
      <c r="I837" s="71" t="b">
        <v>1</v>
      </c>
      <c r="J837" s="71">
        <v>74</v>
      </c>
      <c r="K837" s="71">
        <v>67</v>
      </c>
      <c r="L837" s="71">
        <v>73</v>
      </c>
      <c r="M837" s="71">
        <v>5</v>
      </c>
      <c r="N837" s="71">
        <v>26</v>
      </c>
      <c r="O837" s="71">
        <v>0</v>
      </c>
      <c r="P837" s="71">
        <v>13</v>
      </c>
      <c r="Q837" s="71">
        <v>82</v>
      </c>
      <c r="R837" s="71">
        <v>145</v>
      </c>
      <c r="S837" s="71" t="s">
        <v>61</v>
      </c>
      <c r="T837" s="73" t="s">
        <v>4385</v>
      </c>
      <c r="U837" s="71" t="s">
        <v>3851</v>
      </c>
      <c r="V837" s="71" t="b">
        <v>0</v>
      </c>
    </row>
    <row r="838" spans="1:22" ht="17.25">
      <c r="A838" s="70">
        <v>595</v>
      </c>
      <c r="B838" s="70" t="s">
        <v>2053</v>
      </c>
      <c r="C838" s="70" t="s">
        <v>1785</v>
      </c>
      <c r="D838" s="70" t="s">
        <v>1784</v>
      </c>
      <c r="E838" s="70" t="s">
        <v>120</v>
      </c>
      <c r="F838" s="71">
        <v>50</v>
      </c>
      <c r="G838" s="71">
        <v>45</v>
      </c>
      <c r="H838" s="72">
        <v>0.13750000000000001</v>
      </c>
      <c r="I838" s="71" t="b">
        <v>0</v>
      </c>
      <c r="J838" s="71">
        <v>71</v>
      </c>
      <c r="K838" s="71">
        <v>68</v>
      </c>
      <c r="L838" s="71">
        <v>90</v>
      </c>
      <c r="M838" s="71">
        <v>9</v>
      </c>
      <c r="N838" s="71">
        <v>27</v>
      </c>
      <c r="O838" s="71">
        <v>0</v>
      </c>
      <c r="P838" s="71">
        <v>9</v>
      </c>
      <c r="Q838" s="71">
        <v>62</v>
      </c>
      <c r="R838" s="71">
        <v>125</v>
      </c>
      <c r="S838" s="71" t="s">
        <v>26</v>
      </c>
      <c r="T838" s="73">
        <v>45555</v>
      </c>
      <c r="U838" s="71" t="s">
        <v>3852</v>
      </c>
      <c r="V838" s="71" t="b">
        <v>0</v>
      </c>
    </row>
    <row r="839" spans="1:22" ht="17.25">
      <c r="A839" s="70">
        <v>596</v>
      </c>
      <c r="B839" s="70" t="s">
        <v>2052</v>
      </c>
      <c r="C839" s="70" t="s">
        <v>178</v>
      </c>
      <c r="D839" s="70" t="s">
        <v>2051</v>
      </c>
      <c r="E839" s="70" t="s">
        <v>84</v>
      </c>
      <c r="F839" s="71">
        <v>5</v>
      </c>
      <c r="G839" s="71">
        <v>26</v>
      </c>
      <c r="H839" s="72">
        <v>0.17916666666666667</v>
      </c>
      <c r="I839" s="71" t="b">
        <v>0</v>
      </c>
      <c r="J839" s="71">
        <v>78</v>
      </c>
      <c r="K839" s="71">
        <v>71</v>
      </c>
      <c r="L839" s="71">
        <v>85</v>
      </c>
      <c r="M839" s="71">
        <v>5</v>
      </c>
      <c r="N839" s="71">
        <v>2</v>
      </c>
      <c r="O839" s="71">
        <v>0</v>
      </c>
      <c r="P839" s="71">
        <v>23</v>
      </c>
      <c r="Q839" s="71">
        <v>90</v>
      </c>
      <c r="R839" s="71">
        <v>139</v>
      </c>
      <c r="S839" s="71" t="s">
        <v>69</v>
      </c>
      <c r="T839" s="73">
        <v>30285</v>
      </c>
      <c r="U839" s="71" t="s">
        <v>3647</v>
      </c>
      <c r="V839" s="71" t="b">
        <v>0</v>
      </c>
    </row>
    <row r="840" spans="1:22" ht="17.25">
      <c r="A840" s="70">
        <v>597</v>
      </c>
      <c r="B840" s="70" t="s">
        <v>2050</v>
      </c>
      <c r="C840" s="70" t="s">
        <v>4485</v>
      </c>
      <c r="D840" s="70" t="s">
        <v>2049</v>
      </c>
      <c r="E840" s="70" t="s">
        <v>2048</v>
      </c>
      <c r="F840" s="71">
        <v>25</v>
      </c>
      <c r="G840" s="71">
        <v>20</v>
      </c>
      <c r="H840" s="72">
        <v>0.19722222222222222</v>
      </c>
      <c r="I840" s="71" t="b">
        <v>0</v>
      </c>
      <c r="J840" s="71">
        <v>73</v>
      </c>
      <c r="K840" s="71">
        <v>78</v>
      </c>
      <c r="L840" s="71">
        <v>91</v>
      </c>
      <c r="M840" s="71">
        <v>5</v>
      </c>
      <c r="N840" s="71">
        <v>10</v>
      </c>
      <c r="O840" s="71">
        <v>0</v>
      </c>
      <c r="P840" s="71">
        <v>7</v>
      </c>
      <c r="Q840" s="71">
        <v>57</v>
      </c>
      <c r="R840" s="71">
        <v>130</v>
      </c>
      <c r="S840" s="71" t="s">
        <v>34</v>
      </c>
      <c r="T840" s="73">
        <v>40582</v>
      </c>
      <c r="U840" s="71" t="s">
        <v>3853</v>
      </c>
      <c r="V840" s="71" t="b">
        <v>0</v>
      </c>
    </row>
    <row r="841" spans="1:22" ht="17.25">
      <c r="A841" s="70">
        <v>597</v>
      </c>
      <c r="B841" s="70" t="s">
        <v>2050</v>
      </c>
      <c r="C841" s="70" t="s">
        <v>4490</v>
      </c>
      <c r="D841" s="70" t="s">
        <v>2049</v>
      </c>
      <c r="E841" s="70" t="s">
        <v>2048</v>
      </c>
      <c r="F841" s="71">
        <v>25</v>
      </c>
      <c r="G841" s="71">
        <v>20</v>
      </c>
      <c r="H841" s="72">
        <v>0.19722222222222222</v>
      </c>
      <c r="I841" s="71" t="b">
        <v>0</v>
      </c>
      <c r="J841" s="71">
        <v>73</v>
      </c>
      <c r="K841" s="71">
        <v>78</v>
      </c>
      <c r="L841" s="71">
        <v>91</v>
      </c>
      <c r="M841" s="71">
        <v>5</v>
      </c>
      <c r="N841" s="71">
        <v>10</v>
      </c>
      <c r="O841" s="71">
        <v>0</v>
      </c>
      <c r="P841" s="71">
        <v>7</v>
      </c>
      <c r="Q841" s="71">
        <v>57</v>
      </c>
      <c r="R841" s="71">
        <v>130</v>
      </c>
      <c r="S841" s="71" t="s">
        <v>34</v>
      </c>
      <c r="T841" s="73">
        <v>40582</v>
      </c>
      <c r="U841" s="71" t="s">
        <v>3853</v>
      </c>
      <c r="V841" s="71" t="b">
        <v>0</v>
      </c>
    </row>
    <row r="842" spans="1:22" ht="17.25">
      <c r="A842" s="70">
        <v>598</v>
      </c>
      <c r="B842" s="70" t="s">
        <v>2047</v>
      </c>
      <c r="C842" s="70" t="s">
        <v>766</v>
      </c>
      <c r="D842" s="70" t="s">
        <v>2046</v>
      </c>
      <c r="E842" s="70" t="s">
        <v>764</v>
      </c>
      <c r="F842" s="71">
        <v>63</v>
      </c>
      <c r="G842" s="71">
        <v>63</v>
      </c>
      <c r="H842" s="72">
        <v>0.14027777777777778</v>
      </c>
      <c r="I842" s="71" t="b">
        <v>0</v>
      </c>
      <c r="J842" s="71">
        <v>73</v>
      </c>
      <c r="K842" s="71">
        <v>64</v>
      </c>
      <c r="L842" s="71">
        <v>91</v>
      </c>
      <c r="M842" s="71">
        <v>14</v>
      </c>
      <c r="N842" s="71">
        <v>5</v>
      </c>
      <c r="O842" s="71">
        <v>0</v>
      </c>
      <c r="P842" s="71">
        <v>6</v>
      </c>
      <c r="Q842" s="71">
        <v>65</v>
      </c>
      <c r="R842" s="71">
        <v>170</v>
      </c>
      <c r="S842" s="71" t="s">
        <v>79</v>
      </c>
      <c r="T842" s="73">
        <v>42122</v>
      </c>
      <c r="U842" s="71" t="s">
        <v>3854</v>
      </c>
      <c r="V842" s="71" t="b">
        <v>0</v>
      </c>
    </row>
    <row r="843" spans="1:22" ht="17.25">
      <c r="A843" s="70">
        <v>599</v>
      </c>
      <c r="B843" s="70" t="s">
        <v>2045</v>
      </c>
      <c r="C843" s="70" t="s">
        <v>419</v>
      </c>
      <c r="D843" s="70" t="s">
        <v>2044</v>
      </c>
      <c r="E843" s="70" t="s">
        <v>2043</v>
      </c>
      <c r="F843" s="71">
        <v>41</v>
      </c>
      <c r="G843" s="71">
        <v>27</v>
      </c>
      <c r="H843" s="72">
        <v>0.12847222222222221</v>
      </c>
      <c r="I843" s="71" t="b">
        <v>1</v>
      </c>
      <c r="J843" s="71">
        <v>47</v>
      </c>
      <c r="K843" s="71">
        <v>75</v>
      </c>
      <c r="L843" s="71">
        <v>90</v>
      </c>
      <c r="M843" s="71">
        <v>11</v>
      </c>
      <c r="N843" s="71">
        <v>22</v>
      </c>
      <c r="O843" s="71">
        <v>0</v>
      </c>
      <c r="P843" s="71">
        <v>17</v>
      </c>
      <c r="Q843" s="71">
        <v>62</v>
      </c>
      <c r="R843" s="71">
        <v>80</v>
      </c>
      <c r="S843" s="71" t="s">
        <v>61</v>
      </c>
      <c r="T843" s="73">
        <v>45730</v>
      </c>
      <c r="U843" s="71" t="s">
        <v>3855</v>
      </c>
      <c r="V843" s="71" t="b">
        <v>0</v>
      </c>
    </row>
    <row r="844" spans="1:22" ht="17.25">
      <c r="A844" s="70">
        <v>599</v>
      </c>
      <c r="B844" s="70" t="s">
        <v>2045</v>
      </c>
      <c r="C844" s="70" t="s">
        <v>4414</v>
      </c>
      <c r="D844" s="70" t="s">
        <v>2044</v>
      </c>
      <c r="E844" s="70" t="s">
        <v>2043</v>
      </c>
      <c r="F844" s="71">
        <v>41</v>
      </c>
      <c r="G844" s="71">
        <v>27</v>
      </c>
      <c r="H844" s="72">
        <v>0.12847222222222221</v>
      </c>
      <c r="I844" s="71" t="b">
        <v>1</v>
      </c>
      <c r="J844" s="71">
        <v>47</v>
      </c>
      <c r="K844" s="71">
        <v>75</v>
      </c>
      <c r="L844" s="71">
        <v>90</v>
      </c>
      <c r="M844" s="71">
        <v>11</v>
      </c>
      <c r="N844" s="71">
        <v>22</v>
      </c>
      <c r="O844" s="71">
        <v>0</v>
      </c>
      <c r="P844" s="71">
        <v>17</v>
      </c>
      <c r="Q844" s="71">
        <v>62</v>
      </c>
      <c r="R844" s="71">
        <v>80</v>
      </c>
      <c r="S844" s="71" t="s">
        <v>61</v>
      </c>
      <c r="T844" s="73">
        <v>45730</v>
      </c>
      <c r="U844" s="71" t="s">
        <v>3855</v>
      </c>
      <c r="V844" s="71" t="b">
        <v>0</v>
      </c>
    </row>
    <row r="845" spans="1:22" ht="17.25">
      <c r="A845" s="70">
        <v>600</v>
      </c>
      <c r="B845" s="70" t="s">
        <v>2042</v>
      </c>
      <c r="C845" s="70" t="s">
        <v>182</v>
      </c>
      <c r="D845" s="70" t="s">
        <v>2041</v>
      </c>
      <c r="E845" s="70" t="s">
        <v>180</v>
      </c>
      <c r="F845" s="71">
        <v>5</v>
      </c>
      <c r="G845" s="71">
        <v>4</v>
      </c>
      <c r="H845" s="72" t="s">
        <v>4320</v>
      </c>
      <c r="I845" s="71" t="b">
        <v>1</v>
      </c>
      <c r="J845" s="71">
        <v>84</v>
      </c>
      <c r="K845" s="71">
        <v>67</v>
      </c>
      <c r="L845" s="71">
        <v>74</v>
      </c>
      <c r="M845" s="71">
        <v>22</v>
      </c>
      <c r="N845" s="71">
        <v>16</v>
      </c>
      <c r="O845" s="71">
        <v>0</v>
      </c>
      <c r="P845" s="71">
        <v>15</v>
      </c>
      <c r="Q845" s="71">
        <v>45</v>
      </c>
      <c r="R845" s="71">
        <v>142</v>
      </c>
      <c r="S845" s="71" t="s">
        <v>48</v>
      </c>
      <c r="T845" s="73" t="s">
        <v>4330</v>
      </c>
      <c r="U845" s="71" t="s">
        <v>3683</v>
      </c>
      <c r="V845" s="71" t="b">
        <v>0</v>
      </c>
    </row>
    <row r="846" spans="1:22" ht="17.25">
      <c r="A846" s="70">
        <v>600</v>
      </c>
      <c r="B846" s="70" t="s">
        <v>2042</v>
      </c>
      <c r="C846" s="70" t="s">
        <v>4478</v>
      </c>
      <c r="D846" s="70" t="s">
        <v>2041</v>
      </c>
      <c r="E846" s="70" t="s">
        <v>180</v>
      </c>
      <c r="F846" s="71">
        <v>5</v>
      </c>
      <c r="G846" s="71">
        <v>4</v>
      </c>
      <c r="H846" s="72" t="s">
        <v>4320</v>
      </c>
      <c r="I846" s="71" t="b">
        <v>1</v>
      </c>
      <c r="J846" s="71">
        <v>84</v>
      </c>
      <c r="K846" s="71">
        <v>67</v>
      </c>
      <c r="L846" s="71">
        <v>74</v>
      </c>
      <c r="M846" s="71">
        <v>22</v>
      </c>
      <c r="N846" s="71">
        <v>16</v>
      </c>
      <c r="O846" s="71">
        <v>0</v>
      </c>
      <c r="P846" s="71">
        <v>15</v>
      </c>
      <c r="Q846" s="71">
        <v>45</v>
      </c>
      <c r="R846" s="71">
        <v>142</v>
      </c>
      <c r="S846" s="71" t="s">
        <v>48</v>
      </c>
      <c r="T846" s="73" t="s">
        <v>4330</v>
      </c>
      <c r="U846" s="71" t="s">
        <v>3683</v>
      </c>
      <c r="V846" s="71" t="b">
        <v>0</v>
      </c>
    </row>
    <row r="847" spans="1:22" ht="17.25">
      <c r="A847" s="70">
        <v>600</v>
      </c>
      <c r="B847" s="70" t="s">
        <v>2042</v>
      </c>
      <c r="C847" s="70" t="s">
        <v>4713</v>
      </c>
      <c r="D847" s="70" t="s">
        <v>2041</v>
      </c>
      <c r="E847" s="70" t="s">
        <v>180</v>
      </c>
      <c r="F847" s="71">
        <v>5</v>
      </c>
      <c r="G847" s="71">
        <v>4</v>
      </c>
      <c r="H847" s="72" t="s">
        <v>4320</v>
      </c>
      <c r="I847" s="71" t="b">
        <v>1</v>
      </c>
      <c r="J847" s="71">
        <v>84</v>
      </c>
      <c r="K847" s="71">
        <v>67</v>
      </c>
      <c r="L847" s="71">
        <v>74</v>
      </c>
      <c r="M847" s="71">
        <v>22</v>
      </c>
      <c r="N847" s="71">
        <v>16</v>
      </c>
      <c r="O847" s="71">
        <v>0</v>
      </c>
      <c r="P847" s="71">
        <v>15</v>
      </c>
      <c r="Q847" s="71">
        <v>45</v>
      </c>
      <c r="R847" s="71">
        <v>142</v>
      </c>
      <c r="S847" s="71" t="s">
        <v>48</v>
      </c>
      <c r="T847" s="73" t="s">
        <v>4330</v>
      </c>
      <c r="U847" s="71" t="s">
        <v>3683</v>
      </c>
      <c r="V847" s="71" t="b">
        <v>0</v>
      </c>
    </row>
    <row r="848" spans="1:22" ht="17.25">
      <c r="A848" s="70">
        <v>601</v>
      </c>
      <c r="B848" s="70" t="s">
        <v>2040</v>
      </c>
      <c r="C848" s="70" t="s">
        <v>2039</v>
      </c>
      <c r="D848" s="70" t="s">
        <v>2038</v>
      </c>
      <c r="E848" s="70" t="s">
        <v>2037</v>
      </c>
      <c r="F848" s="71">
        <v>191</v>
      </c>
      <c r="G848" s="71">
        <v>1</v>
      </c>
      <c r="H848" s="72">
        <v>0.2298611111111111</v>
      </c>
      <c r="I848" s="71" t="b">
        <v>0</v>
      </c>
      <c r="J848" s="71">
        <v>58</v>
      </c>
      <c r="K848" s="71">
        <v>83</v>
      </c>
      <c r="L848" s="71">
        <v>86</v>
      </c>
      <c r="M848" s="71">
        <v>3</v>
      </c>
      <c r="N848" s="71">
        <v>0</v>
      </c>
      <c r="O848" s="71">
        <v>1</v>
      </c>
      <c r="P848" s="71">
        <v>6</v>
      </c>
      <c r="Q848" s="71">
        <v>60</v>
      </c>
      <c r="R848" s="71">
        <v>123</v>
      </c>
      <c r="S848" s="71" t="s">
        <v>83</v>
      </c>
      <c r="T848" s="73">
        <v>33448</v>
      </c>
      <c r="U848" s="71" t="s">
        <v>3856</v>
      </c>
      <c r="V848" s="71" t="b">
        <v>0</v>
      </c>
    </row>
    <row r="849" spans="1:22" ht="17.25">
      <c r="A849" s="70">
        <v>602</v>
      </c>
      <c r="B849" s="70" t="s">
        <v>2036</v>
      </c>
      <c r="C849" s="70" t="s">
        <v>347</v>
      </c>
      <c r="D849" s="70" t="s">
        <v>2035</v>
      </c>
      <c r="E849" s="70" t="s">
        <v>1105</v>
      </c>
      <c r="F849" s="71">
        <v>93</v>
      </c>
      <c r="G849" s="71">
        <v>8</v>
      </c>
      <c r="H849" s="72">
        <v>0.14027777777777778</v>
      </c>
      <c r="I849" s="71" t="b">
        <v>0</v>
      </c>
      <c r="J849" s="71">
        <v>65</v>
      </c>
      <c r="K849" s="71">
        <v>70</v>
      </c>
      <c r="L849" s="71">
        <v>92</v>
      </c>
      <c r="M849" s="71">
        <v>4</v>
      </c>
      <c r="N849" s="71">
        <v>0</v>
      </c>
      <c r="O849" s="71">
        <v>0</v>
      </c>
      <c r="P849" s="71">
        <v>9</v>
      </c>
      <c r="Q849" s="71">
        <v>47</v>
      </c>
      <c r="R849" s="71">
        <v>96</v>
      </c>
      <c r="S849" s="71" t="s">
        <v>96</v>
      </c>
      <c r="T849" s="73">
        <v>40036</v>
      </c>
      <c r="U849" s="71" t="s">
        <v>3857</v>
      </c>
      <c r="V849" s="71" t="b">
        <v>0</v>
      </c>
    </row>
    <row r="850" spans="1:22" ht="17.25">
      <c r="A850" s="70">
        <v>603</v>
      </c>
      <c r="B850" s="70" t="s">
        <v>2034</v>
      </c>
      <c r="C850" s="70" t="s">
        <v>4478</v>
      </c>
      <c r="D850" s="70" t="s">
        <v>2033</v>
      </c>
      <c r="E850" s="70" t="s">
        <v>2032</v>
      </c>
      <c r="F850" s="71">
        <v>123</v>
      </c>
      <c r="G850" s="71">
        <v>1</v>
      </c>
      <c r="H850" s="72" t="s">
        <v>4320</v>
      </c>
      <c r="I850" s="71" t="b">
        <v>1</v>
      </c>
      <c r="J850" s="71">
        <v>85</v>
      </c>
      <c r="K850" s="71">
        <v>62</v>
      </c>
      <c r="L850" s="71">
        <v>72</v>
      </c>
      <c r="M850" s="71">
        <v>26</v>
      </c>
      <c r="N850" s="71">
        <v>14</v>
      </c>
      <c r="O850" s="71">
        <v>0</v>
      </c>
      <c r="P850" s="71">
        <v>13</v>
      </c>
      <c r="Q850" s="71">
        <v>50</v>
      </c>
      <c r="R850" s="71">
        <v>132</v>
      </c>
      <c r="S850" s="71" t="s">
        <v>48</v>
      </c>
      <c r="T850" s="73" t="s">
        <v>4388</v>
      </c>
      <c r="U850" s="71" t="s">
        <v>3858</v>
      </c>
      <c r="V850" s="71" t="b">
        <v>0</v>
      </c>
    </row>
    <row r="851" spans="1:22" ht="17.25">
      <c r="A851" s="70">
        <v>603</v>
      </c>
      <c r="B851" s="70" t="s">
        <v>2034</v>
      </c>
      <c r="C851" s="70" t="s">
        <v>4486</v>
      </c>
      <c r="D851" s="70" t="s">
        <v>2033</v>
      </c>
      <c r="E851" s="70" t="s">
        <v>2032</v>
      </c>
      <c r="F851" s="71">
        <v>123</v>
      </c>
      <c r="G851" s="71">
        <v>1</v>
      </c>
      <c r="H851" s="72" t="s">
        <v>4320</v>
      </c>
      <c r="I851" s="71" t="b">
        <v>1</v>
      </c>
      <c r="J851" s="71">
        <v>85</v>
      </c>
      <c r="K851" s="71">
        <v>62</v>
      </c>
      <c r="L851" s="71">
        <v>72</v>
      </c>
      <c r="M851" s="71">
        <v>26</v>
      </c>
      <c r="N851" s="71">
        <v>14</v>
      </c>
      <c r="O851" s="71">
        <v>0</v>
      </c>
      <c r="P851" s="71">
        <v>13</v>
      </c>
      <c r="Q851" s="71">
        <v>50</v>
      </c>
      <c r="R851" s="71">
        <v>132</v>
      </c>
      <c r="S851" s="71" t="s">
        <v>48</v>
      </c>
      <c r="T851" s="73" t="s">
        <v>4388</v>
      </c>
      <c r="U851" s="71" t="s">
        <v>3858</v>
      </c>
      <c r="V851" s="71" t="b">
        <v>0</v>
      </c>
    </row>
    <row r="852" spans="1:22" ht="17.25">
      <c r="A852" s="70">
        <v>603</v>
      </c>
      <c r="B852" s="70" t="s">
        <v>2034</v>
      </c>
      <c r="C852" s="70" t="s">
        <v>4714</v>
      </c>
      <c r="D852" s="70" t="s">
        <v>2033</v>
      </c>
      <c r="E852" s="70" t="s">
        <v>2032</v>
      </c>
      <c r="F852" s="71">
        <v>123</v>
      </c>
      <c r="G852" s="71">
        <v>1</v>
      </c>
      <c r="H852" s="72" t="s">
        <v>4320</v>
      </c>
      <c r="I852" s="71" t="b">
        <v>1</v>
      </c>
      <c r="J852" s="71">
        <v>85</v>
      </c>
      <c r="K852" s="71">
        <v>62</v>
      </c>
      <c r="L852" s="71">
        <v>72</v>
      </c>
      <c r="M852" s="71">
        <v>26</v>
      </c>
      <c r="N852" s="71">
        <v>14</v>
      </c>
      <c r="O852" s="71">
        <v>0</v>
      </c>
      <c r="P852" s="71">
        <v>13</v>
      </c>
      <c r="Q852" s="71">
        <v>50</v>
      </c>
      <c r="R852" s="71">
        <v>132</v>
      </c>
      <c r="S852" s="71" t="s">
        <v>48</v>
      </c>
      <c r="T852" s="73" t="s">
        <v>4388</v>
      </c>
      <c r="U852" s="71" t="s">
        <v>3858</v>
      </c>
      <c r="V852" s="71" t="b">
        <v>0</v>
      </c>
    </row>
    <row r="853" spans="1:22" ht="17.25">
      <c r="A853" s="70">
        <v>604</v>
      </c>
      <c r="B853" s="70" t="s">
        <v>2031</v>
      </c>
      <c r="C853" s="70" t="s">
        <v>32</v>
      </c>
      <c r="D853" s="70" t="s">
        <v>2030</v>
      </c>
      <c r="E853" s="70" t="s">
        <v>30</v>
      </c>
      <c r="F853" s="71">
        <v>9</v>
      </c>
      <c r="G853" s="71">
        <v>4</v>
      </c>
      <c r="H853" s="72" t="s">
        <v>4315</v>
      </c>
      <c r="I853" s="71" t="b">
        <v>0</v>
      </c>
      <c r="J853" s="71">
        <v>70</v>
      </c>
      <c r="K853" s="71">
        <v>55</v>
      </c>
      <c r="L853" s="71">
        <v>71</v>
      </c>
      <c r="M853" s="71">
        <v>5</v>
      </c>
      <c r="N853" s="71">
        <v>39</v>
      </c>
      <c r="O853" s="71">
        <v>0</v>
      </c>
      <c r="P853" s="71">
        <v>12</v>
      </c>
      <c r="Q853" s="71">
        <v>58</v>
      </c>
      <c r="R853" s="71">
        <v>102</v>
      </c>
      <c r="S853" s="71" t="s">
        <v>96</v>
      </c>
      <c r="T853" s="73" t="s">
        <v>4372</v>
      </c>
      <c r="U853" s="71" t="s">
        <v>3507</v>
      </c>
      <c r="V853" s="71" t="b">
        <v>0</v>
      </c>
    </row>
    <row r="854" spans="1:22" ht="17.25">
      <c r="A854" s="70">
        <v>605</v>
      </c>
      <c r="B854" s="70" t="s">
        <v>2029</v>
      </c>
      <c r="C854" s="70" t="s">
        <v>2028</v>
      </c>
      <c r="D854" s="70" t="s">
        <v>2027</v>
      </c>
      <c r="E854" s="70" t="s">
        <v>2026</v>
      </c>
      <c r="F854" s="71">
        <v>120</v>
      </c>
      <c r="G854" s="71">
        <v>3</v>
      </c>
      <c r="H854" s="72">
        <v>0.125</v>
      </c>
      <c r="I854" s="71" t="b">
        <v>1</v>
      </c>
      <c r="J854" s="71">
        <v>75</v>
      </c>
      <c r="K854" s="71">
        <v>73</v>
      </c>
      <c r="L854" s="71">
        <v>93</v>
      </c>
      <c r="M854" s="71">
        <v>7</v>
      </c>
      <c r="N854" s="71">
        <v>1</v>
      </c>
      <c r="O854" s="71">
        <v>0</v>
      </c>
      <c r="P854" s="71">
        <v>33</v>
      </c>
      <c r="Q854" s="71">
        <v>29</v>
      </c>
      <c r="R854" s="71">
        <v>93</v>
      </c>
      <c r="S854" s="71" t="s">
        <v>48</v>
      </c>
      <c r="T854" s="73">
        <v>42111</v>
      </c>
      <c r="U854" s="71" t="s">
        <v>3859</v>
      </c>
      <c r="V854" s="71" t="b">
        <v>0</v>
      </c>
    </row>
    <row r="855" spans="1:22" ht="17.25">
      <c r="A855" s="70">
        <v>606</v>
      </c>
      <c r="B855" s="70" t="s">
        <v>2025</v>
      </c>
      <c r="C855" s="70" t="s">
        <v>198</v>
      </c>
      <c r="D855" s="70" t="s">
        <v>2024</v>
      </c>
      <c r="E855" s="70" t="s">
        <v>196</v>
      </c>
      <c r="F855" s="71">
        <v>141</v>
      </c>
      <c r="G855" s="71">
        <v>1</v>
      </c>
      <c r="H855" s="72" t="s">
        <v>4334</v>
      </c>
      <c r="I855" s="71" t="b">
        <v>0</v>
      </c>
      <c r="J855" s="71">
        <v>52</v>
      </c>
      <c r="K855" s="71">
        <v>42</v>
      </c>
      <c r="L855" s="71">
        <v>69</v>
      </c>
      <c r="M855" s="71">
        <v>5</v>
      </c>
      <c r="N855" s="71">
        <v>61</v>
      </c>
      <c r="O855" s="71">
        <v>0</v>
      </c>
      <c r="P855" s="71">
        <v>13</v>
      </c>
      <c r="Q855" s="71">
        <v>34</v>
      </c>
      <c r="R855" s="71">
        <v>96</v>
      </c>
      <c r="S855" s="71" t="s">
        <v>195</v>
      </c>
      <c r="T855" s="73" t="s">
        <v>4337</v>
      </c>
      <c r="U855" s="71" t="s">
        <v>3860</v>
      </c>
      <c r="V855" s="71" t="b">
        <v>0</v>
      </c>
    </row>
    <row r="856" spans="1:22" ht="17.25">
      <c r="A856" s="70">
        <v>607</v>
      </c>
      <c r="B856" s="70" t="s">
        <v>2023</v>
      </c>
      <c r="C856" s="70" t="s">
        <v>1115</v>
      </c>
      <c r="D856" s="70" t="s">
        <v>2022</v>
      </c>
      <c r="E856" s="70" t="s">
        <v>1113</v>
      </c>
      <c r="F856" s="71">
        <v>23</v>
      </c>
      <c r="G856" s="71">
        <v>2</v>
      </c>
      <c r="H856" s="72" t="s">
        <v>4317</v>
      </c>
      <c r="I856" s="71" t="b">
        <v>0</v>
      </c>
      <c r="J856" s="71">
        <v>82</v>
      </c>
      <c r="K856" s="71">
        <v>79</v>
      </c>
      <c r="L856" s="71">
        <v>76</v>
      </c>
      <c r="M856" s="71">
        <v>8</v>
      </c>
      <c r="N856" s="71">
        <v>10</v>
      </c>
      <c r="O856" s="71">
        <v>0</v>
      </c>
      <c r="P856" s="71">
        <v>20</v>
      </c>
      <c r="Q856" s="71">
        <v>74</v>
      </c>
      <c r="R856" s="71">
        <v>126</v>
      </c>
      <c r="S856" s="71" t="s">
        <v>115</v>
      </c>
      <c r="T856" s="73" t="s">
        <v>4341</v>
      </c>
      <c r="U856" s="71" t="s">
        <v>3861</v>
      </c>
      <c r="V856" s="71" t="b">
        <v>0</v>
      </c>
    </row>
    <row r="857" spans="1:22" ht="17.25">
      <c r="A857" s="70">
        <v>608</v>
      </c>
      <c r="B857" s="70" t="s">
        <v>2021</v>
      </c>
      <c r="C857" s="70" t="s">
        <v>1982</v>
      </c>
      <c r="D857" s="70" t="s">
        <v>2020</v>
      </c>
      <c r="E857" s="70" t="s">
        <v>2019</v>
      </c>
      <c r="F857" s="71">
        <v>22</v>
      </c>
      <c r="G857" s="71">
        <v>4</v>
      </c>
      <c r="H857" s="72" t="s">
        <v>4315</v>
      </c>
      <c r="I857" s="71" t="b">
        <v>1</v>
      </c>
      <c r="J857" s="71">
        <v>74</v>
      </c>
      <c r="K857" s="71">
        <v>62</v>
      </c>
      <c r="L857" s="71">
        <v>72</v>
      </c>
      <c r="M857" s="71">
        <v>15</v>
      </c>
      <c r="N857" s="71">
        <v>24</v>
      </c>
      <c r="O857" s="71">
        <v>0</v>
      </c>
      <c r="P857" s="71">
        <v>14</v>
      </c>
      <c r="Q857" s="71">
        <v>50</v>
      </c>
      <c r="R857" s="71">
        <v>140</v>
      </c>
      <c r="S857" s="71" t="s">
        <v>48</v>
      </c>
      <c r="T857" s="73" t="s">
        <v>4376</v>
      </c>
      <c r="U857" s="71" t="s">
        <v>3862</v>
      </c>
      <c r="V857" s="71" t="b">
        <v>0</v>
      </c>
    </row>
    <row r="858" spans="1:22" ht="17.25">
      <c r="A858" s="70">
        <v>608</v>
      </c>
      <c r="B858" s="70" t="s">
        <v>2021</v>
      </c>
      <c r="C858" s="70" t="s">
        <v>4487</v>
      </c>
      <c r="D858" s="70" t="s">
        <v>2020</v>
      </c>
      <c r="E858" s="70" t="s">
        <v>2019</v>
      </c>
      <c r="F858" s="71">
        <v>22</v>
      </c>
      <c r="G858" s="71">
        <v>4</v>
      </c>
      <c r="H858" s="72" t="s">
        <v>4315</v>
      </c>
      <c r="I858" s="71" t="b">
        <v>1</v>
      </c>
      <c r="J858" s="71">
        <v>74</v>
      </c>
      <c r="K858" s="71">
        <v>62</v>
      </c>
      <c r="L858" s="71">
        <v>72</v>
      </c>
      <c r="M858" s="71">
        <v>15</v>
      </c>
      <c r="N858" s="71">
        <v>24</v>
      </c>
      <c r="O858" s="71">
        <v>0</v>
      </c>
      <c r="P858" s="71">
        <v>14</v>
      </c>
      <c r="Q858" s="71">
        <v>50</v>
      </c>
      <c r="R858" s="71">
        <v>140</v>
      </c>
      <c r="S858" s="71" t="s">
        <v>48</v>
      </c>
      <c r="T858" s="73" t="s">
        <v>4376</v>
      </c>
      <c r="U858" s="71" t="s">
        <v>3862</v>
      </c>
      <c r="V858" s="71" t="b">
        <v>0</v>
      </c>
    </row>
    <row r="859" spans="1:22" ht="17.25">
      <c r="A859" s="70">
        <v>609</v>
      </c>
      <c r="B859" s="70" t="s">
        <v>2018</v>
      </c>
      <c r="C859" s="70" t="s">
        <v>131</v>
      </c>
      <c r="D859" s="70" t="s">
        <v>2017</v>
      </c>
      <c r="E859" s="70" t="s">
        <v>129</v>
      </c>
      <c r="F859" s="71">
        <v>32</v>
      </c>
      <c r="G859" s="71">
        <v>7</v>
      </c>
      <c r="H859" s="72">
        <v>0.13750000000000001</v>
      </c>
      <c r="I859" s="71" t="b">
        <v>1</v>
      </c>
      <c r="J859" s="71">
        <v>56</v>
      </c>
      <c r="K859" s="71">
        <v>93</v>
      </c>
      <c r="L859" s="71">
        <v>91</v>
      </c>
      <c r="M859" s="71">
        <v>6</v>
      </c>
      <c r="N859" s="71">
        <v>98</v>
      </c>
      <c r="O859" s="71">
        <v>94</v>
      </c>
      <c r="P859" s="71">
        <v>13</v>
      </c>
      <c r="Q859" s="71">
        <v>97</v>
      </c>
      <c r="R859" s="71">
        <v>174</v>
      </c>
      <c r="S859" s="71" t="s">
        <v>128</v>
      </c>
      <c r="T859" s="73">
        <v>45662</v>
      </c>
      <c r="U859" s="71" t="s">
        <v>3505</v>
      </c>
      <c r="V859" s="71" t="b">
        <v>0</v>
      </c>
    </row>
    <row r="860" spans="1:22" ht="17.25">
      <c r="A860" s="70">
        <v>610</v>
      </c>
      <c r="B860" s="70" t="s">
        <v>2016</v>
      </c>
      <c r="C860" s="70" t="s">
        <v>292</v>
      </c>
      <c r="D860" s="70" t="s">
        <v>2015</v>
      </c>
      <c r="E860" s="70" t="s">
        <v>2014</v>
      </c>
      <c r="F860" s="71">
        <v>2</v>
      </c>
      <c r="G860" s="71">
        <v>172</v>
      </c>
      <c r="H860" s="72">
        <v>0.16111111111111112</v>
      </c>
      <c r="I860" s="71" t="b">
        <v>1</v>
      </c>
      <c r="J860" s="71">
        <v>70</v>
      </c>
      <c r="K860" s="71">
        <v>63</v>
      </c>
      <c r="L860" s="71">
        <v>92</v>
      </c>
      <c r="M860" s="71">
        <v>6</v>
      </c>
      <c r="N860" s="71">
        <v>6</v>
      </c>
      <c r="O860" s="71">
        <v>0</v>
      </c>
      <c r="P860" s="71">
        <v>9</v>
      </c>
      <c r="Q860" s="71">
        <v>56</v>
      </c>
      <c r="R860" s="71">
        <v>97</v>
      </c>
      <c r="S860" s="71" t="s">
        <v>48</v>
      </c>
      <c r="T860" s="73">
        <v>43104</v>
      </c>
      <c r="U860" s="71" t="s">
        <v>3863</v>
      </c>
      <c r="V860" s="71" t="b">
        <v>0</v>
      </c>
    </row>
    <row r="861" spans="1:22" ht="17.25">
      <c r="A861" s="70">
        <v>610</v>
      </c>
      <c r="B861" s="70" t="s">
        <v>2016</v>
      </c>
      <c r="C861" s="70" t="s">
        <v>1026</v>
      </c>
      <c r="D861" s="70" t="s">
        <v>2015</v>
      </c>
      <c r="E861" s="70" t="s">
        <v>2014</v>
      </c>
      <c r="F861" s="71">
        <v>2</v>
      </c>
      <c r="G861" s="71">
        <v>172</v>
      </c>
      <c r="H861" s="72">
        <v>0.16111111111111112</v>
      </c>
      <c r="I861" s="71" t="b">
        <v>1</v>
      </c>
      <c r="J861" s="71">
        <v>70</v>
      </c>
      <c r="K861" s="71">
        <v>63</v>
      </c>
      <c r="L861" s="71">
        <v>92</v>
      </c>
      <c r="M861" s="71">
        <v>6</v>
      </c>
      <c r="N861" s="71">
        <v>6</v>
      </c>
      <c r="O861" s="71">
        <v>0</v>
      </c>
      <c r="P861" s="71">
        <v>9</v>
      </c>
      <c r="Q861" s="71">
        <v>56</v>
      </c>
      <c r="R861" s="71">
        <v>97</v>
      </c>
      <c r="S861" s="71" t="s">
        <v>48</v>
      </c>
      <c r="T861" s="73">
        <v>43104</v>
      </c>
      <c r="U861" s="71" t="s">
        <v>3863</v>
      </c>
      <c r="V861" s="71" t="b">
        <v>0</v>
      </c>
    </row>
    <row r="862" spans="1:22" ht="17.25">
      <c r="A862" s="70">
        <v>611</v>
      </c>
      <c r="B862" s="70" t="s">
        <v>2013</v>
      </c>
      <c r="C862" s="70" t="s">
        <v>2012</v>
      </c>
      <c r="D862" s="70" t="s">
        <v>2011</v>
      </c>
      <c r="E862" s="70" t="s">
        <v>2010</v>
      </c>
      <c r="F862" s="71">
        <v>147</v>
      </c>
      <c r="G862" s="71">
        <v>1</v>
      </c>
      <c r="H862" s="72">
        <v>0.13750000000000001</v>
      </c>
      <c r="I862" s="71" t="b">
        <v>1</v>
      </c>
      <c r="J862" s="71">
        <v>62</v>
      </c>
      <c r="K862" s="71">
        <v>72</v>
      </c>
      <c r="L862" s="71">
        <v>79</v>
      </c>
      <c r="M862" s="71">
        <v>14</v>
      </c>
      <c r="N862" s="71">
        <v>20</v>
      </c>
      <c r="O862" s="71">
        <v>0</v>
      </c>
      <c r="P862" s="71">
        <v>11</v>
      </c>
      <c r="Q862" s="71">
        <v>38</v>
      </c>
      <c r="R862" s="71">
        <v>110</v>
      </c>
      <c r="S862" s="71" t="s">
        <v>48</v>
      </c>
      <c r="T862" s="73">
        <v>45751</v>
      </c>
      <c r="U862" s="71" t="s">
        <v>3864</v>
      </c>
      <c r="V862" s="71" t="b">
        <v>0</v>
      </c>
    </row>
    <row r="863" spans="1:22" ht="17.25">
      <c r="A863" s="70">
        <v>612</v>
      </c>
      <c r="B863" s="70" t="s">
        <v>2009</v>
      </c>
      <c r="C863" s="70" t="s">
        <v>221</v>
      </c>
      <c r="D863" s="70" t="s">
        <v>385</v>
      </c>
      <c r="E863" s="70" t="s">
        <v>219</v>
      </c>
      <c r="F863" s="71">
        <v>61</v>
      </c>
      <c r="G863" s="71">
        <v>3</v>
      </c>
      <c r="H863" s="72">
        <v>0.13750000000000001</v>
      </c>
      <c r="I863" s="71" t="b">
        <v>0</v>
      </c>
      <c r="J863" s="71">
        <v>55</v>
      </c>
      <c r="K863" s="71">
        <v>75</v>
      </c>
      <c r="L863" s="71">
        <v>92</v>
      </c>
      <c r="M863" s="71">
        <v>4</v>
      </c>
      <c r="N863" s="71">
        <v>66</v>
      </c>
      <c r="O863" s="71">
        <v>0</v>
      </c>
      <c r="P863" s="71">
        <v>10</v>
      </c>
      <c r="Q863" s="71">
        <v>49</v>
      </c>
      <c r="R863" s="71">
        <v>92</v>
      </c>
      <c r="S863" s="71" t="s">
        <v>143</v>
      </c>
      <c r="T863" s="73">
        <v>45793</v>
      </c>
      <c r="U863" s="71" t="s">
        <v>3865</v>
      </c>
      <c r="V863" s="71" t="b">
        <v>0</v>
      </c>
    </row>
    <row r="864" spans="1:22" ht="17.25">
      <c r="A864" s="70">
        <v>613</v>
      </c>
      <c r="B864" s="70" t="s">
        <v>2008</v>
      </c>
      <c r="C864" s="70" t="s">
        <v>651</v>
      </c>
      <c r="D864" s="70" t="s">
        <v>2007</v>
      </c>
      <c r="E864" s="70" t="s">
        <v>655</v>
      </c>
      <c r="F864" s="71">
        <v>160</v>
      </c>
      <c r="G864" s="71">
        <v>5</v>
      </c>
      <c r="H864" s="72" t="s">
        <v>4315</v>
      </c>
      <c r="I864" s="71" t="b">
        <v>0</v>
      </c>
      <c r="J864" s="71">
        <v>78</v>
      </c>
      <c r="K864" s="71">
        <v>74</v>
      </c>
      <c r="L864" s="71">
        <v>74</v>
      </c>
      <c r="M864" s="71">
        <v>6</v>
      </c>
      <c r="N864" s="71">
        <v>18</v>
      </c>
      <c r="O864" s="71">
        <v>0</v>
      </c>
      <c r="P864" s="71">
        <v>12</v>
      </c>
      <c r="Q864" s="71">
        <v>89</v>
      </c>
      <c r="R864" s="71">
        <v>135</v>
      </c>
      <c r="S864" s="71" t="s">
        <v>61</v>
      </c>
      <c r="T864" s="73" t="s">
        <v>4392</v>
      </c>
      <c r="U864" s="71" t="s">
        <v>3791</v>
      </c>
      <c r="V864" s="71" t="b">
        <v>0</v>
      </c>
    </row>
    <row r="865" spans="1:22" ht="17.25">
      <c r="A865" s="70">
        <v>613</v>
      </c>
      <c r="B865" s="70" t="s">
        <v>2008</v>
      </c>
      <c r="C865" s="70" t="s">
        <v>141</v>
      </c>
      <c r="D865" s="70" t="s">
        <v>2007</v>
      </c>
      <c r="E865" s="70" t="s">
        <v>655</v>
      </c>
      <c r="F865" s="71">
        <v>160</v>
      </c>
      <c r="G865" s="71">
        <v>5</v>
      </c>
      <c r="H865" s="72" t="s">
        <v>4315</v>
      </c>
      <c r="I865" s="71" t="b">
        <v>0</v>
      </c>
      <c r="J865" s="71">
        <v>78</v>
      </c>
      <c r="K865" s="71">
        <v>74</v>
      </c>
      <c r="L865" s="71">
        <v>74</v>
      </c>
      <c r="M865" s="71">
        <v>6</v>
      </c>
      <c r="N865" s="71">
        <v>18</v>
      </c>
      <c r="O865" s="71">
        <v>0</v>
      </c>
      <c r="P865" s="71">
        <v>12</v>
      </c>
      <c r="Q865" s="71">
        <v>89</v>
      </c>
      <c r="R865" s="71">
        <v>135</v>
      </c>
      <c r="S865" s="71" t="s">
        <v>61</v>
      </c>
      <c r="T865" s="73" t="s">
        <v>4392</v>
      </c>
      <c r="U865" s="71" t="s">
        <v>3791</v>
      </c>
      <c r="V865" s="71" t="b">
        <v>0</v>
      </c>
    </row>
    <row r="866" spans="1:22" ht="17.25">
      <c r="A866" s="70">
        <v>614</v>
      </c>
      <c r="B866" s="70" t="s">
        <v>2006</v>
      </c>
      <c r="C866" s="70" t="s">
        <v>2005</v>
      </c>
      <c r="D866" s="70" t="s">
        <v>2004</v>
      </c>
      <c r="E866" s="70" t="s">
        <v>2003</v>
      </c>
      <c r="F866" s="71">
        <v>121</v>
      </c>
      <c r="G866" s="71">
        <v>1</v>
      </c>
      <c r="H866" s="72">
        <v>0.24652777777777779</v>
      </c>
      <c r="I866" s="71" t="b">
        <v>0</v>
      </c>
      <c r="J866" s="71">
        <v>33</v>
      </c>
      <c r="K866" s="71">
        <v>83</v>
      </c>
      <c r="L866" s="71">
        <v>85</v>
      </c>
      <c r="M866" s="71">
        <v>10</v>
      </c>
      <c r="N866" s="71">
        <v>0</v>
      </c>
      <c r="O866" s="71">
        <v>0</v>
      </c>
      <c r="P866" s="71">
        <v>9</v>
      </c>
      <c r="Q866" s="71">
        <v>52</v>
      </c>
      <c r="R866" s="71">
        <v>158</v>
      </c>
      <c r="S866" s="71" t="s">
        <v>83</v>
      </c>
      <c r="T866" s="73">
        <v>25829</v>
      </c>
      <c r="U866" s="71" t="s">
        <v>3630</v>
      </c>
      <c r="V866" s="71" t="b">
        <v>0</v>
      </c>
    </row>
    <row r="867" spans="1:22" ht="17.25">
      <c r="A867" s="70">
        <v>615</v>
      </c>
      <c r="B867" s="70" t="s">
        <v>2002</v>
      </c>
      <c r="C867" s="70" t="s">
        <v>2000</v>
      </c>
      <c r="D867" s="70" t="s">
        <v>2001</v>
      </c>
      <c r="E867" s="70" t="s">
        <v>2000</v>
      </c>
      <c r="F867" s="71">
        <v>1</v>
      </c>
      <c r="G867" s="71">
        <v>49</v>
      </c>
      <c r="H867" s="72">
        <v>0.10277777777777777</v>
      </c>
      <c r="I867" s="71" t="b">
        <v>0</v>
      </c>
      <c r="J867" s="71">
        <v>60</v>
      </c>
      <c r="K867" s="71">
        <v>95</v>
      </c>
      <c r="L867" s="71">
        <v>93</v>
      </c>
      <c r="M867" s="71">
        <v>4</v>
      </c>
      <c r="N867" s="71">
        <v>0</v>
      </c>
      <c r="O867" s="71">
        <v>1</v>
      </c>
      <c r="P867" s="71">
        <v>8</v>
      </c>
      <c r="Q867" s="71">
        <v>75</v>
      </c>
      <c r="R867" s="71">
        <v>152</v>
      </c>
      <c r="S867" s="71" t="s">
        <v>43</v>
      </c>
      <c r="T867" s="73">
        <v>45370</v>
      </c>
      <c r="U867" s="71" t="s">
        <v>3866</v>
      </c>
      <c r="V867" s="71" t="b">
        <v>0</v>
      </c>
    </row>
    <row r="868" spans="1:22" ht="17.25">
      <c r="A868" s="70">
        <v>616</v>
      </c>
      <c r="B868" s="70" t="s">
        <v>1999</v>
      </c>
      <c r="C868" s="70" t="s">
        <v>4715</v>
      </c>
      <c r="D868" s="70" t="s">
        <v>1998</v>
      </c>
      <c r="E868" s="70" t="s">
        <v>1997</v>
      </c>
      <c r="F868" s="71">
        <v>95</v>
      </c>
      <c r="G868" s="71">
        <v>2</v>
      </c>
      <c r="H868" s="72" t="s">
        <v>4315</v>
      </c>
      <c r="I868" s="71" t="b">
        <v>0</v>
      </c>
      <c r="J868" s="71">
        <v>75</v>
      </c>
      <c r="K868" s="71">
        <v>69</v>
      </c>
      <c r="L868" s="71">
        <v>73</v>
      </c>
      <c r="M868" s="71">
        <v>5</v>
      </c>
      <c r="N868" s="71">
        <v>24</v>
      </c>
      <c r="O868" s="71">
        <v>0</v>
      </c>
      <c r="P868" s="71">
        <v>14</v>
      </c>
      <c r="Q868" s="71">
        <v>63</v>
      </c>
      <c r="R868" s="71">
        <v>114</v>
      </c>
      <c r="S868" s="71" t="s">
        <v>1996</v>
      </c>
      <c r="T868" s="73" t="s">
        <v>4386</v>
      </c>
      <c r="U868" s="71" t="s">
        <v>3867</v>
      </c>
      <c r="V868" s="71" t="b">
        <v>0</v>
      </c>
    </row>
    <row r="869" spans="1:22" ht="17.25">
      <c r="A869" s="70">
        <v>616</v>
      </c>
      <c r="B869" s="70" t="s">
        <v>1999</v>
      </c>
      <c r="C869" s="70" t="s">
        <v>4488</v>
      </c>
      <c r="D869" s="70" t="s">
        <v>1998</v>
      </c>
      <c r="E869" s="70" t="s">
        <v>1997</v>
      </c>
      <c r="F869" s="71">
        <v>95</v>
      </c>
      <c r="G869" s="71">
        <v>2</v>
      </c>
      <c r="H869" s="72" t="s">
        <v>4315</v>
      </c>
      <c r="I869" s="71" t="b">
        <v>0</v>
      </c>
      <c r="J869" s="71">
        <v>75</v>
      </c>
      <c r="K869" s="71">
        <v>69</v>
      </c>
      <c r="L869" s="71">
        <v>73</v>
      </c>
      <c r="M869" s="71">
        <v>5</v>
      </c>
      <c r="N869" s="71">
        <v>24</v>
      </c>
      <c r="O869" s="71">
        <v>0</v>
      </c>
      <c r="P869" s="71">
        <v>14</v>
      </c>
      <c r="Q869" s="71">
        <v>63</v>
      </c>
      <c r="R869" s="71">
        <v>114</v>
      </c>
      <c r="S869" s="71" t="s">
        <v>1996</v>
      </c>
      <c r="T869" s="73" t="s">
        <v>4386</v>
      </c>
      <c r="U869" s="71" t="s">
        <v>3867</v>
      </c>
      <c r="V869" s="71" t="b">
        <v>0</v>
      </c>
    </row>
    <row r="870" spans="1:22" ht="17.25">
      <c r="A870" s="70">
        <v>617</v>
      </c>
      <c r="B870" s="70" t="s">
        <v>1995</v>
      </c>
      <c r="C870" s="70" t="s">
        <v>1993</v>
      </c>
      <c r="D870" s="70" t="s">
        <v>1994</v>
      </c>
      <c r="E870" s="70" t="s">
        <v>1993</v>
      </c>
      <c r="F870" s="71">
        <v>127</v>
      </c>
      <c r="G870" s="71">
        <v>3</v>
      </c>
      <c r="H870" s="72" t="s">
        <v>4320</v>
      </c>
      <c r="I870" s="71" t="b">
        <v>0</v>
      </c>
      <c r="J870" s="71">
        <v>73</v>
      </c>
      <c r="K870" s="71">
        <v>61</v>
      </c>
      <c r="L870" s="71">
        <v>72</v>
      </c>
      <c r="M870" s="71">
        <v>6</v>
      </c>
      <c r="N870" s="71">
        <v>36</v>
      </c>
      <c r="O870" s="71">
        <v>0</v>
      </c>
      <c r="P870" s="71">
        <v>12</v>
      </c>
      <c r="Q870" s="71">
        <v>60</v>
      </c>
      <c r="R870" s="71">
        <v>98</v>
      </c>
      <c r="S870" s="71" t="s">
        <v>1045</v>
      </c>
      <c r="T870" s="73" t="s">
        <v>4388</v>
      </c>
      <c r="U870" s="71" t="s">
        <v>3868</v>
      </c>
      <c r="V870" s="71" t="b">
        <v>0</v>
      </c>
    </row>
    <row r="871" spans="1:22" ht="17.25">
      <c r="A871" s="70">
        <v>617</v>
      </c>
      <c r="B871" s="70" t="s">
        <v>1995</v>
      </c>
      <c r="C871" s="70" t="s">
        <v>4654</v>
      </c>
      <c r="D871" s="70" t="s">
        <v>1994</v>
      </c>
      <c r="E871" s="70" t="s">
        <v>1993</v>
      </c>
      <c r="F871" s="71">
        <v>127</v>
      </c>
      <c r="G871" s="71">
        <v>3</v>
      </c>
      <c r="H871" s="72" t="s">
        <v>4320</v>
      </c>
      <c r="I871" s="71" t="b">
        <v>0</v>
      </c>
      <c r="J871" s="71">
        <v>73</v>
      </c>
      <c r="K871" s="71">
        <v>61</v>
      </c>
      <c r="L871" s="71">
        <v>72</v>
      </c>
      <c r="M871" s="71">
        <v>6</v>
      </c>
      <c r="N871" s="71">
        <v>36</v>
      </c>
      <c r="O871" s="71">
        <v>0</v>
      </c>
      <c r="P871" s="71">
        <v>12</v>
      </c>
      <c r="Q871" s="71">
        <v>60</v>
      </c>
      <c r="R871" s="71">
        <v>98</v>
      </c>
      <c r="S871" s="71" t="s">
        <v>1045</v>
      </c>
      <c r="T871" s="73" t="s">
        <v>4388</v>
      </c>
      <c r="U871" s="71" t="s">
        <v>3868</v>
      </c>
      <c r="V871" s="71" t="b">
        <v>0</v>
      </c>
    </row>
    <row r="872" spans="1:22" ht="17.25">
      <c r="A872" s="70">
        <v>618</v>
      </c>
      <c r="B872" s="70" t="s">
        <v>1992</v>
      </c>
      <c r="C872" s="70" t="s">
        <v>977</v>
      </c>
      <c r="D872" s="70" t="s">
        <v>1991</v>
      </c>
      <c r="E872" s="70" t="s">
        <v>975</v>
      </c>
      <c r="F872" s="71">
        <v>180</v>
      </c>
      <c r="G872" s="71">
        <v>1</v>
      </c>
      <c r="H872" s="72">
        <v>0.17291666666666666</v>
      </c>
      <c r="I872" s="71" t="b">
        <v>0</v>
      </c>
      <c r="J872" s="71">
        <v>59</v>
      </c>
      <c r="K872" s="71">
        <v>47</v>
      </c>
      <c r="L872" s="71">
        <v>84</v>
      </c>
      <c r="M872" s="71">
        <v>4</v>
      </c>
      <c r="N872" s="71">
        <v>68</v>
      </c>
      <c r="O872" s="71">
        <v>0</v>
      </c>
      <c r="P872" s="71">
        <v>7</v>
      </c>
      <c r="Q872" s="71">
        <v>74</v>
      </c>
      <c r="R872" s="71">
        <v>204</v>
      </c>
      <c r="S872" s="71" t="s">
        <v>143</v>
      </c>
      <c r="T872" s="73">
        <v>30529</v>
      </c>
      <c r="U872" s="71" t="s">
        <v>3869</v>
      </c>
      <c r="V872" s="71" t="b">
        <v>0</v>
      </c>
    </row>
    <row r="873" spans="1:22" ht="17.25">
      <c r="A873" s="70">
        <v>618</v>
      </c>
      <c r="B873" s="70" t="s">
        <v>1992</v>
      </c>
      <c r="C873" s="70" t="s">
        <v>4716</v>
      </c>
      <c r="D873" s="70" t="s">
        <v>1991</v>
      </c>
      <c r="E873" s="70" t="s">
        <v>975</v>
      </c>
      <c r="F873" s="71">
        <v>180</v>
      </c>
      <c r="G873" s="71">
        <v>1</v>
      </c>
      <c r="H873" s="72">
        <v>0.17291666666666666</v>
      </c>
      <c r="I873" s="71" t="b">
        <v>0</v>
      </c>
      <c r="J873" s="71">
        <v>59</v>
      </c>
      <c r="K873" s="71">
        <v>47</v>
      </c>
      <c r="L873" s="71">
        <v>84</v>
      </c>
      <c r="M873" s="71">
        <v>4</v>
      </c>
      <c r="N873" s="71">
        <v>68</v>
      </c>
      <c r="O873" s="71">
        <v>0</v>
      </c>
      <c r="P873" s="71">
        <v>7</v>
      </c>
      <c r="Q873" s="71">
        <v>74</v>
      </c>
      <c r="R873" s="71">
        <v>204</v>
      </c>
      <c r="S873" s="71" t="s">
        <v>143</v>
      </c>
      <c r="T873" s="73">
        <v>30529</v>
      </c>
      <c r="U873" s="71" t="s">
        <v>3869</v>
      </c>
      <c r="V873" s="71" t="b">
        <v>0</v>
      </c>
    </row>
    <row r="874" spans="1:22" ht="17.25">
      <c r="A874" s="70">
        <v>619</v>
      </c>
      <c r="B874" s="70" t="s">
        <v>1990</v>
      </c>
      <c r="C874" s="70" t="s">
        <v>221</v>
      </c>
      <c r="D874" s="70" t="s">
        <v>1989</v>
      </c>
      <c r="E874" s="70" t="s">
        <v>219</v>
      </c>
      <c r="F874" s="71">
        <v>89</v>
      </c>
      <c r="G874" s="71">
        <v>1</v>
      </c>
      <c r="H874" s="72">
        <v>0.13750000000000001</v>
      </c>
      <c r="I874" s="71" t="b">
        <v>0</v>
      </c>
      <c r="J874" s="71">
        <v>62</v>
      </c>
      <c r="K874" s="71">
        <v>68</v>
      </c>
      <c r="L874" s="71">
        <v>78</v>
      </c>
      <c r="M874" s="71">
        <v>6</v>
      </c>
      <c r="N874" s="71">
        <v>25</v>
      </c>
      <c r="O874" s="71">
        <v>0</v>
      </c>
      <c r="P874" s="71">
        <v>11</v>
      </c>
      <c r="Q874" s="71">
        <v>50</v>
      </c>
      <c r="R874" s="71">
        <v>100</v>
      </c>
      <c r="S874" s="71" t="s">
        <v>143</v>
      </c>
      <c r="T874" s="73">
        <v>45793</v>
      </c>
      <c r="U874" s="71" t="s">
        <v>3870</v>
      </c>
      <c r="V874" s="71" t="b">
        <v>0</v>
      </c>
    </row>
    <row r="875" spans="1:22" ht="17.25">
      <c r="A875" s="70">
        <v>620</v>
      </c>
      <c r="B875" s="70" t="s">
        <v>1988</v>
      </c>
      <c r="C875" s="70" t="s">
        <v>1987</v>
      </c>
      <c r="D875" s="70" t="s">
        <v>1986</v>
      </c>
      <c r="E875" s="70" t="s">
        <v>62</v>
      </c>
      <c r="F875" s="71">
        <v>183</v>
      </c>
      <c r="G875" s="71">
        <v>2</v>
      </c>
      <c r="H875" s="72">
        <v>0.12847222222222221</v>
      </c>
      <c r="I875" s="71" t="b">
        <v>1</v>
      </c>
      <c r="J875" s="71">
        <v>75</v>
      </c>
      <c r="K875" s="71">
        <v>70</v>
      </c>
      <c r="L875" s="71">
        <v>87</v>
      </c>
      <c r="M875" s="71">
        <v>5</v>
      </c>
      <c r="N875" s="71">
        <v>51</v>
      </c>
      <c r="O875" s="71">
        <v>2</v>
      </c>
      <c r="P875" s="71">
        <v>9</v>
      </c>
      <c r="Q875" s="71">
        <v>39</v>
      </c>
      <c r="R875" s="71">
        <v>110</v>
      </c>
      <c r="S875" s="71" t="s">
        <v>61</v>
      </c>
      <c r="T875" s="73">
        <v>45611</v>
      </c>
      <c r="U875" s="71" t="s">
        <v>3871</v>
      </c>
      <c r="V875" s="71" t="b">
        <v>0</v>
      </c>
    </row>
    <row r="876" spans="1:22" ht="17.25">
      <c r="A876" s="70">
        <v>621</v>
      </c>
      <c r="B876" s="70" t="s">
        <v>1985</v>
      </c>
      <c r="C876" s="70" t="s">
        <v>1859</v>
      </c>
      <c r="D876" s="70" t="s">
        <v>1858</v>
      </c>
      <c r="E876" s="70" t="s">
        <v>718</v>
      </c>
      <c r="F876" s="71">
        <v>108</v>
      </c>
      <c r="G876" s="71">
        <v>173</v>
      </c>
      <c r="H876" s="72">
        <v>0.1673611111111111</v>
      </c>
      <c r="I876" s="71" t="b">
        <v>0</v>
      </c>
      <c r="J876" s="71">
        <v>57</v>
      </c>
      <c r="K876" s="71">
        <v>66</v>
      </c>
      <c r="L876" s="71">
        <v>91</v>
      </c>
      <c r="M876" s="71">
        <v>5</v>
      </c>
      <c r="N876" s="71">
        <v>64</v>
      </c>
      <c r="O876" s="71">
        <v>0</v>
      </c>
      <c r="P876" s="71">
        <v>12</v>
      </c>
      <c r="Q876" s="71">
        <v>44</v>
      </c>
      <c r="R876" s="71">
        <v>129</v>
      </c>
      <c r="S876" s="71" t="s">
        <v>1028</v>
      </c>
      <c r="T876" s="73">
        <v>41533</v>
      </c>
      <c r="U876" s="71" t="s">
        <v>3872</v>
      </c>
      <c r="V876" s="71" t="b">
        <v>0</v>
      </c>
    </row>
    <row r="877" spans="1:22" ht="17.25">
      <c r="A877" s="70">
        <v>622</v>
      </c>
      <c r="B877" s="70" t="s">
        <v>1984</v>
      </c>
      <c r="C877" s="70" t="s">
        <v>141</v>
      </c>
      <c r="D877" s="70" t="s">
        <v>1983</v>
      </c>
      <c r="E877" s="70" t="s">
        <v>62</v>
      </c>
      <c r="F877" s="71">
        <v>24</v>
      </c>
      <c r="G877" s="71">
        <v>16</v>
      </c>
      <c r="H877" s="72">
        <v>0.12847222222222221</v>
      </c>
      <c r="I877" s="71" t="b">
        <v>1</v>
      </c>
      <c r="J877" s="71">
        <v>76</v>
      </c>
      <c r="K877" s="71">
        <v>75</v>
      </c>
      <c r="L877" s="71">
        <v>93</v>
      </c>
      <c r="M877" s="71">
        <v>7</v>
      </c>
      <c r="N877" s="71">
        <v>48</v>
      </c>
      <c r="O877" s="71">
        <v>0</v>
      </c>
      <c r="P877" s="71">
        <v>9</v>
      </c>
      <c r="Q877" s="71">
        <v>46</v>
      </c>
      <c r="R877" s="71">
        <v>110</v>
      </c>
      <c r="S877" s="71" t="s">
        <v>61</v>
      </c>
      <c r="T877" s="73">
        <v>45730</v>
      </c>
      <c r="U877" s="71" t="s">
        <v>3873</v>
      </c>
      <c r="V877" s="71" t="b">
        <v>0</v>
      </c>
    </row>
    <row r="878" spans="1:22" ht="17.25">
      <c r="A878" s="70">
        <v>624</v>
      </c>
      <c r="B878" s="70" t="s">
        <v>1979</v>
      </c>
      <c r="C878" s="70" t="s">
        <v>126</v>
      </c>
      <c r="D878" s="70" t="s">
        <v>1978</v>
      </c>
      <c r="E878" s="70" t="s">
        <v>124</v>
      </c>
      <c r="F878" s="71">
        <v>67</v>
      </c>
      <c r="G878" s="71">
        <v>8</v>
      </c>
      <c r="H878" s="72">
        <v>0.13750000000000001</v>
      </c>
      <c r="I878" s="71" t="b">
        <v>0</v>
      </c>
      <c r="J878" s="71">
        <v>69</v>
      </c>
      <c r="K878" s="71">
        <v>75</v>
      </c>
      <c r="L878" s="71">
        <v>91</v>
      </c>
      <c r="M878" s="71">
        <v>9</v>
      </c>
      <c r="N878" s="71">
        <v>6</v>
      </c>
      <c r="O878" s="71">
        <v>0</v>
      </c>
      <c r="P878" s="71">
        <v>11</v>
      </c>
      <c r="Q878" s="71">
        <v>56</v>
      </c>
      <c r="R878" s="71">
        <v>66</v>
      </c>
      <c r="S878" s="71" t="s">
        <v>115</v>
      </c>
      <c r="T878" s="73">
        <v>45744</v>
      </c>
      <c r="U878" s="71" t="s">
        <v>3874</v>
      </c>
      <c r="V878" s="71" t="b">
        <v>0</v>
      </c>
    </row>
    <row r="879" spans="1:22" ht="17.25">
      <c r="A879" s="70">
        <v>625</v>
      </c>
      <c r="B879" s="70" t="s">
        <v>1977</v>
      </c>
      <c r="C879" s="70" t="s">
        <v>1976</v>
      </c>
      <c r="D879" s="70" t="s">
        <v>1975</v>
      </c>
      <c r="E879" s="70" t="s">
        <v>120</v>
      </c>
      <c r="F879" s="71">
        <v>52</v>
      </c>
      <c r="G879" s="71">
        <v>32</v>
      </c>
      <c r="H879" s="72">
        <v>0.14444444444444443</v>
      </c>
      <c r="I879" s="71" t="b">
        <v>1</v>
      </c>
      <c r="J879" s="71">
        <v>67</v>
      </c>
      <c r="K879" s="71">
        <v>54</v>
      </c>
      <c r="L879" s="71">
        <v>89</v>
      </c>
      <c r="M879" s="71">
        <v>4</v>
      </c>
      <c r="N879" s="71">
        <v>27</v>
      </c>
      <c r="O879" s="71">
        <v>0</v>
      </c>
      <c r="P879" s="71">
        <v>8</v>
      </c>
      <c r="Q879" s="71">
        <v>8</v>
      </c>
      <c r="R879" s="71">
        <v>120</v>
      </c>
      <c r="S879" s="71" t="s">
        <v>1974</v>
      </c>
      <c r="T879" s="73">
        <v>42755</v>
      </c>
      <c r="U879" s="71" t="s">
        <v>3875</v>
      </c>
      <c r="V879" s="71" t="b">
        <v>0</v>
      </c>
    </row>
    <row r="880" spans="1:22" ht="17.25">
      <c r="A880" s="70">
        <v>626</v>
      </c>
      <c r="B880" s="70" t="s">
        <v>1973</v>
      </c>
      <c r="C880" s="70" t="s">
        <v>221</v>
      </c>
      <c r="D880" s="70" t="s">
        <v>1972</v>
      </c>
      <c r="E880" s="70" t="s">
        <v>219</v>
      </c>
      <c r="F880" s="71">
        <v>83</v>
      </c>
      <c r="G880" s="71">
        <v>2</v>
      </c>
      <c r="H880" s="72">
        <v>0.13750000000000001</v>
      </c>
      <c r="I880" s="71" t="b">
        <v>0</v>
      </c>
      <c r="J880" s="71">
        <v>50</v>
      </c>
      <c r="K880" s="71">
        <v>22</v>
      </c>
      <c r="L880" s="71">
        <v>81</v>
      </c>
      <c r="M880" s="71">
        <v>3</v>
      </c>
      <c r="N880" s="71">
        <v>94</v>
      </c>
      <c r="O880" s="71">
        <v>0</v>
      </c>
      <c r="P880" s="71">
        <v>8</v>
      </c>
      <c r="Q880" s="71">
        <v>40</v>
      </c>
      <c r="R880" s="71">
        <v>126</v>
      </c>
      <c r="S880" s="71" t="s">
        <v>143</v>
      </c>
      <c r="T880" s="73">
        <v>45793</v>
      </c>
      <c r="U880" s="71" t="s">
        <v>3876</v>
      </c>
      <c r="V880" s="71" t="b">
        <v>0</v>
      </c>
    </row>
    <row r="881" spans="1:22" ht="17.25">
      <c r="A881" s="70">
        <v>627</v>
      </c>
      <c r="B881" s="70" t="s">
        <v>1971</v>
      </c>
      <c r="C881" s="70" t="s">
        <v>1970</v>
      </c>
      <c r="D881" s="70" t="s">
        <v>1969</v>
      </c>
      <c r="E881" s="70" t="s">
        <v>168</v>
      </c>
      <c r="F881" s="71">
        <v>154</v>
      </c>
      <c r="G881" s="71">
        <v>3</v>
      </c>
      <c r="H881" s="72" t="s">
        <v>4317</v>
      </c>
      <c r="I881" s="71" t="b">
        <v>1</v>
      </c>
      <c r="J881" s="71">
        <v>66</v>
      </c>
      <c r="K881" s="71">
        <v>64</v>
      </c>
      <c r="L881" s="71">
        <v>72</v>
      </c>
      <c r="M881" s="71">
        <v>4</v>
      </c>
      <c r="N881" s="71">
        <v>29</v>
      </c>
      <c r="O881" s="71">
        <v>0</v>
      </c>
      <c r="P881" s="71">
        <v>11</v>
      </c>
      <c r="Q881" s="71">
        <v>51</v>
      </c>
      <c r="R881" s="71">
        <v>126</v>
      </c>
      <c r="S881" s="71" t="s">
        <v>88</v>
      </c>
      <c r="T881" s="73" t="s">
        <v>4350</v>
      </c>
      <c r="U881" s="71" t="s">
        <v>3877</v>
      </c>
      <c r="V881" s="71" t="b">
        <v>0</v>
      </c>
    </row>
    <row r="882" spans="1:22" ht="17.25">
      <c r="A882" s="70">
        <v>628</v>
      </c>
      <c r="B882" s="70" t="s">
        <v>1968</v>
      </c>
      <c r="C882" s="70" t="s">
        <v>383</v>
      </c>
      <c r="D882" s="70" t="s">
        <v>1967</v>
      </c>
      <c r="E882" s="70" t="s">
        <v>381</v>
      </c>
      <c r="F882" s="71">
        <v>30</v>
      </c>
      <c r="G882" s="71">
        <v>8</v>
      </c>
      <c r="H882" s="72">
        <v>0.12847222222222221</v>
      </c>
      <c r="I882" s="71" t="b">
        <v>1</v>
      </c>
      <c r="J882" s="71">
        <v>75</v>
      </c>
      <c r="K882" s="71">
        <v>53</v>
      </c>
      <c r="L882" s="71">
        <v>87</v>
      </c>
      <c r="M882" s="71">
        <v>4</v>
      </c>
      <c r="N882" s="71">
        <v>1</v>
      </c>
      <c r="O882" s="71">
        <v>0</v>
      </c>
      <c r="P882" s="71">
        <v>8</v>
      </c>
      <c r="Q882" s="71">
        <v>37</v>
      </c>
      <c r="R882" s="71">
        <v>115</v>
      </c>
      <c r="S882" s="71" t="s">
        <v>96</v>
      </c>
      <c r="T882" s="73">
        <v>45709</v>
      </c>
      <c r="U882" s="71" t="s">
        <v>3411</v>
      </c>
      <c r="V882" s="71" t="b">
        <v>0</v>
      </c>
    </row>
    <row r="883" spans="1:22" ht="17.25">
      <c r="A883" s="70">
        <v>629</v>
      </c>
      <c r="B883" s="70" t="s">
        <v>1966</v>
      </c>
      <c r="C883" s="70" t="s">
        <v>1965</v>
      </c>
      <c r="D883" s="70" t="s">
        <v>818</v>
      </c>
      <c r="E883" s="70" t="s">
        <v>44</v>
      </c>
      <c r="F883" s="71">
        <v>63</v>
      </c>
      <c r="G883" s="71">
        <v>26</v>
      </c>
      <c r="H883" s="72">
        <v>0.10972222222222222</v>
      </c>
      <c r="I883" s="71" t="b">
        <v>0</v>
      </c>
      <c r="J883" s="71">
        <v>58</v>
      </c>
      <c r="K883" s="71">
        <v>55</v>
      </c>
      <c r="L883" s="71">
        <v>74</v>
      </c>
      <c r="M883" s="71">
        <v>4</v>
      </c>
      <c r="N883" s="71">
        <v>55</v>
      </c>
      <c r="O883" s="71">
        <v>0</v>
      </c>
      <c r="P883" s="71">
        <v>15</v>
      </c>
      <c r="Q883" s="71">
        <v>78</v>
      </c>
      <c r="R883" s="71">
        <v>120</v>
      </c>
      <c r="S883" s="71" t="s">
        <v>29</v>
      </c>
      <c r="T883" s="73">
        <v>34636</v>
      </c>
      <c r="U883" s="71" t="s">
        <v>3480</v>
      </c>
      <c r="V883" s="71" t="b">
        <v>1</v>
      </c>
    </row>
    <row r="884" spans="1:22" ht="17.25">
      <c r="A884" s="70">
        <v>630</v>
      </c>
      <c r="B884" s="70" t="s">
        <v>1964</v>
      </c>
      <c r="C884" s="70" t="s">
        <v>304</v>
      </c>
      <c r="D884" s="70" t="s">
        <v>1963</v>
      </c>
      <c r="E884" s="70" t="s">
        <v>30</v>
      </c>
      <c r="F884" s="71">
        <v>18</v>
      </c>
      <c r="G884" s="71">
        <v>76</v>
      </c>
      <c r="H884" s="72">
        <v>0.12986111111111112</v>
      </c>
      <c r="I884" s="71" t="b">
        <v>0</v>
      </c>
      <c r="J884" s="71">
        <v>44</v>
      </c>
      <c r="K884" s="71">
        <v>82</v>
      </c>
      <c r="L884" s="71">
        <v>93</v>
      </c>
      <c r="M884" s="71">
        <v>34</v>
      </c>
      <c r="N884" s="71">
        <v>11</v>
      </c>
      <c r="O884" s="71">
        <v>0</v>
      </c>
      <c r="P884" s="71">
        <v>11</v>
      </c>
      <c r="Q884" s="71">
        <v>77</v>
      </c>
      <c r="R884" s="71">
        <v>83</v>
      </c>
      <c r="S884" s="71" t="s">
        <v>96</v>
      </c>
      <c r="T884" s="73">
        <v>42524</v>
      </c>
      <c r="U884" s="71" t="s">
        <v>3878</v>
      </c>
      <c r="V884" s="71" t="b">
        <v>0</v>
      </c>
    </row>
    <row r="885" spans="1:22" ht="17.25">
      <c r="A885" s="70">
        <v>631</v>
      </c>
      <c r="B885" s="70" t="s">
        <v>1962</v>
      </c>
      <c r="C885" s="70" t="s">
        <v>1961</v>
      </c>
      <c r="D885" s="70" t="s">
        <v>1960</v>
      </c>
      <c r="E885" s="70" t="s">
        <v>1959</v>
      </c>
      <c r="F885" s="71">
        <v>26</v>
      </c>
      <c r="G885" s="71">
        <v>13</v>
      </c>
      <c r="H885" s="72">
        <v>0.12291666666666666</v>
      </c>
      <c r="I885" s="71" t="b">
        <v>0</v>
      </c>
      <c r="J885" s="71">
        <v>55</v>
      </c>
      <c r="K885" s="71">
        <v>50</v>
      </c>
      <c r="L885" s="71">
        <v>73</v>
      </c>
      <c r="M885" s="71">
        <v>4</v>
      </c>
      <c r="N885" s="71">
        <v>55</v>
      </c>
      <c r="O885" s="71">
        <v>0</v>
      </c>
      <c r="P885" s="71">
        <v>15</v>
      </c>
      <c r="Q885" s="71">
        <v>72</v>
      </c>
      <c r="R885" s="71">
        <v>120</v>
      </c>
      <c r="S885" s="71" t="s">
        <v>29</v>
      </c>
      <c r="T885" s="73">
        <v>28807</v>
      </c>
      <c r="U885" s="71" t="s">
        <v>3879</v>
      </c>
      <c r="V885" s="71" t="b">
        <v>1</v>
      </c>
    </row>
    <row r="886" spans="1:22" ht="17.25">
      <c r="A886" s="70">
        <v>632</v>
      </c>
      <c r="B886" s="70" t="s">
        <v>1958</v>
      </c>
      <c r="C886" s="70" t="s">
        <v>373</v>
      </c>
      <c r="D886" s="70" t="s">
        <v>1957</v>
      </c>
      <c r="E886" s="70" t="s">
        <v>371</v>
      </c>
      <c r="F886" s="71">
        <v>9</v>
      </c>
      <c r="G886" s="71">
        <v>124</v>
      </c>
      <c r="H886" s="72">
        <v>0.18124999999999999</v>
      </c>
      <c r="I886" s="71" t="b">
        <v>0</v>
      </c>
      <c r="J886" s="71">
        <v>47</v>
      </c>
      <c r="K886" s="71">
        <v>25</v>
      </c>
      <c r="L886" s="71">
        <v>80</v>
      </c>
      <c r="M886" s="71">
        <v>4</v>
      </c>
      <c r="N886" s="71">
        <v>61</v>
      </c>
      <c r="O886" s="71">
        <v>0</v>
      </c>
      <c r="P886" s="71">
        <v>17</v>
      </c>
      <c r="Q886" s="71">
        <v>13</v>
      </c>
      <c r="R886" s="71">
        <v>148</v>
      </c>
      <c r="S886" s="71" t="s">
        <v>96</v>
      </c>
      <c r="T886" s="73">
        <v>45429</v>
      </c>
      <c r="U886" s="71" t="s">
        <v>3880</v>
      </c>
      <c r="V886" s="71" t="b">
        <v>0</v>
      </c>
    </row>
    <row r="887" spans="1:22" ht="17.25">
      <c r="A887" s="70">
        <v>633</v>
      </c>
      <c r="B887" s="70" t="s">
        <v>1956</v>
      </c>
      <c r="C887" s="70" t="s">
        <v>1955</v>
      </c>
      <c r="D887" s="70" t="s">
        <v>1954</v>
      </c>
      <c r="E887" s="70" t="s">
        <v>1953</v>
      </c>
      <c r="F887" s="71">
        <v>34</v>
      </c>
      <c r="G887" s="71">
        <v>37</v>
      </c>
      <c r="H887" s="72">
        <v>8.9583333333333334E-2</v>
      </c>
      <c r="I887" s="71" t="b">
        <v>0</v>
      </c>
      <c r="J887" s="71">
        <v>52</v>
      </c>
      <c r="K887" s="71">
        <v>48</v>
      </c>
      <c r="L887" s="71">
        <v>72</v>
      </c>
      <c r="M887" s="71">
        <v>3</v>
      </c>
      <c r="N887" s="71">
        <v>55</v>
      </c>
      <c r="O887" s="71">
        <v>0</v>
      </c>
      <c r="P887" s="71">
        <v>15</v>
      </c>
      <c r="Q887" s="71">
        <v>68</v>
      </c>
      <c r="R887" s="71">
        <v>115</v>
      </c>
      <c r="S887" s="71" t="s">
        <v>29</v>
      </c>
      <c r="T887" s="73">
        <v>21125</v>
      </c>
      <c r="U887" s="71" t="s">
        <v>3881</v>
      </c>
      <c r="V887" s="71" t="b">
        <v>1</v>
      </c>
    </row>
    <row r="888" spans="1:22" ht="17.25">
      <c r="A888" s="70">
        <v>634</v>
      </c>
      <c r="B888" s="70" t="s">
        <v>1952</v>
      </c>
      <c r="C888" s="70" t="s">
        <v>151</v>
      </c>
      <c r="D888" s="70" t="s">
        <v>1951</v>
      </c>
      <c r="E888" s="70" t="s">
        <v>44</v>
      </c>
      <c r="F888" s="71">
        <v>38</v>
      </c>
      <c r="G888" s="71">
        <v>2</v>
      </c>
      <c r="H888" s="72" t="s">
        <v>4322</v>
      </c>
      <c r="I888" s="71" t="b">
        <v>0</v>
      </c>
      <c r="J888" s="71">
        <v>61</v>
      </c>
      <c r="K888" s="71">
        <v>50</v>
      </c>
      <c r="L888" s="71">
        <v>71</v>
      </c>
      <c r="M888" s="71">
        <v>4</v>
      </c>
      <c r="N888" s="71">
        <v>49</v>
      </c>
      <c r="O888" s="71">
        <v>0</v>
      </c>
      <c r="P888" s="71">
        <v>14</v>
      </c>
      <c r="Q888" s="71">
        <v>42</v>
      </c>
      <c r="R888" s="71">
        <v>98</v>
      </c>
      <c r="S888" s="71" t="s">
        <v>96</v>
      </c>
      <c r="T888" s="73" t="s">
        <v>4345</v>
      </c>
      <c r="U888" s="71" t="s">
        <v>3389</v>
      </c>
      <c r="V888" s="71" t="b">
        <v>0</v>
      </c>
    </row>
    <row r="889" spans="1:22" ht="17.25">
      <c r="A889" s="70">
        <v>635</v>
      </c>
      <c r="B889" s="70" t="s">
        <v>1950</v>
      </c>
      <c r="C889" s="70" t="s">
        <v>4579</v>
      </c>
      <c r="D889" s="70" t="s">
        <v>1949</v>
      </c>
      <c r="E889" s="70" t="s">
        <v>924</v>
      </c>
      <c r="F889" s="71">
        <v>6</v>
      </c>
      <c r="G889" s="71">
        <v>25</v>
      </c>
      <c r="H889" s="72" t="s">
        <v>4315</v>
      </c>
      <c r="I889" s="71" t="b">
        <v>0</v>
      </c>
      <c r="J889" s="71">
        <v>84</v>
      </c>
      <c r="K889" s="71">
        <v>81</v>
      </c>
      <c r="L889" s="71">
        <v>76</v>
      </c>
      <c r="M889" s="71">
        <v>9</v>
      </c>
      <c r="N889" s="71">
        <v>9</v>
      </c>
      <c r="O889" s="71">
        <v>0</v>
      </c>
      <c r="P889" s="71">
        <v>20</v>
      </c>
      <c r="Q889" s="71">
        <v>78</v>
      </c>
      <c r="R889" s="71">
        <v>124</v>
      </c>
      <c r="S889" s="71" t="s">
        <v>115</v>
      </c>
      <c r="T889" s="73" t="s">
        <v>4386</v>
      </c>
      <c r="U889" s="71" t="s">
        <v>3394</v>
      </c>
      <c r="V889" s="71" t="b">
        <v>0</v>
      </c>
    </row>
    <row r="890" spans="1:22" ht="17.25">
      <c r="A890" s="70">
        <v>635</v>
      </c>
      <c r="B890" s="70" t="s">
        <v>1950</v>
      </c>
      <c r="C890" s="70" t="s">
        <v>4578</v>
      </c>
      <c r="D890" s="70" t="s">
        <v>1949</v>
      </c>
      <c r="E890" s="70" t="s">
        <v>924</v>
      </c>
      <c r="F890" s="71">
        <v>6</v>
      </c>
      <c r="G890" s="71">
        <v>25</v>
      </c>
      <c r="H890" s="72" t="s">
        <v>4315</v>
      </c>
      <c r="I890" s="71" t="b">
        <v>0</v>
      </c>
      <c r="J890" s="71">
        <v>84</v>
      </c>
      <c r="K890" s="71">
        <v>81</v>
      </c>
      <c r="L890" s="71">
        <v>76</v>
      </c>
      <c r="M890" s="71">
        <v>9</v>
      </c>
      <c r="N890" s="71">
        <v>9</v>
      </c>
      <c r="O890" s="71">
        <v>0</v>
      </c>
      <c r="P890" s="71">
        <v>20</v>
      </c>
      <c r="Q890" s="71">
        <v>78</v>
      </c>
      <c r="R890" s="71">
        <v>124</v>
      </c>
      <c r="S890" s="71" t="s">
        <v>115</v>
      </c>
      <c r="T890" s="73" t="s">
        <v>4386</v>
      </c>
      <c r="U890" s="71" t="s">
        <v>3394</v>
      </c>
      <c r="V890" s="71" t="b">
        <v>0</v>
      </c>
    </row>
    <row r="891" spans="1:22" ht="17.25">
      <c r="A891" s="70">
        <v>635</v>
      </c>
      <c r="B891" s="70" t="s">
        <v>1950</v>
      </c>
      <c r="C891" s="70" t="s">
        <v>4411</v>
      </c>
      <c r="D891" s="70" t="s">
        <v>1949</v>
      </c>
      <c r="E891" s="70" t="s">
        <v>924</v>
      </c>
      <c r="F891" s="71">
        <v>6</v>
      </c>
      <c r="G891" s="71">
        <v>25</v>
      </c>
      <c r="H891" s="72" t="s">
        <v>4315</v>
      </c>
      <c r="I891" s="71" t="b">
        <v>0</v>
      </c>
      <c r="J891" s="71">
        <v>84</v>
      </c>
      <c r="K891" s="71">
        <v>81</v>
      </c>
      <c r="L891" s="71">
        <v>76</v>
      </c>
      <c r="M891" s="71">
        <v>9</v>
      </c>
      <c r="N891" s="71">
        <v>9</v>
      </c>
      <c r="O891" s="71">
        <v>0</v>
      </c>
      <c r="P891" s="71">
        <v>20</v>
      </c>
      <c r="Q891" s="71">
        <v>78</v>
      </c>
      <c r="R891" s="71">
        <v>124</v>
      </c>
      <c r="S891" s="71" t="s">
        <v>115</v>
      </c>
      <c r="T891" s="73" t="s">
        <v>4386</v>
      </c>
      <c r="U891" s="71" t="s">
        <v>3394</v>
      </c>
      <c r="V891" s="71" t="b">
        <v>0</v>
      </c>
    </row>
    <row r="892" spans="1:22" ht="17.25">
      <c r="A892" s="70">
        <v>635</v>
      </c>
      <c r="B892" s="70" t="s">
        <v>1950</v>
      </c>
      <c r="C892" s="70" t="s">
        <v>4561</v>
      </c>
      <c r="D892" s="70" t="s">
        <v>1949</v>
      </c>
      <c r="E892" s="70" t="s">
        <v>924</v>
      </c>
      <c r="F892" s="71">
        <v>6</v>
      </c>
      <c r="G892" s="71">
        <v>25</v>
      </c>
      <c r="H892" s="72" t="s">
        <v>4315</v>
      </c>
      <c r="I892" s="71" t="b">
        <v>0</v>
      </c>
      <c r="J892" s="71">
        <v>84</v>
      </c>
      <c r="K892" s="71">
        <v>81</v>
      </c>
      <c r="L892" s="71">
        <v>76</v>
      </c>
      <c r="M892" s="71">
        <v>9</v>
      </c>
      <c r="N892" s="71">
        <v>9</v>
      </c>
      <c r="O892" s="71">
        <v>0</v>
      </c>
      <c r="P892" s="71">
        <v>20</v>
      </c>
      <c r="Q892" s="71">
        <v>78</v>
      </c>
      <c r="R892" s="71">
        <v>124</v>
      </c>
      <c r="S892" s="71" t="s">
        <v>115</v>
      </c>
      <c r="T892" s="73" t="s">
        <v>4386</v>
      </c>
      <c r="U892" s="71" t="s">
        <v>3394</v>
      </c>
      <c r="V892" s="71" t="b">
        <v>0</v>
      </c>
    </row>
    <row r="893" spans="1:22" ht="17.25">
      <c r="A893" s="70">
        <v>635</v>
      </c>
      <c r="B893" s="70" t="s">
        <v>1950</v>
      </c>
      <c r="C893" s="70" t="s">
        <v>4580</v>
      </c>
      <c r="D893" s="70" t="s">
        <v>1949</v>
      </c>
      <c r="E893" s="70" t="s">
        <v>924</v>
      </c>
      <c r="F893" s="71">
        <v>6</v>
      </c>
      <c r="G893" s="71">
        <v>25</v>
      </c>
      <c r="H893" s="72" t="s">
        <v>4315</v>
      </c>
      <c r="I893" s="71" t="b">
        <v>0</v>
      </c>
      <c r="J893" s="71">
        <v>84</v>
      </c>
      <c r="K893" s="71">
        <v>81</v>
      </c>
      <c r="L893" s="71">
        <v>76</v>
      </c>
      <c r="M893" s="71">
        <v>9</v>
      </c>
      <c r="N893" s="71">
        <v>9</v>
      </c>
      <c r="O893" s="71">
        <v>0</v>
      </c>
      <c r="P893" s="71">
        <v>20</v>
      </c>
      <c r="Q893" s="71">
        <v>78</v>
      </c>
      <c r="R893" s="71">
        <v>124</v>
      </c>
      <c r="S893" s="71" t="s">
        <v>115</v>
      </c>
      <c r="T893" s="73" t="s">
        <v>4386</v>
      </c>
      <c r="U893" s="71" t="s">
        <v>3394</v>
      </c>
      <c r="V893" s="71" t="b">
        <v>0</v>
      </c>
    </row>
    <row r="894" spans="1:22" ht="17.25">
      <c r="A894" s="70">
        <v>636</v>
      </c>
      <c r="B894" s="70" t="s">
        <v>1948</v>
      </c>
      <c r="C894" s="70" t="s">
        <v>1282</v>
      </c>
      <c r="D894" s="70" t="s">
        <v>1947</v>
      </c>
      <c r="E894" s="70" t="s">
        <v>1280</v>
      </c>
      <c r="F894" s="71">
        <v>55</v>
      </c>
      <c r="G894" s="71">
        <v>14</v>
      </c>
      <c r="H894" s="72">
        <v>0.13750000000000001</v>
      </c>
      <c r="I894" s="71" t="b">
        <v>0</v>
      </c>
      <c r="J894" s="71">
        <v>56</v>
      </c>
      <c r="K894" s="71">
        <v>59</v>
      </c>
      <c r="L894" s="71">
        <v>90</v>
      </c>
      <c r="M894" s="71">
        <v>9</v>
      </c>
      <c r="N894" s="71">
        <v>3</v>
      </c>
      <c r="O894" s="71">
        <v>0</v>
      </c>
      <c r="P894" s="71">
        <v>22</v>
      </c>
      <c r="Q894" s="71">
        <v>43</v>
      </c>
      <c r="R894" s="71">
        <v>121</v>
      </c>
      <c r="S894" s="71" t="s">
        <v>74</v>
      </c>
      <c r="T894" s="73">
        <v>45674</v>
      </c>
      <c r="U894" s="71" t="s">
        <v>3882</v>
      </c>
      <c r="V894" s="71" t="b">
        <v>0</v>
      </c>
    </row>
    <row r="895" spans="1:22" ht="17.25">
      <c r="A895" s="70">
        <v>637</v>
      </c>
      <c r="B895" s="70" t="s">
        <v>1946</v>
      </c>
      <c r="C895" s="70" t="s">
        <v>570</v>
      </c>
      <c r="D895" s="70" t="s">
        <v>1945</v>
      </c>
      <c r="E895" s="70" t="s">
        <v>1944</v>
      </c>
      <c r="F895" s="71">
        <v>31</v>
      </c>
      <c r="G895" s="71">
        <v>4</v>
      </c>
      <c r="H895" s="72" t="s">
        <v>4317</v>
      </c>
      <c r="I895" s="71" t="b">
        <v>0</v>
      </c>
      <c r="J895" s="71">
        <v>78</v>
      </c>
      <c r="K895" s="71">
        <v>71</v>
      </c>
      <c r="L895" s="71">
        <v>74</v>
      </c>
      <c r="M895" s="71">
        <v>6</v>
      </c>
      <c r="N895" s="71">
        <v>18</v>
      </c>
      <c r="O895" s="71">
        <v>0</v>
      </c>
      <c r="P895" s="71">
        <v>15</v>
      </c>
      <c r="Q895" s="71">
        <v>68</v>
      </c>
      <c r="R895" s="71">
        <v>115</v>
      </c>
      <c r="S895" s="71" t="s">
        <v>115</v>
      </c>
      <c r="T895" s="73" t="s">
        <v>4355</v>
      </c>
      <c r="U895" s="71" t="s">
        <v>3883</v>
      </c>
      <c r="V895" s="71" t="b">
        <v>0</v>
      </c>
    </row>
    <row r="896" spans="1:22" ht="17.25">
      <c r="A896" s="70">
        <v>638</v>
      </c>
      <c r="B896" s="70" t="s">
        <v>1943</v>
      </c>
      <c r="C896" s="70" t="s">
        <v>421</v>
      </c>
      <c r="D896" s="70" t="s">
        <v>420</v>
      </c>
      <c r="E896" s="70" t="s">
        <v>1942</v>
      </c>
      <c r="F896" s="71">
        <v>23</v>
      </c>
      <c r="G896" s="71">
        <v>36</v>
      </c>
      <c r="H896" s="72">
        <v>9.3055555555555558E-2</v>
      </c>
      <c r="I896" s="71" t="b">
        <v>0</v>
      </c>
      <c r="J896" s="71">
        <v>55</v>
      </c>
      <c r="K896" s="71">
        <v>50</v>
      </c>
      <c r="L896" s="71">
        <v>72</v>
      </c>
      <c r="M896" s="71">
        <v>4</v>
      </c>
      <c r="N896" s="71">
        <v>55</v>
      </c>
      <c r="O896" s="71">
        <v>0</v>
      </c>
      <c r="P896" s="71">
        <v>15</v>
      </c>
      <c r="Q896" s="71">
        <v>78</v>
      </c>
      <c r="R896" s="71">
        <v>120</v>
      </c>
      <c r="S896" s="71" t="s">
        <v>29</v>
      </c>
      <c r="T896" s="73">
        <v>24047</v>
      </c>
      <c r="U896" s="71" t="s">
        <v>3884</v>
      </c>
      <c r="V896" s="71" t="b">
        <v>1</v>
      </c>
    </row>
    <row r="897" spans="1:22" ht="17.25">
      <c r="A897" s="70">
        <v>639</v>
      </c>
      <c r="B897" s="70" t="s">
        <v>1941</v>
      </c>
      <c r="C897" s="70" t="s">
        <v>1026</v>
      </c>
      <c r="D897" s="70" t="s">
        <v>1940</v>
      </c>
      <c r="E897" s="70" t="s">
        <v>579</v>
      </c>
      <c r="F897" s="71">
        <v>23</v>
      </c>
      <c r="G897" s="71">
        <v>14</v>
      </c>
      <c r="H897" s="72">
        <v>0.11666666666666667</v>
      </c>
      <c r="I897" s="71" t="b">
        <v>1</v>
      </c>
      <c r="J897" s="71">
        <v>79</v>
      </c>
      <c r="K897" s="71">
        <v>55</v>
      </c>
      <c r="L897" s="71">
        <v>86</v>
      </c>
      <c r="M897" s="71">
        <v>3</v>
      </c>
      <c r="N897" s="71">
        <v>51</v>
      </c>
      <c r="O897" s="71">
        <v>2</v>
      </c>
      <c r="P897" s="71">
        <v>9</v>
      </c>
      <c r="Q897" s="71">
        <v>97</v>
      </c>
      <c r="R897" s="71">
        <v>128</v>
      </c>
      <c r="S897" s="71" t="s">
        <v>26</v>
      </c>
      <c r="T897" s="73">
        <v>44904</v>
      </c>
      <c r="U897" s="71" t="s">
        <v>3720</v>
      </c>
      <c r="V897" s="71" t="b">
        <v>0</v>
      </c>
    </row>
    <row r="898" spans="1:22" ht="17.25">
      <c r="A898" s="70">
        <v>640</v>
      </c>
      <c r="B898" s="70" t="s">
        <v>1939</v>
      </c>
      <c r="C898" s="70" t="s">
        <v>1938</v>
      </c>
      <c r="D898" s="70" t="s">
        <v>1937</v>
      </c>
      <c r="E898" s="70" t="s">
        <v>1936</v>
      </c>
      <c r="F898" s="71">
        <v>110</v>
      </c>
      <c r="G898" s="71">
        <v>160</v>
      </c>
      <c r="H898" s="72">
        <v>0.18680555555555556</v>
      </c>
      <c r="I898" s="71" t="b">
        <v>0</v>
      </c>
      <c r="J898" s="71">
        <v>42</v>
      </c>
      <c r="K898" s="71">
        <v>26</v>
      </c>
      <c r="L898" s="71">
        <v>88</v>
      </c>
      <c r="M898" s="71">
        <v>3</v>
      </c>
      <c r="N898" s="71">
        <v>92</v>
      </c>
      <c r="O898" s="71">
        <v>0</v>
      </c>
      <c r="P898" s="71">
        <v>13</v>
      </c>
      <c r="Q898" s="71">
        <v>33</v>
      </c>
      <c r="R898" s="71">
        <v>120</v>
      </c>
      <c r="S898" s="71" t="s">
        <v>96</v>
      </c>
      <c r="T898" s="73">
        <v>41498</v>
      </c>
      <c r="U898" s="71" t="s">
        <v>3885</v>
      </c>
      <c r="V898" s="71" t="b">
        <v>0</v>
      </c>
    </row>
    <row r="899" spans="1:22" ht="17.25">
      <c r="A899" s="70">
        <v>641</v>
      </c>
      <c r="B899" s="70" t="s">
        <v>1935</v>
      </c>
      <c r="C899" s="70" t="s">
        <v>1934</v>
      </c>
      <c r="D899" s="70" t="s">
        <v>1933</v>
      </c>
      <c r="E899" s="70" t="s">
        <v>1932</v>
      </c>
      <c r="F899" s="71">
        <v>16</v>
      </c>
      <c r="G899" s="71">
        <v>89</v>
      </c>
      <c r="H899" s="72">
        <v>0.17986111111111111</v>
      </c>
      <c r="I899" s="71" t="b">
        <v>0</v>
      </c>
      <c r="J899" s="71">
        <v>71</v>
      </c>
      <c r="K899" s="71">
        <v>80</v>
      </c>
      <c r="L899" s="71">
        <v>89</v>
      </c>
      <c r="M899" s="71">
        <v>4</v>
      </c>
      <c r="N899" s="71">
        <v>1</v>
      </c>
      <c r="O899" s="71">
        <v>0</v>
      </c>
      <c r="P899" s="71">
        <v>8</v>
      </c>
      <c r="Q899" s="71">
        <v>63</v>
      </c>
      <c r="R899" s="71">
        <v>100</v>
      </c>
      <c r="S899" s="71" t="s">
        <v>96</v>
      </c>
      <c r="T899" s="73">
        <v>38320</v>
      </c>
      <c r="U899" s="71" t="s">
        <v>3886</v>
      </c>
      <c r="V899" s="71" t="b">
        <v>0</v>
      </c>
    </row>
    <row r="900" spans="1:22" ht="17.25">
      <c r="A900" s="70">
        <v>642</v>
      </c>
      <c r="B900" s="70" t="s">
        <v>1931</v>
      </c>
      <c r="C900" s="70" t="s">
        <v>54</v>
      </c>
      <c r="D900" s="70" t="s">
        <v>1930</v>
      </c>
      <c r="E900" s="70" t="s">
        <v>52</v>
      </c>
      <c r="F900" s="71">
        <v>139</v>
      </c>
      <c r="G900" s="71">
        <v>1</v>
      </c>
      <c r="H900" s="72">
        <v>0.11944444444444445</v>
      </c>
      <c r="I900" s="71" t="b">
        <v>0</v>
      </c>
      <c r="J900" s="71">
        <v>72</v>
      </c>
      <c r="K900" s="71">
        <v>55</v>
      </c>
      <c r="L900" s="71">
        <v>90</v>
      </c>
      <c r="M900" s="71">
        <v>5</v>
      </c>
      <c r="N900" s="71">
        <v>4</v>
      </c>
      <c r="O900" s="71">
        <v>0</v>
      </c>
      <c r="P900" s="71">
        <v>13</v>
      </c>
      <c r="Q900" s="71">
        <v>33</v>
      </c>
      <c r="R900" s="71">
        <v>97</v>
      </c>
      <c r="S900" s="71" t="s">
        <v>96</v>
      </c>
      <c r="T900" s="73">
        <v>40994</v>
      </c>
      <c r="U900" s="71" t="s">
        <v>3887</v>
      </c>
      <c r="V900" s="71" t="b">
        <v>0</v>
      </c>
    </row>
    <row r="901" spans="1:22" ht="17.25">
      <c r="A901" s="70">
        <v>643</v>
      </c>
      <c r="B901" s="70" t="s">
        <v>1929</v>
      </c>
      <c r="C901" s="70" t="s">
        <v>1928</v>
      </c>
      <c r="D901" s="70" t="s">
        <v>1927</v>
      </c>
      <c r="E901" s="70" t="s">
        <v>778</v>
      </c>
      <c r="F901" s="71">
        <v>1</v>
      </c>
      <c r="G901" s="71">
        <v>212</v>
      </c>
      <c r="H901" s="72">
        <v>0.16527777777777777</v>
      </c>
      <c r="I901" s="71" t="b">
        <v>0</v>
      </c>
      <c r="J901" s="71">
        <v>76</v>
      </c>
      <c r="K901" s="71">
        <v>52</v>
      </c>
      <c r="L901" s="71">
        <v>88</v>
      </c>
      <c r="M901" s="71">
        <v>9</v>
      </c>
      <c r="N901" s="71">
        <v>44</v>
      </c>
      <c r="O901" s="71">
        <v>0</v>
      </c>
      <c r="P901" s="71">
        <v>9</v>
      </c>
      <c r="Q901" s="71">
        <v>53</v>
      </c>
      <c r="R901" s="71">
        <v>81</v>
      </c>
      <c r="S901" s="71" t="s">
        <v>74</v>
      </c>
      <c r="T901" s="73">
        <v>44011</v>
      </c>
      <c r="U901" s="71" t="s">
        <v>3888</v>
      </c>
      <c r="V901" s="71" t="b">
        <v>0</v>
      </c>
    </row>
    <row r="902" spans="1:22" ht="17.25">
      <c r="A902" s="70">
        <v>644</v>
      </c>
      <c r="B902" s="70" t="s">
        <v>1926</v>
      </c>
      <c r="C902" s="70" t="s">
        <v>4717</v>
      </c>
      <c r="D902" s="70" t="s">
        <v>1925</v>
      </c>
      <c r="E902" s="70" t="s">
        <v>1924</v>
      </c>
      <c r="F902" s="71">
        <v>45</v>
      </c>
      <c r="G902" s="71">
        <v>34</v>
      </c>
      <c r="H902" s="72">
        <v>0.18888888888888888</v>
      </c>
      <c r="I902" s="71" t="b">
        <v>0</v>
      </c>
      <c r="J902" s="71">
        <v>55</v>
      </c>
      <c r="K902" s="71">
        <v>50</v>
      </c>
      <c r="L902" s="71">
        <v>73</v>
      </c>
      <c r="M902" s="71">
        <v>4</v>
      </c>
      <c r="N902" s="71">
        <v>55</v>
      </c>
      <c r="O902" s="71">
        <v>0</v>
      </c>
      <c r="P902" s="71">
        <v>15</v>
      </c>
      <c r="Q902" s="71">
        <v>65</v>
      </c>
      <c r="R902" s="71">
        <v>120</v>
      </c>
      <c r="S902" s="71" t="s">
        <v>29</v>
      </c>
      <c r="T902" s="73">
        <v>32104</v>
      </c>
      <c r="U902" s="71" t="s">
        <v>3889</v>
      </c>
      <c r="V902" s="71" t="b">
        <v>1</v>
      </c>
    </row>
    <row r="903" spans="1:22" ht="17.25">
      <c r="A903" s="70">
        <v>644</v>
      </c>
      <c r="B903" s="70" t="s">
        <v>1926</v>
      </c>
      <c r="C903" s="70" t="s">
        <v>4489</v>
      </c>
      <c r="D903" s="70" t="s">
        <v>1925</v>
      </c>
      <c r="E903" s="70" t="s">
        <v>1924</v>
      </c>
      <c r="F903" s="71">
        <v>45</v>
      </c>
      <c r="G903" s="71">
        <v>34</v>
      </c>
      <c r="H903" s="72">
        <v>0.18888888888888888</v>
      </c>
      <c r="I903" s="71" t="b">
        <v>0</v>
      </c>
      <c r="J903" s="71">
        <v>55</v>
      </c>
      <c r="K903" s="71">
        <v>50</v>
      </c>
      <c r="L903" s="71">
        <v>73</v>
      </c>
      <c r="M903" s="71">
        <v>4</v>
      </c>
      <c r="N903" s="71">
        <v>55</v>
      </c>
      <c r="O903" s="71">
        <v>0</v>
      </c>
      <c r="P903" s="71">
        <v>15</v>
      </c>
      <c r="Q903" s="71">
        <v>65</v>
      </c>
      <c r="R903" s="71">
        <v>120</v>
      </c>
      <c r="S903" s="71" t="s">
        <v>29</v>
      </c>
      <c r="T903" s="73">
        <v>32104</v>
      </c>
      <c r="U903" s="71" t="s">
        <v>3889</v>
      </c>
      <c r="V903" s="71" t="b">
        <v>1</v>
      </c>
    </row>
    <row r="904" spans="1:22" ht="17.25">
      <c r="A904" s="70">
        <v>646</v>
      </c>
      <c r="B904" s="70" t="s">
        <v>1923</v>
      </c>
      <c r="C904" s="70" t="s">
        <v>229</v>
      </c>
      <c r="D904" s="70" t="s">
        <v>1922</v>
      </c>
      <c r="E904" s="70" t="s">
        <v>227</v>
      </c>
      <c r="F904" s="71">
        <v>146</v>
      </c>
      <c r="G904" s="71">
        <v>4</v>
      </c>
      <c r="H904" s="72" t="s">
        <v>4315</v>
      </c>
      <c r="I904" s="71" t="b">
        <v>0</v>
      </c>
      <c r="J904" s="71">
        <v>66</v>
      </c>
      <c r="K904" s="71">
        <v>45</v>
      </c>
      <c r="L904" s="71">
        <v>71</v>
      </c>
      <c r="M904" s="71">
        <v>4</v>
      </c>
      <c r="N904" s="71">
        <v>62</v>
      </c>
      <c r="O904" s="71">
        <v>0</v>
      </c>
      <c r="P904" s="71">
        <v>11</v>
      </c>
      <c r="Q904" s="71">
        <v>49</v>
      </c>
      <c r="R904" s="71">
        <v>102</v>
      </c>
      <c r="S904" s="71" t="s">
        <v>96</v>
      </c>
      <c r="T904" s="73" t="s">
        <v>4358</v>
      </c>
      <c r="U904" s="71" t="s">
        <v>3823</v>
      </c>
      <c r="V904" s="71" t="b">
        <v>0</v>
      </c>
    </row>
    <row r="905" spans="1:22" ht="17.25">
      <c r="A905" s="70">
        <v>647</v>
      </c>
      <c r="B905" s="70" t="s">
        <v>1921</v>
      </c>
      <c r="C905" s="70" t="s">
        <v>67</v>
      </c>
      <c r="D905" s="70" t="s">
        <v>1920</v>
      </c>
      <c r="E905" s="70" t="s">
        <v>65</v>
      </c>
      <c r="F905" s="71">
        <v>14</v>
      </c>
      <c r="G905" s="71">
        <v>2</v>
      </c>
      <c r="H905" s="72">
        <v>0.12847222222222221</v>
      </c>
      <c r="I905" s="71" t="b">
        <v>1</v>
      </c>
      <c r="J905" s="71">
        <v>43</v>
      </c>
      <c r="K905" s="71">
        <v>62</v>
      </c>
      <c r="L905" s="71">
        <v>88</v>
      </c>
      <c r="M905" s="71">
        <v>5</v>
      </c>
      <c r="N905" s="71">
        <v>20</v>
      </c>
      <c r="O905" s="71">
        <v>0</v>
      </c>
      <c r="P905" s="71">
        <v>17</v>
      </c>
      <c r="Q905" s="71">
        <v>26</v>
      </c>
      <c r="R905" s="71">
        <v>140</v>
      </c>
      <c r="S905" s="71" t="s">
        <v>48</v>
      </c>
      <c r="T905" s="73">
        <v>45730</v>
      </c>
      <c r="U905" s="71" t="s">
        <v>3386</v>
      </c>
      <c r="V905" s="71" t="b">
        <v>0</v>
      </c>
    </row>
    <row r="906" spans="1:22" ht="17.25">
      <c r="A906" s="70">
        <v>647</v>
      </c>
      <c r="B906" s="70" t="s">
        <v>1921</v>
      </c>
      <c r="C906" s="70" t="s">
        <v>51</v>
      </c>
      <c r="D906" s="70" t="s">
        <v>1920</v>
      </c>
      <c r="E906" s="70" t="s">
        <v>65</v>
      </c>
      <c r="F906" s="71">
        <v>14</v>
      </c>
      <c r="G906" s="71">
        <v>2</v>
      </c>
      <c r="H906" s="72">
        <v>0.12847222222222221</v>
      </c>
      <c r="I906" s="71" t="b">
        <v>1</v>
      </c>
      <c r="J906" s="71">
        <v>43</v>
      </c>
      <c r="K906" s="71">
        <v>62</v>
      </c>
      <c r="L906" s="71">
        <v>88</v>
      </c>
      <c r="M906" s="71">
        <v>5</v>
      </c>
      <c r="N906" s="71">
        <v>20</v>
      </c>
      <c r="O906" s="71">
        <v>0</v>
      </c>
      <c r="P906" s="71">
        <v>17</v>
      </c>
      <c r="Q906" s="71">
        <v>26</v>
      </c>
      <c r="R906" s="71">
        <v>140</v>
      </c>
      <c r="S906" s="71" t="s">
        <v>48</v>
      </c>
      <c r="T906" s="73">
        <v>45730</v>
      </c>
      <c r="U906" s="71" t="s">
        <v>3386</v>
      </c>
      <c r="V906" s="71" t="b">
        <v>0</v>
      </c>
    </row>
    <row r="907" spans="1:22" ht="17.25">
      <c r="A907" s="70">
        <v>648</v>
      </c>
      <c r="B907" s="70" t="s">
        <v>1919</v>
      </c>
      <c r="C907" s="70" t="s">
        <v>511</v>
      </c>
      <c r="D907" s="70" t="s">
        <v>1918</v>
      </c>
      <c r="E907" s="70" t="s">
        <v>124</v>
      </c>
      <c r="F907" s="71">
        <v>12</v>
      </c>
      <c r="G907" s="71">
        <v>12</v>
      </c>
      <c r="H907" s="72" t="s">
        <v>4320</v>
      </c>
      <c r="I907" s="71" t="b">
        <v>0</v>
      </c>
      <c r="J907" s="71">
        <v>65</v>
      </c>
      <c r="K907" s="71">
        <v>58</v>
      </c>
      <c r="L907" s="71">
        <v>72</v>
      </c>
      <c r="M907" s="71">
        <v>5</v>
      </c>
      <c r="N907" s="71">
        <v>36</v>
      </c>
      <c r="O907" s="71">
        <v>0</v>
      </c>
      <c r="P907" s="71">
        <v>16</v>
      </c>
      <c r="Q907" s="71">
        <v>51</v>
      </c>
      <c r="R907" s="71">
        <v>145</v>
      </c>
      <c r="S907" s="71" t="s">
        <v>115</v>
      </c>
      <c r="T907" s="73" t="s">
        <v>4341</v>
      </c>
      <c r="U907" s="71" t="s">
        <v>3691</v>
      </c>
      <c r="V907" s="71" t="b">
        <v>0</v>
      </c>
    </row>
    <row r="908" spans="1:22" ht="17.25">
      <c r="A908" s="70">
        <v>649</v>
      </c>
      <c r="B908" s="70" t="s">
        <v>1917</v>
      </c>
      <c r="C908" s="70" t="s">
        <v>1916</v>
      </c>
      <c r="D908" s="70" t="s">
        <v>1915</v>
      </c>
      <c r="E908" s="70" t="s">
        <v>381</v>
      </c>
      <c r="F908" s="71">
        <v>16</v>
      </c>
      <c r="G908" s="71">
        <v>58</v>
      </c>
      <c r="H908" s="72">
        <v>0.11666666666666667</v>
      </c>
      <c r="I908" s="71" t="b">
        <v>0</v>
      </c>
      <c r="J908" s="71">
        <v>64</v>
      </c>
      <c r="K908" s="71">
        <v>60</v>
      </c>
      <c r="L908" s="71">
        <v>90</v>
      </c>
      <c r="M908" s="71">
        <v>3</v>
      </c>
      <c r="N908" s="71">
        <v>25</v>
      </c>
      <c r="O908" s="71">
        <v>0</v>
      </c>
      <c r="P908" s="71">
        <v>11</v>
      </c>
      <c r="Q908" s="71">
        <v>33</v>
      </c>
      <c r="R908" s="71">
        <v>124</v>
      </c>
      <c r="S908" s="71" t="s">
        <v>96</v>
      </c>
      <c r="T908" s="73">
        <v>45422</v>
      </c>
      <c r="U908" s="71" t="s">
        <v>3890</v>
      </c>
      <c r="V908" s="71" t="b">
        <v>0</v>
      </c>
    </row>
    <row r="909" spans="1:22" ht="17.25">
      <c r="A909" s="70">
        <v>650</v>
      </c>
      <c r="B909" s="70" t="s">
        <v>1914</v>
      </c>
      <c r="C909" s="70" t="s">
        <v>237</v>
      </c>
      <c r="D909" s="70" t="s">
        <v>1913</v>
      </c>
      <c r="E909" s="70" t="s">
        <v>344</v>
      </c>
      <c r="F909" s="71">
        <v>128</v>
      </c>
      <c r="G909" s="71">
        <v>1</v>
      </c>
      <c r="H909" s="72">
        <v>0.17499999999999999</v>
      </c>
      <c r="I909" s="71" t="b">
        <v>0</v>
      </c>
      <c r="J909" s="71">
        <v>37</v>
      </c>
      <c r="K909" s="71">
        <v>57</v>
      </c>
      <c r="L909" s="71">
        <v>87</v>
      </c>
      <c r="M909" s="71">
        <v>5</v>
      </c>
      <c r="N909" s="71">
        <v>10</v>
      </c>
      <c r="O909" s="71">
        <v>0</v>
      </c>
      <c r="P909" s="71">
        <v>8</v>
      </c>
      <c r="Q909" s="71">
        <v>18</v>
      </c>
      <c r="R909" s="71">
        <v>208</v>
      </c>
      <c r="S909" s="71" t="s">
        <v>26</v>
      </c>
      <c r="T909" s="73">
        <v>45688</v>
      </c>
      <c r="U909" s="71" t="s">
        <v>3483</v>
      </c>
      <c r="V909" s="71" t="b">
        <v>0</v>
      </c>
    </row>
    <row r="910" spans="1:22" ht="17.25">
      <c r="A910" s="70">
        <v>651</v>
      </c>
      <c r="B910" s="70" t="s">
        <v>1912</v>
      </c>
      <c r="C910" s="70" t="s">
        <v>4718</v>
      </c>
      <c r="D910" s="70" t="s">
        <v>1911</v>
      </c>
      <c r="E910" s="70" t="s">
        <v>324</v>
      </c>
      <c r="F910" s="71">
        <v>154</v>
      </c>
      <c r="G910" s="71">
        <v>1</v>
      </c>
      <c r="H910" s="72" t="s">
        <v>4320</v>
      </c>
      <c r="I910" s="71" t="b">
        <v>1</v>
      </c>
      <c r="J910" s="71">
        <v>83</v>
      </c>
      <c r="K910" s="71">
        <v>62</v>
      </c>
      <c r="L910" s="71">
        <v>73</v>
      </c>
      <c r="M910" s="71">
        <v>12</v>
      </c>
      <c r="N910" s="71">
        <v>14</v>
      </c>
      <c r="O910" s="71">
        <v>0</v>
      </c>
      <c r="P910" s="71">
        <v>12</v>
      </c>
      <c r="Q910" s="71">
        <v>67</v>
      </c>
      <c r="R910" s="71">
        <v>136</v>
      </c>
      <c r="S910" s="71" t="s">
        <v>48</v>
      </c>
      <c r="T910" s="73" t="s">
        <v>4368</v>
      </c>
      <c r="U910" s="71" t="s">
        <v>3387</v>
      </c>
      <c r="V910" s="71" t="b">
        <v>0</v>
      </c>
    </row>
    <row r="911" spans="1:22" ht="17.25">
      <c r="A911" s="70">
        <v>651</v>
      </c>
      <c r="B911" s="70" t="s">
        <v>1912</v>
      </c>
      <c r="C911" s="70" t="s">
        <v>4719</v>
      </c>
      <c r="D911" s="70" t="s">
        <v>1911</v>
      </c>
      <c r="E911" s="70" t="s">
        <v>324</v>
      </c>
      <c r="F911" s="71">
        <v>154</v>
      </c>
      <c r="G911" s="71">
        <v>1</v>
      </c>
      <c r="H911" s="72" t="s">
        <v>4320</v>
      </c>
      <c r="I911" s="71" t="b">
        <v>1</v>
      </c>
      <c r="J911" s="71">
        <v>83</v>
      </c>
      <c r="K911" s="71">
        <v>62</v>
      </c>
      <c r="L911" s="71">
        <v>73</v>
      </c>
      <c r="M911" s="71">
        <v>12</v>
      </c>
      <c r="N911" s="71">
        <v>14</v>
      </c>
      <c r="O911" s="71">
        <v>0</v>
      </c>
      <c r="P911" s="71">
        <v>12</v>
      </c>
      <c r="Q911" s="71">
        <v>67</v>
      </c>
      <c r="R911" s="71">
        <v>136</v>
      </c>
      <c r="S911" s="71" t="s">
        <v>48</v>
      </c>
      <c r="T911" s="73" t="s">
        <v>4368</v>
      </c>
      <c r="U911" s="71" t="s">
        <v>3387</v>
      </c>
      <c r="V911" s="71" t="b">
        <v>0</v>
      </c>
    </row>
    <row r="912" spans="1:22" ht="17.25">
      <c r="A912" s="70">
        <v>651</v>
      </c>
      <c r="B912" s="70" t="s">
        <v>1912</v>
      </c>
      <c r="C912" s="70" t="s">
        <v>54</v>
      </c>
      <c r="D912" s="70" t="s">
        <v>1911</v>
      </c>
      <c r="E912" s="70" t="s">
        <v>324</v>
      </c>
      <c r="F912" s="71">
        <v>154</v>
      </c>
      <c r="G912" s="71">
        <v>1</v>
      </c>
      <c r="H912" s="72" t="s">
        <v>4320</v>
      </c>
      <c r="I912" s="71" t="b">
        <v>1</v>
      </c>
      <c r="J912" s="71">
        <v>83</v>
      </c>
      <c r="K912" s="71">
        <v>62</v>
      </c>
      <c r="L912" s="71">
        <v>73</v>
      </c>
      <c r="M912" s="71">
        <v>12</v>
      </c>
      <c r="N912" s="71">
        <v>14</v>
      </c>
      <c r="O912" s="71">
        <v>0</v>
      </c>
      <c r="P912" s="71">
        <v>12</v>
      </c>
      <c r="Q912" s="71">
        <v>67</v>
      </c>
      <c r="R912" s="71">
        <v>136</v>
      </c>
      <c r="S912" s="71" t="s">
        <v>48</v>
      </c>
      <c r="T912" s="73" t="s">
        <v>4368</v>
      </c>
      <c r="U912" s="71" t="s">
        <v>3387</v>
      </c>
      <c r="V912" s="71" t="b">
        <v>0</v>
      </c>
    </row>
    <row r="913" spans="1:22" ht="17.25">
      <c r="A913" s="70">
        <v>652</v>
      </c>
      <c r="B913" s="70" t="s">
        <v>1910</v>
      </c>
      <c r="C913" s="70" t="s">
        <v>67</v>
      </c>
      <c r="D913" s="70" t="s">
        <v>1909</v>
      </c>
      <c r="E913" s="70" t="s">
        <v>65</v>
      </c>
      <c r="F913" s="71">
        <v>29</v>
      </c>
      <c r="G913" s="71">
        <v>1</v>
      </c>
      <c r="H913" s="72">
        <v>0.11666666666666667</v>
      </c>
      <c r="I913" s="71" t="b">
        <v>1</v>
      </c>
      <c r="J913" s="71">
        <v>81</v>
      </c>
      <c r="K913" s="71">
        <v>64</v>
      </c>
      <c r="L913" s="71">
        <v>89</v>
      </c>
      <c r="M913" s="71">
        <v>28</v>
      </c>
      <c r="N913" s="71">
        <v>1</v>
      </c>
      <c r="O913" s="71">
        <v>0</v>
      </c>
      <c r="P913" s="71">
        <v>11</v>
      </c>
      <c r="Q913" s="71">
        <v>26</v>
      </c>
      <c r="R913" s="71">
        <v>148</v>
      </c>
      <c r="S913" s="71" t="s">
        <v>48</v>
      </c>
      <c r="T913" s="73">
        <v>45730</v>
      </c>
      <c r="U913" s="71" t="s">
        <v>3386</v>
      </c>
      <c r="V913" s="71" t="b">
        <v>0</v>
      </c>
    </row>
    <row r="914" spans="1:22" ht="17.25">
      <c r="A914" s="70">
        <v>653</v>
      </c>
      <c r="B914" s="70" t="s">
        <v>1908</v>
      </c>
      <c r="C914" s="70" t="s">
        <v>198</v>
      </c>
      <c r="D914" s="70" t="s">
        <v>1907</v>
      </c>
      <c r="E914" s="70" t="s">
        <v>196</v>
      </c>
      <c r="F914" s="71">
        <v>50</v>
      </c>
      <c r="G914" s="71">
        <v>2</v>
      </c>
      <c r="H914" s="72" t="s">
        <v>4334</v>
      </c>
      <c r="I914" s="71" t="b">
        <v>0</v>
      </c>
      <c r="J914" s="71">
        <v>59</v>
      </c>
      <c r="K914" s="71">
        <v>53</v>
      </c>
      <c r="L914" s="71">
        <v>72</v>
      </c>
      <c r="M914" s="71">
        <v>4</v>
      </c>
      <c r="N914" s="71">
        <v>46</v>
      </c>
      <c r="O914" s="71">
        <v>0</v>
      </c>
      <c r="P914" s="71">
        <v>10</v>
      </c>
      <c r="Q914" s="71">
        <v>42</v>
      </c>
      <c r="R914" s="71">
        <v>124</v>
      </c>
      <c r="S914" s="71" t="s">
        <v>195</v>
      </c>
      <c r="T914" s="73" t="s">
        <v>4337</v>
      </c>
      <c r="U914" s="71" t="s">
        <v>3860</v>
      </c>
      <c r="V914" s="71" t="b">
        <v>0</v>
      </c>
    </row>
    <row r="915" spans="1:22" ht="17.25">
      <c r="A915" s="70">
        <v>654</v>
      </c>
      <c r="B915" s="70" t="s">
        <v>1906</v>
      </c>
      <c r="C915" s="70" t="s">
        <v>4906</v>
      </c>
      <c r="D915" s="70" t="s">
        <v>1905</v>
      </c>
      <c r="E915" s="70" t="s">
        <v>44</v>
      </c>
      <c r="F915" s="71">
        <v>112</v>
      </c>
      <c r="G915" s="71">
        <v>1</v>
      </c>
      <c r="H915" s="72" t="s">
        <v>4320</v>
      </c>
      <c r="I915" s="71" t="b">
        <v>1</v>
      </c>
      <c r="J915" s="71">
        <v>72</v>
      </c>
      <c r="K915" s="71">
        <v>58</v>
      </c>
      <c r="L915" s="71">
        <v>72</v>
      </c>
      <c r="M915" s="71">
        <v>22</v>
      </c>
      <c r="N915" s="71">
        <v>38</v>
      </c>
      <c r="O915" s="71">
        <v>0</v>
      </c>
      <c r="P915" s="71">
        <v>15</v>
      </c>
      <c r="Q915" s="71">
        <v>46</v>
      </c>
      <c r="R915" s="71">
        <v>88</v>
      </c>
      <c r="S915" s="71" t="s">
        <v>48</v>
      </c>
      <c r="T915" s="73" t="s">
        <v>4381</v>
      </c>
      <c r="U915" s="71" t="s">
        <v>3891</v>
      </c>
      <c r="V915" s="71" t="b">
        <v>0</v>
      </c>
    </row>
    <row r="916" spans="1:22" ht="17.25">
      <c r="A916" s="70">
        <v>655</v>
      </c>
      <c r="B916" s="70" t="s">
        <v>1904</v>
      </c>
      <c r="C916" s="70" t="s">
        <v>1042</v>
      </c>
      <c r="D916" s="70" t="s">
        <v>1903</v>
      </c>
      <c r="E916" s="70" t="s">
        <v>92</v>
      </c>
      <c r="F916" s="71">
        <v>25</v>
      </c>
      <c r="G916" s="71">
        <v>41</v>
      </c>
      <c r="H916" s="72">
        <v>0.12847222222222221</v>
      </c>
      <c r="I916" s="71" t="b">
        <v>0</v>
      </c>
      <c r="J916" s="71">
        <v>52</v>
      </c>
      <c r="K916" s="71">
        <v>48</v>
      </c>
      <c r="L916" s="71">
        <v>72</v>
      </c>
      <c r="M916" s="71">
        <v>3</v>
      </c>
      <c r="N916" s="71">
        <v>55</v>
      </c>
      <c r="O916" s="71">
        <v>0</v>
      </c>
      <c r="P916" s="71">
        <v>15</v>
      </c>
      <c r="Q916" s="71">
        <v>72</v>
      </c>
      <c r="R916" s="71">
        <v>120</v>
      </c>
      <c r="S916" s="71" t="s">
        <v>29</v>
      </c>
      <c r="T916" s="73">
        <v>17411</v>
      </c>
      <c r="U916" s="71" t="s">
        <v>3402</v>
      </c>
      <c r="V916" s="71" t="b">
        <v>1</v>
      </c>
    </row>
    <row r="917" spans="1:22" ht="17.25">
      <c r="A917" s="70">
        <v>655</v>
      </c>
      <c r="B917" s="70" t="s">
        <v>1904</v>
      </c>
      <c r="C917" s="70" t="s">
        <v>4721</v>
      </c>
      <c r="D917" s="70" t="s">
        <v>1903</v>
      </c>
      <c r="E917" s="70" t="s">
        <v>92</v>
      </c>
      <c r="F917" s="71">
        <v>25</v>
      </c>
      <c r="G917" s="71">
        <v>41</v>
      </c>
      <c r="H917" s="72">
        <v>0.12847222222222221</v>
      </c>
      <c r="I917" s="71" t="b">
        <v>0</v>
      </c>
      <c r="J917" s="71">
        <v>52</v>
      </c>
      <c r="K917" s="71">
        <v>48</v>
      </c>
      <c r="L917" s="71">
        <v>72</v>
      </c>
      <c r="M917" s="71">
        <v>3</v>
      </c>
      <c r="N917" s="71">
        <v>55</v>
      </c>
      <c r="O917" s="71">
        <v>0</v>
      </c>
      <c r="P917" s="71">
        <v>15</v>
      </c>
      <c r="Q917" s="71">
        <v>72</v>
      </c>
      <c r="R917" s="71">
        <v>120</v>
      </c>
      <c r="S917" s="71" t="s">
        <v>29</v>
      </c>
      <c r="T917" s="73">
        <v>17411</v>
      </c>
      <c r="U917" s="71" t="s">
        <v>3402</v>
      </c>
      <c r="V917" s="71" t="b">
        <v>1</v>
      </c>
    </row>
    <row r="918" spans="1:22" ht="17.25">
      <c r="A918" s="70">
        <v>655</v>
      </c>
      <c r="B918" s="70" t="s">
        <v>1904</v>
      </c>
      <c r="C918" s="70" t="s">
        <v>4720</v>
      </c>
      <c r="D918" s="70" t="s">
        <v>1903</v>
      </c>
      <c r="E918" s="70" t="s">
        <v>92</v>
      </c>
      <c r="F918" s="71">
        <v>25</v>
      </c>
      <c r="G918" s="71">
        <v>41</v>
      </c>
      <c r="H918" s="72">
        <v>0.12847222222222221</v>
      </c>
      <c r="I918" s="71" t="b">
        <v>0</v>
      </c>
      <c r="J918" s="71">
        <v>52</v>
      </c>
      <c r="K918" s="71">
        <v>48</v>
      </c>
      <c r="L918" s="71">
        <v>72</v>
      </c>
      <c r="M918" s="71">
        <v>3</v>
      </c>
      <c r="N918" s="71">
        <v>55</v>
      </c>
      <c r="O918" s="71">
        <v>0</v>
      </c>
      <c r="P918" s="71">
        <v>15</v>
      </c>
      <c r="Q918" s="71">
        <v>72</v>
      </c>
      <c r="R918" s="71">
        <v>120</v>
      </c>
      <c r="S918" s="71" t="s">
        <v>29</v>
      </c>
      <c r="T918" s="73">
        <v>17411</v>
      </c>
      <c r="U918" s="71" t="s">
        <v>3402</v>
      </c>
      <c r="V918" s="71" t="b">
        <v>1</v>
      </c>
    </row>
    <row r="919" spans="1:22" ht="17.25">
      <c r="A919" s="70">
        <v>656</v>
      </c>
      <c r="B919" s="70" t="s">
        <v>1902</v>
      </c>
      <c r="C919" s="70" t="s">
        <v>4722</v>
      </c>
      <c r="D919" s="70" t="s">
        <v>1901</v>
      </c>
      <c r="E919" s="70" t="s">
        <v>231</v>
      </c>
      <c r="F919" s="71">
        <v>157</v>
      </c>
      <c r="G919" s="71">
        <v>1</v>
      </c>
      <c r="H919" s="72">
        <v>0.14027777777777778</v>
      </c>
      <c r="I919" s="71" t="b">
        <v>0</v>
      </c>
      <c r="J919" s="71">
        <v>70</v>
      </c>
      <c r="K919" s="71">
        <v>91</v>
      </c>
      <c r="L919" s="71">
        <v>93</v>
      </c>
      <c r="M919" s="71">
        <v>25</v>
      </c>
      <c r="N919" s="71">
        <v>0</v>
      </c>
      <c r="O919" s="71">
        <v>0</v>
      </c>
      <c r="P919" s="71">
        <v>15</v>
      </c>
      <c r="Q919" s="71">
        <v>62</v>
      </c>
      <c r="R919" s="71">
        <v>127</v>
      </c>
      <c r="S919" s="71" t="s">
        <v>1900</v>
      </c>
      <c r="T919" s="73">
        <v>40309</v>
      </c>
      <c r="U919" s="71" t="s">
        <v>3892</v>
      </c>
      <c r="V919" s="71" t="b">
        <v>0</v>
      </c>
    </row>
    <row r="920" spans="1:22" ht="17.25">
      <c r="A920" s="70">
        <v>656</v>
      </c>
      <c r="B920" s="70" t="s">
        <v>1902</v>
      </c>
      <c r="C920" s="70" t="s">
        <v>4425</v>
      </c>
      <c r="D920" s="70" t="s">
        <v>1901</v>
      </c>
      <c r="E920" s="70" t="s">
        <v>231</v>
      </c>
      <c r="F920" s="71">
        <v>157</v>
      </c>
      <c r="G920" s="71">
        <v>1</v>
      </c>
      <c r="H920" s="72">
        <v>0.14027777777777778</v>
      </c>
      <c r="I920" s="71" t="b">
        <v>0</v>
      </c>
      <c r="J920" s="71">
        <v>70</v>
      </c>
      <c r="K920" s="71">
        <v>91</v>
      </c>
      <c r="L920" s="71">
        <v>93</v>
      </c>
      <c r="M920" s="71">
        <v>25</v>
      </c>
      <c r="N920" s="71">
        <v>0</v>
      </c>
      <c r="O920" s="71">
        <v>0</v>
      </c>
      <c r="P920" s="71">
        <v>15</v>
      </c>
      <c r="Q920" s="71">
        <v>62</v>
      </c>
      <c r="R920" s="71">
        <v>127</v>
      </c>
      <c r="S920" s="71" t="s">
        <v>1900</v>
      </c>
      <c r="T920" s="73">
        <v>40309</v>
      </c>
      <c r="U920" s="71" t="s">
        <v>3892</v>
      </c>
      <c r="V920" s="71" t="b">
        <v>0</v>
      </c>
    </row>
    <row r="921" spans="1:22" ht="17.25">
      <c r="A921" s="70">
        <v>657</v>
      </c>
      <c r="B921" s="70" t="s">
        <v>1899</v>
      </c>
      <c r="C921" s="70" t="s">
        <v>4425</v>
      </c>
      <c r="D921" s="70" t="s">
        <v>1862</v>
      </c>
      <c r="E921" s="70" t="s">
        <v>84</v>
      </c>
      <c r="F921" s="71">
        <v>82</v>
      </c>
      <c r="G921" s="71">
        <v>31</v>
      </c>
      <c r="H921" s="72">
        <v>0.15138888888888888</v>
      </c>
      <c r="I921" s="71" t="b">
        <v>0</v>
      </c>
      <c r="J921" s="71">
        <v>78</v>
      </c>
      <c r="K921" s="71">
        <v>82</v>
      </c>
      <c r="L921" s="71">
        <v>90</v>
      </c>
      <c r="M921" s="71">
        <v>7</v>
      </c>
      <c r="N921" s="71">
        <v>28</v>
      </c>
      <c r="O921" s="71">
        <v>0</v>
      </c>
      <c r="P921" s="71">
        <v>40</v>
      </c>
      <c r="Q921" s="71">
        <v>76</v>
      </c>
      <c r="R921" s="71">
        <v>100</v>
      </c>
      <c r="S921" s="71" t="s">
        <v>128</v>
      </c>
      <c r="T921" s="73">
        <v>38776</v>
      </c>
      <c r="U921" s="71" t="s">
        <v>3893</v>
      </c>
      <c r="V921" s="71" t="b">
        <v>0</v>
      </c>
    </row>
    <row r="922" spans="1:22" ht="17.25">
      <c r="A922" s="70">
        <v>657</v>
      </c>
      <c r="B922" s="70" t="s">
        <v>1899</v>
      </c>
      <c r="C922" s="70" t="s">
        <v>4723</v>
      </c>
      <c r="D922" s="70" t="s">
        <v>1862</v>
      </c>
      <c r="E922" s="70" t="s">
        <v>84</v>
      </c>
      <c r="F922" s="71">
        <v>82</v>
      </c>
      <c r="G922" s="71">
        <v>31</v>
      </c>
      <c r="H922" s="72">
        <v>0.15138888888888888</v>
      </c>
      <c r="I922" s="71" t="b">
        <v>0</v>
      </c>
      <c r="J922" s="71">
        <v>78</v>
      </c>
      <c r="K922" s="71">
        <v>82</v>
      </c>
      <c r="L922" s="71">
        <v>90</v>
      </c>
      <c r="M922" s="71">
        <v>7</v>
      </c>
      <c r="N922" s="71">
        <v>28</v>
      </c>
      <c r="O922" s="71">
        <v>0</v>
      </c>
      <c r="P922" s="71">
        <v>40</v>
      </c>
      <c r="Q922" s="71">
        <v>76</v>
      </c>
      <c r="R922" s="71">
        <v>100</v>
      </c>
      <c r="S922" s="71" t="s">
        <v>128</v>
      </c>
      <c r="T922" s="73">
        <v>38776</v>
      </c>
      <c r="U922" s="71" t="s">
        <v>3893</v>
      </c>
      <c r="V922" s="71" t="b">
        <v>0</v>
      </c>
    </row>
    <row r="923" spans="1:22" ht="17.25">
      <c r="A923" s="70">
        <v>658</v>
      </c>
      <c r="B923" s="70" t="s">
        <v>1898</v>
      </c>
      <c r="C923" s="70" t="s">
        <v>565</v>
      </c>
      <c r="D923" s="70" t="s">
        <v>564</v>
      </c>
      <c r="E923" s="70" t="s">
        <v>120</v>
      </c>
      <c r="F923" s="71">
        <v>161</v>
      </c>
      <c r="G923" s="71">
        <v>4</v>
      </c>
      <c r="H923" s="72">
        <v>0.18680555555555556</v>
      </c>
      <c r="I923" s="71" t="b">
        <v>0</v>
      </c>
      <c r="J923" s="71">
        <v>62</v>
      </c>
      <c r="K923" s="71">
        <v>94</v>
      </c>
      <c r="L923" s="71">
        <v>94</v>
      </c>
      <c r="M923" s="71">
        <v>5</v>
      </c>
      <c r="N923" s="71">
        <v>2</v>
      </c>
      <c r="O923" s="71">
        <v>0</v>
      </c>
      <c r="P923" s="71">
        <v>17</v>
      </c>
      <c r="Q923" s="71">
        <v>88</v>
      </c>
      <c r="R923" s="71">
        <v>91</v>
      </c>
      <c r="S923" s="71" t="s">
        <v>79</v>
      </c>
      <c r="T923" s="73">
        <v>37445</v>
      </c>
      <c r="U923" s="71" t="s">
        <v>3894</v>
      </c>
      <c r="V923" s="71" t="b">
        <v>0</v>
      </c>
    </row>
    <row r="924" spans="1:22" ht="17.25">
      <c r="A924" s="70">
        <v>659</v>
      </c>
      <c r="B924" s="70" t="s">
        <v>1897</v>
      </c>
      <c r="C924" s="70" t="s">
        <v>1896</v>
      </c>
      <c r="D924" s="70" t="s">
        <v>1895</v>
      </c>
      <c r="E924" s="70" t="s">
        <v>1894</v>
      </c>
      <c r="F924" s="71">
        <v>167</v>
      </c>
      <c r="G924" s="71">
        <v>1</v>
      </c>
      <c r="H924" s="72" t="s">
        <v>4315</v>
      </c>
      <c r="I924" s="71" t="b">
        <v>1</v>
      </c>
      <c r="J924" s="71">
        <v>66</v>
      </c>
      <c r="K924" s="71">
        <v>72</v>
      </c>
      <c r="L924" s="71">
        <v>74</v>
      </c>
      <c r="M924" s="71">
        <v>5</v>
      </c>
      <c r="N924" s="71">
        <v>18</v>
      </c>
      <c r="O924" s="71">
        <v>0</v>
      </c>
      <c r="P924" s="71">
        <v>15</v>
      </c>
      <c r="Q924" s="71">
        <v>53</v>
      </c>
      <c r="R924" s="71">
        <v>136</v>
      </c>
      <c r="S924" s="71" t="s">
        <v>1893</v>
      </c>
      <c r="T924" s="73" t="s">
        <v>4385</v>
      </c>
      <c r="U924" s="71" t="s">
        <v>3895</v>
      </c>
      <c r="V924" s="71" t="b">
        <v>0</v>
      </c>
    </row>
    <row r="925" spans="1:22" ht="17.25">
      <c r="A925" s="70">
        <v>660</v>
      </c>
      <c r="B925" s="70" t="s">
        <v>1892</v>
      </c>
      <c r="C925" s="70" t="s">
        <v>292</v>
      </c>
      <c r="D925" s="70" t="s">
        <v>1891</v>
      </c>
      <c r="E925" s="70" t="s">
        <v>579</v>
      </c>
      <c r="F925" s="71">
        <v>32</v>
      </c>
      <c r="G925" s="71">
        <v>14</v>
      </c>
      <c r="H925" s="72">
        <v>0.13750000000000001</v>
      </c>
      <c r="I925" s="71" t="b">
        <v>1</v>
      </c>
      <c r="J925" s="71">
        <v>71</v>
      </c>
      <c r="K925" s="71">
        <v>42</v>
      </c>
      <c r="L925" s="71">
        <v>83</v>
      </c>
      <c r="M925" s="71">
        <v>6</v>
      </c>
      <c r="N925" s="71">
        <v>76</v>
      </c>
      <c r="O925" s="71">
        <v>0</v>
      </c>
      <c r="P925" s="71">
        <v>13</v>
      </c>
      <c r="Q925" s="71">
        <v>51</v>
      </c>
      <c r="R925" s="71">
        <v>140</v>
      </c>
      <c r="S925" s="71" t="s">
        <v>26</v>
      </c>
      <c r="T925" s="73">
        <v>45646</v>
      </c>
      <c r="U925" s="71" t="s">
        <v>3720</v>
      </c>
      <c r="V925" s="71" t="b">
        <v>0</v>
      </c>
    </row>
    <row r="926" spans="1:22" ht="17.25">
      <c r="A926" s="70">
        <v>660</v>
      </c>
      <c r="B926" s="70" t="s">
        <v>1892</v>
      </c>
      <c r="C926" s="70" t="s">
        <v>1026</v>
      </c>
      <c r="D926" s="70" t="s">
        <v>1891</v>
      </c>
      <c r="E926" s="70" t="s">
        <v>579</v>
      </c>
      <c r="F926" s="71">
        <v>32</v>
      </c>
      <c r="G926" s="71">
        <v>14</v>
      </c>
      <c r="H926" s="72">
        <v>0.13750000000000001</v>
      </c>
      <c r="I926" s="71" t="b">
        <v>1</v>
      </c>
      <c r="J926" s="71">
        <v>71</v>
      </c>
      <c r="K926" s="71">
        <v>42</v>
      </c>
      <c r="L926" s="71">
        <v>83</v>
      </c>
      <c r="M926" s="71">
        <v>6</v>
      </c>
      <c r="N926" s="71">
        <v>76</v>
      </c>
      <c r="O926" s="71">
        <v>0</v>
      </c>
      <c r="P926" s="71">
        <v>13</v>
      </c>
      <c r="Q926" s="71">
        <v>51</v>
      </c>
      <c r="R926" s="71">
        <v>140</v>
      </c>
      <c r="S926" s="71" t="s">
        <v>26</v>
      </c>
      <c r="T926" s="73">
        <v>45646</v>
      </c>
      <c r="U926" s="71" t="s">
        <v>3720</v>
      </c>
      <c r="V926" s="71" t="b">
        <v>0</v>
      </c>
    </row>
    <row r="927" spans="1:22" ht="17.25">
      <c r="A927" s="70">
        <v>661</v>
      </c>
      <c r="B927" s="70" t="s">
        <v>1890</v>
      </c>
      <c r="C927" s="70" t="s">
        <v>598</v>
      </c>
      <c r="D927" s="70" t="s">
        <v>1889</v>
      </c>
      <c r="E927" s="70" t="s">
        <v>104</v>
      </c>
      <c r="F927" s="71">
        <v>116</v>
      </c>
      <c r="G927" s="71">
        <v>35</v>
      </c>
      <c r="H927" s="72">
        <v>0.15972222222222221</v>
      </c>
      <c r="I927" s="71" t="b">
        <v>0</v>
      </c>
      <c r="J927" s="71">
        <v>65</v>
      </c>
      <c r="K927" s="71">
        <v>81</v>
      </c>
      <c r="L927" s="71">
        <v>94</v>
      </c>
      <c r="M927" s="71">
        <v>4</v>
      </c>
      <c r="N927" s="71">
        <v>0</v>
      </c>
      <c r="O927" s="71">
        <v>0</v>
      </c>
      <c r="P927" s="71">
        <v>67</v>
      </c>
      <c r="Q927" s="71">
        <v>73</v>
      </c>
      <c r="R927" s="71">
        <v>126</v>
      </c>
      <c r="S927" s="71" t="s">
        <v>96</v>
      </c>
      <c r="T927" s="73">
        <v>40335</v>
      </c>
      <c r="U927" s="71" t="s">
        <v>3896</v>
      </c>
      <c r="V927" s="71" t="b">
        <v>0</v>
      </c>
    </row>
    <row r="928" spans="1:22" ht="17.25">
      <c r="A928" s="70">
        <v>662</v>
      </c>
      <c r="B928" s="70" t="s">
        <v>1888</v>
      </c>
      <c r="C928" s="70" t="s">
        <v>1886</v>
      </c>
      <c r="D928" s="70" t="s">
        <v>1887</v>
      </c>
      <c r="E928" s="70" t="s">
        <v>1886</v>
      </c>
      <c r="F928" s="71">
        <v>179</v>
      </c>
      <c r="G928" s="71">
        <v>1</v>
      </c>
      <c r="H928" s="72" t="s">
        <v>4315</v>
      </c>
      <c r="I928" s="71" t="b">
        <v>1</v>
      </c>
      <c r="J928" s="71">
        <v>81</v>
      </c>
      <c r="K928" s="71">
        <v>73</v>
      </c>
      <c r="L928" s="71">
        <v>74</v>
      </c>
      <c r="M928" s="71">
        <v>7</v>
      </c>
      <c r="N928" s="71">
        <v>20</v>
      </c>
      <c r="O928" s="71">
        <v>0</v>
      </c>
      <c r="P928" s="71">
        <v>11</v>
      </c>
      <c r="Q928" s="71">
        <v>76</v>
      </c>
      <c r="R928" s="71">
        <v>128</v>
      </c>
      <c r="S928" s="71" t="s">
        <v>128</v>
      </c>
      <c r="T928" s="73" t="s">
        <v>4385</v>
      </c>
      <c r="U928" s="71" t="s">
        <v>3897</v>
      </c>
      <c r="V928" s="71" t="b">
        <v>0</v>
      </c>
    </row>
    <row r="929" spans="1:22" ht="17.25">
      <c r="A929" s="70">
        <v>663</v>
      </c>
      <c r="B929" s="70" t="s">
        <v>1885</v>
      </c>
      <c r="C929" s="70" t="s">
        <v>4659</v>
      </c>
      <c r="D929" s="70" t="s">
        <v>1884</v>
      </c>
      <c r="E929" s="70" t="s">
        <v>1140</v>
      </c>
      <c r="F929" s="71">
        <v>180</v>
      </c>
      <c r="G929" s="71">
        <v>1</v>
      </c>
      <c r="H929" s="72">
        <v>0.11666666666666667</v>
      </c>
      <c r="I929" s="71" t="b">
        <v>0</v>
      </c>
      <c r="J929" s="71">
        <v>78</v>
      </c>
      <c r="K929" s="71">
        <v>75</v>
      </c>
      <c r="L929" s="71">
        <v>80</v>
      </c>
      <c r="M929" s="71">
        <v>8</v>
      </c>
      <c r="N929" s="71">
        <v>15</v>
      </c>
      <c r="O929" s="71">
        <v>0</v>
      </c>
      <c r="P929" s="71">
        <v>12</v>
      </c>
      <c r="Q929" s="71">
        <v>68</v>
      </c>
      <c r="R929" s="71">
        <v>108</v>
      </c>
      <c r="S929" s="71" t="s">
        <v>1012</v>
      </c>
      <c r="T929" s="73">
        <v>45702</v>
      </c>
      <c r="U929" s="71" t="s">
        <v>3898</v>
      </c>
      <c r="V929" s="71" t="b">
        <v>0</v>
      </c>
    </row>
    <row r="930" spans="1:22" ht="17.25">
      <c r="A930" s="70">
        <v>663</v>
      </c>
      <c r="B930" s="70" t="s">
        <v>1885</v>
      </c>
      <c r="C930" s="70" t="s">
        <v>2118</v>
      </c>
      <c r="D930" s="70" t="s">
        <v>1884</v>
      </c>
      <c r="E930" s="70" t="s">
        <v>1140</v>
      </c>
      <c r="F930" s="71">
        <v>180</v>
      </c>
      <c r="G930" s="71">
        <v>1</v>
      </c>
      <c r="H930" s="72">
        <v>0.11666666666666667</v>
      </c>
      <c r="I930" s="71" t="b">
        <v>0</v>
      </c>
      <c r="J930" s="71">
        <v>78</v>
      </c>
      <c r="K930" s="71">
        <v>75</v>
      </c>
      <c r="L930" s="71">
        <v>80</v>
      </c>
      <c r="M930" s="71">
        <v>8</v>
      </c>
      <c r="N930" s="71">
        <v>15</v>
      </c>
      <c r="O930" s="71">
        <v>0</v>
      </c>
      <c r="P930" s="71">
        <v>12</v>
      </c>
      <c r="Q930" s="71">
        <v>68</v>
      </c>
      <c r="R930" s="71">
        <v>108</v>
      </c>
      <c r="S930" s="71" t="s">
        <v>1012</v>
      </c>
      <c r="T930" s="73">
        <v>45702</v>
      </c>
      <c r="U930" s="71" t="s">
        <v>3898</v>
      </c>
      <c r="V930" s="71" t="b">
        <v>0</v>
      </c>
    </row>
    <row r="931" spans="1:22" ht="17.25">
      <c r="A931" s="70">
        <v>664</v>
      </c>
      <c r="B931" s="70" t="s">
        <v>1883</v>
      </c>
      <c r="C931" s="70" t="s">
        <v>1882</v>
      </c>
      <c r="D931" s="70" t="s">
        <v>1881</v>
      </c>
      <c r="E931" s="70" t="s">
        <v>1625</v>
      </c>
      <c r="F931" s="71">
        <v>62</v>
      </c>
      <c r="G931" s="71">
        <v>6</v>
      </c>
      <c r="H931" s="72">
        <v>0.11666666666666667</v>
      </c>
      <c r="I931" s="71" t="b">
        <v>0</v>
      </c>
      <c r="J931" s="71">
        <v>52</v>
      </c>
      <c r="K931" s="71">
        <v>48</v>
      </c>
      <c r="L931" s="71">
        <v>72</v>
      </c>
      <c r="M931" s="71">
        <v>3</v>
      </c>
      <c r="N931" s="71">
        <v>55</v>
      </c>
      <c r="O931" s="71">
        <v>0</v>
      </c>
      <c r="P931" s="71">
        <v>15</v>
      </c>
      <c r="Q931" s="71">
        <v>72</v>
      </c>
      <c r="R931" s="71">
        <v>120</v>
      </c>
      <c r="S931" s="71" t="s">
        <v>1880</v>
      </c>
      <c r="T931" s="73">
        <v>24077</v>
      </c>
      <c r="U931" s="71" t="s">
        <v>3899</v>
      </c>
      <c r="V931" s="71" t="b">
        <v>0</v>
      </c>
    </row>
    <row r="932" spans="1:22" ht="17.25">
      <c r="A932" s="70">
        <v>665</v>
      </c>
      <c r="B932" s="70" t="s">
        <v>1879</v>
      </c>
      <c r="C932" s="70" t="s">
        <v>430</v>
      </c>
      <c r="D932" s="70" t="s">
        <v>1878</v>
      </c>
      <c r="E932" s="70" t="s">
        <v>75</v>
      </c>
      <c r="F932" s="71">
        <v>55</v>
      </c>
      <c r="G932" s="71">
        <v>2</v>
      </c>
      <c r="H932" s="72" t="s">
        <v>4317</v>
      </c>
      <c r="I932" s="71" t="b">
        <v>0</v>
      </c>
      <c r="J932" s="71">
        <v>70</v>
      </c>
      <c r="K932" s="71">
        <v>55</v>
      </c>
      <c r="L932" s="71">
        <v>75</v>
      </c>
      <c r="M932" s="71">
        <v>6</v>
      </c>
      <c r="N932" s="71">
        <v>31</v>
      </c>
      <c r="O932" s="71">
        <v>0</v>
      </c>
      <c r="P932" s="71">
        <v>14</v>
      </c>
      <c r="Q932" s="71">
        <v>62</v>
      </c>
      <c r="R932" s="71">
        <v>135</v>
      </c>
      <c r="S932" s="71" t="s">
        <v>96</v>
      </c>
      <c r="T932" s="73" t="s">
        <v>4319</v>
      </c>
      <c r="U932" s="71" t="s">
        <v>3640</v>
      </c>
      <c r="V932" s="71" t="b">
        <v>0</v>
      </c>
    </row>
    <row r="933" spans="1:22" ht="17.25">
      <c r="A933" s="70">
        <v>666</v>
      </c>
      <c r="B933" s="70" t="s">
        <v>1877</v>
      </c>
      <c r="C933" s="70" t="s">
        <v>1876</v>
      </c>
      <c r="D933" s="70" t="s">
        <v>1875</v>
      </c>
      <c r="E933" s="70" t="s">
        <v>1874</v>
      </c>
      <c r="F933" s="71">
        <v>25</v>
      </c>
      <c r="G933" s="71">
        <v>39</v>
      </c>
      <c r="H933" s="72">
        <v>0.13750000000000001</v>
      </c>
      <c r="I933" s="71" t="b">
        <v>0</v>
      </c>
      <c r="J933" s="71">
        <v>75</v>
      </c>
      <c r="K933" s="71">
        <v>32</v>
      </c>
      <c r="L933" s="71">
        <v>80</v>
      </c>
      <c r="M933" s="71">
        <v>3</v>
      </c>
      <c r="N933" s="71">
        <v>93</v>
      </c>
      <c r="O933" s="71">
        <v>2</v>
      </c>
      <c r="P933" s="71">
        <v>12</v>
      </c>
      <c r="Q933" s="71">
        <v>58</v>
      </c>
      <c r="R933" s="71">
        <v>97</v>
      </c>
      <c r="S933" s="71" t="s">
        <v>74</v>
      </c>
      <c r="T933" s="73">
        <v>45457</v>
      </c>
      <c r="U933" s="71" t="s">
        <v>3900</v>
      </c>
      <c r="V933" s="71" t="b">
        <v>0</v>
      </c>
    </row>
    <row r="934" spans="1:22" ht="17.25">
      <c r="A934" s="70">
        <v>667</v>
      </c>
      <c r="B934" s="70" t="s">
        <v>1873</v>
      </c>
      <c r="C934" s="70" t="s">
        <v>511</v>
      </c>
      <c r="D934" s="70" t="s">
        <v>1872</v>
      </c>
      <c r="E934" s="70" t="s">
        <v>124</v>
      </c>
      <c r="F934" s="71">
        <v>9</v>
      </c>
      <c r="G934" s="71">
        <v>19</v>
      </c>
      <c r="H934" s="72" t="s">
        <v>4320</v>
      </c>
      <c r="I934" s="71" t="b">
        <v>0</v>
      </c>
      <c r="J934" s="71">
        <v>75</v>
      </c>
      <c r="K934" s="71">
        <v>72</v>
      </c>
      <c r="L934" s="71">
        <v>74</v>
      </c>
      <c r="M934" s="71">
        <v>8</v>
      </c>
      <c r="N934" s="71">
        <v>15</v>
      </c>
      <c r="O934" s="71">
        <v>0</v>
      </c>
      <c r="P934" s="71">
        <v>13</v>
      </c>
      <c r="Q934" s="71">
        <v>68</v>
      </c>
      <c r="R934" s="71">
        <v>120</v>
      </c>
      <c r="S934" s="71" t="s">
        <v>115</v>
      </c>
      <c r="T934" s="73" t="s">
        <v>4341</v>
      </c>
      <c r="U934" s="71" t="s">
        <v>3435</v>
      </c>
      <c r="V934" s="71" t="b">
        <v>0</v>
      </c>
    </row>
    <row r="935" spans="1:22" ht="17.25">
      <c r="A935" s="70">
        <v>668</v>
      </c>
      <c r="B935" s="70" t="s">
        <v>1871</v>
      </c>
      <c r="C935" s="70" t="s">
        <v>4724</v>
      </c>
      <c r="D935" s="70" t="s">
        <v>1870</v>
      </c>
      <c r="E935" s="70" t="s">
        <v>1869</v>
      </c>
      <c r="F935" s="71">
        <v>162</v>
      </c>
      <c r="G935" s="71">
        <v>4</v>
      </c>
      <c r="H935" s="72">
        <v>0.14166666666666666</v>
      </c>
      <c r="I935" s="71" t="b">
        <v>0</v>
      </c>
      <c r="J935" s="71">
        <v>58</v>
      </c>
      <c r="K935" s="71">
        <v>96</v>
      </c>
      <c r="L935" s="71">
        <v>93</v>
      </c>
      <c r="M935" s="71">
        <v>10</v>
      </c>
      <c r="N935" s="71">
        <v>3</v>
      </c>
      <c r="O935" s="71">
        <v>0</v>
      </c>
      <c r="P935" s="71">
        <v>14</v>
      </c>
      <c r="Q935" s="71">
        <v>79</v>
      </c>
      <c r="R935" s="71">
        <v>130</v>
      </c>
      <c r="S935" s="71" t="s">
        <v>34</v>
      </c>
      <c r="T935" s="73">
        <v>41554</v>
      </c>
      <c r="U935" s="71" t="s">
        <v>3901</v>
      </c>
      <c r="V935" s="71" t="b">
        <v>0</v>
      </c>
    </row>
    <row r="936" spans="1:22" ht="17.25">
      <c r="A936" s="70">
        <v>668</v>
      </c>
      <c r="B936" s="70" t="s">
        <v>1871</v>
      </c>
      <c r="C936" s="70" t="s">
        <v>4490</v>
      </c>
      <c r="D936" s="70" t="s">
        <v>1870</v>
      </c>
      <c r="E936" s="70" t="s">
        <v>1869</v>
      </c>
      <c r="F936" s="71">
        <v>162</v>
      </c>
      <c r="G936" s="71">
        <v>4</v>
      </c>
      <c r="H936" s="72">
        <v>0.14166666666666666</v>
      </c>
      <c r="I936" s="71" t="b">
        <v>0</v>
      </c>
      <c r="J936" s="71">
        <v>58</v>
      </c>
      <c r="K936" s="71">
        <v>96</v>
      </c>
      <c r="L936" s="71">
        <v>93</v>
      </c>
      <c r="M936" s="71">
        <v>10</v>
      </c>
      <c r="N936" s="71">
        <v>3</v>
      </c>
      <c r="O936" s="71">
        <v>0</v>
      </c>
      <c r="P936" s="71">
        <v>14</v>
      </c>
      <c r="Q936" s="71">
        <v>79</v>
      </c>
      <c r="R936" s="71">
        <v>130</v>
      </c>
      <c r="S936" s="71" t="s">
        <v>34</v>
      </c>
      <c r="T936" s="73">
        <v>41554</v>
      </c>
      <c r="U936" s="71" t="s">
        <v>3901</v>
      </c>
      <c r="V936" s="71" t="b">
        <v>0</v>
      </c>
    </row>
    <row r="937" spans="1:22" ht="17.25">
      <c r="A937" s="70">
        <v>669</v>
      </c>
      <c r="B937" s="70" t="s">
        <v>1868</v>
      </c>
      <c r="C937" s="70" t="s">
        <v>182</v>
      </c>
      <c r="D937" s="70" t="s">
        <v>1867</v>
      </c>
      <c r="E937" s="70" t="s">
        <v>180</v>
      </c>
      <c r="F937" s="71">
        <v>14</v>
      </c>
      <c r="G937" s="71">
        <v>3</v>
      </c>
      <c r="H937" s="72" t="s">
        <v>4320</v>
      </c>
      <c r="I937" s="71" t="b">
        <v>1</v>
      </c>
      <c r="J937" s="71">
        <v>78</v>
      </c>
      <c r="K937" s="71">
        <v>58</v>
      </c>
      <c r="L937" s="71">
        <v>72</v>
      </c>
      <c r="M937" s="71">
        <v>34</v>
      </c>
      <c r="N937" s="71">
        <v>38</v>
      </c>
      <c r="O937" s="71">
        <v>0</v>
      </c>
      <c r="P937" s="71">
        <v>11</v>
      </c>
      <c r="Q937" s="71">
        <v>39</v>
      </c>
      <c r="R937" s="71">
        <v>116</v>
      </c>
      <c r="S937" s="71" t="s">
        <v>48</v>
      </c>
      <c r="T937" s="73" t="s">
        <v>4330</v>
      </c>
      <c r="U937" s="71" t="s">
        <v>3683</v>
      </c>
      <c r="V937" s="71" t="b">
        <v>0</v>
      </c>
    </row>
    <row r="938" spans="1:22" ht="17.25">
      <c r="A938" s="70">
        <v>670</v>
      </c>
      <c r="B938" s="70" t="s">
        <v>1866</v>
      </c>
      <c r="C938" s="70" t="s">
        <v>229</v>
      </c>
      <c r="D938" s="70" t="s">
        <v>1865</v>
      </c>
      <c r="E938" s="70" t="s">
        <v>227</v>
      </c>
      <c r="F938" s="71">
        <v>178</v>
      </c>
      <c r="G938" s="71">
        <v>2</v>
      </c>
      <c r="H938" s="72" t="s">
        <v>4315</v>
      </c>
      <c r="I938" s="71" t="b">
        <v>0</v>
      </c>
      <c r="J938" s="71">
        <v>62</v>
      </c>
      <c r="K938" s="71">
        <v>52</v>
      </c>
      <c r="L938" s="71">
        <v>72</v>
      </c>
      <c r="M938" s="71">
        <v>5</v>
      </c>
      <c r="N938" s="71">
        <v>48</v>
      </c>
      <c r="O938" s="71">
        <v>0</v>
      </c>
      <c r="P938" s="71">
        <v>13</v>
      </c>
      <c r="Q938" s="71">
        <v>54</v>
      </c>
      <c r="R938" s="71">
        <v>98</v>
      </c>
      <c r="S938" s="71" t="s">
        <v>96</v>
      </c>
      <c r="T938" s="73" t="s">
        <v>4358</v>
      </c>
      <c r="U938" s="71" t="s">
        <v>3902</v>
      </c>
      <c r="V938" s="71" t="b">
        <v>0</v>
      </c>
    </row>
    <row r="939" spans="1:22" ht="17.25">
      <c r="A939" s="70">
        <v>671</v>
      </c>
      <c r="B939" s="70" t="s">
        <v>1864</v>
      </c>
      <c r="C939" s="70" t="s">
        <v>4491</v>
      </c>
      <c r="D939" s="70" t="s">
        <v>1863</v>
      </c>
      <c r="E939" s="70" t="s">
        <v>1737</v>
      </c>
      <c r="F939" s="71">
        <v>13</v>
      </c>
      <c r="G939" s="71">
        <v>60</v>
      </c>
      <c r="H939" s="72">
        <v>0.11666666666666667</v>
      </c>
      <c r="I939" s="71" t="b">
        <v>0</v>
      </c>
      <c r="J939" s="71">
        <v>82</v>
      </c>
      <c r="K939" s="71">
        <v>78</v>
      </c>
      <c r="L939" s="71">
        <v>81</v>
      </c>
      <c r="M939" s="71">
        <v>8</v>
      </c>
      <c r="N939" s="71">
        <v>8</v>
      </c>
      <c r="O939" s="71">
        <v>0</v>
      </c>
      <c r="P939" s="71">
        <v>13</v>
      </c>
      <c r="Q939" s="71">
        <v>68</v>
      </c>
      <c r="R939" s="71">
        <v>128</v>
      </c>
      <c r="S939" s="71" t="s">
        <v>247</v>
      </c>
      <c r="T939" s="73">
        <v>45786</v>
      </c>
      <c r="U939" s="71" t="s">
        <v>3903</v>
      </c>
      <c r="V939" s="71" t="b">
        <v>0</v>
      </c>
    </row>
    <row r="940" spans="1:22" ht="17.25">
      <c r="A940" s="70">
        <v>671</v>
      </c>
      <c r="B940" s="70" t="s">
        <v>1864</v>
      </c>
      <c r="C940" s="70" t="s">
        <v>4725</v>
      </c>
      <c r="D940" s="70" t="s">
        <v>1863</v>
      </c>
      <c r="E940" s="70" t="s">
        <v>1737</v>
      </c>
      <c r="F940" s="71">
        <v>13</v>
      </c>
      <c r="G940" s="71">
        <v>60</v>
      </c>
      <c r="H940" s="72">
        <v>0.11666666666666667</v>
      </c>
      <c r="I940" s="71" t="b">
        <v>0</v>
      </c>
      <c r="J940" s="71">
        <v>82</v>
      </c>
      <c r="K940" s="71">
        <v>78</v>
      </c>
      <c r="L940" s="71">
        <v>81</v>
      </c>
      <c r="M940" s="71">
        <v>8</v>
      </c>
      <c r="N940" s="71">
        <v>8</v>
      </c>
      <c r="O940" s="71">
        <v>0</v>
      </c>
      <c r="P940" s="71">
        <v>13</v>
      </c>
      <c r="Q940" s="71">
        <v>68</v>
      </c>
      <c r="R940" s="71">
        <v>128</v>
      </c>
      <c r="S940" s="71" t="s">
        <v>247</v>
      </c>
      <c r="T940" s="73">
        <v>45786</v>
      </c>
      <c r="U940" s="71" t="s">
        <v>3903</v>
      </c>
      <c r="V940" s="71" t="b">
        <v>0</v>
      </c>
    </row>
    <row r="941" spans="1:22" ht="17.25">
      <c r="A941" s="70">
        <v>673</v>
      </c>
      <c r="B941" s="70" t="s">
        <v>1861</v>
      </c>
      <c r="C941" s="70" t="s">
        <v>430</v>
      </c>
      <c r="D941" s="70" t="s">
        <v>1860</v>
      </c>
      <c r="E941" s="70" t="s">
        <v>75</v>
      </c>
      <c r="F941" s="71">
        <v>19</v>
      </c>
      <c r="G941" s="71">
        <v>2</v>
      </c>
      <c r="H941" s="72" t="s">
        <v>4315</v>
      </c>
      <c r="I941" s="71" t="b">
        <v>0</v>
      </c>
      <c r="J941" s="71">
        <v>74</v>
      </c>
      <c r="K941" s="71">
        <v>58</v>
      </c>
      <c r="L941" s="71">
        <v>73</v>
      </c>
      <c r="M941" s="71">
        <v>7</v>
      </c>
      <c r="N941" s="71">
        <v>25</v>
      </c>
      <c r="O941" s="71">
        <v>0</v>
      </c>
      <c r="P941" s="71">
        <v>12</v>
      </c>
      <c r="Q941" s="71">
        <v>50</v>
      </c>
      <c r="R941" s="71">
        <v>130</v>
      </c>
      <c r="S941" s="71" t="s">
        <v>96</v>
      </c>
      <c r="T941" s="73" t="s">
        <v>4319</v>
      </c>
      <c r="U941" s="71" t="s">
        <v>3451</v>
      </c>
      <c r="V941" s="71" t="b">
        <v>0</v>
      </c>
    </row>
    <row r="942" spans="1:22" ht="17.25">
      <c r="A942" s="70">
        <v>675</v>
      </c>
      <c r="B942" s="70" t="s">
        <v>1857</v>
      </c>
      <c r="C942" s="70" t="s">
        <v>446</v>
      </c>
      <c r="D942" s="70" t="s">
        <v>1856</v>
      </c>
      <c r="E942" s="70" t="s">
        <v>444</v>
      </c>
      <c r="F942" s="71">
        <v>67</v>
      </c>
      <c r="G942" s="71">
        <v>6</v>
      </c>
      <c r="H942" s="72" t="s">
        <v>4320</v>
      </c>
      <c r="I942" s="71" t="b">
        <v>0</v>
      </c>
      <c r="J942" s="71">
        <v>64</v>
      </c>
      <c r="K942" s="71">
        <v>46</v>
      </c>
      <c r="L942" s="71">
        <v>69</v>
      </c>
      <c r="M942" s="71">
        <v>4</v>
      </c>
      <c r="N942" s="71">
        <v>62</v>
      </c>
      <c r="O942" s="71">
        <v>0</v>
      </c>
      <c r="P942" s="71">
        <v>12</v>
      </c>
      <c r="Q942" s="71">
        <v>38</v>
      </c>
      <c r="R942" s="71">
        <v>88</v>
      </c>
      <c r="S942" s="71" t="s">
        <v>128</v>
      </c>
      <c r="T942" s="73" t="s">
        <v>4390</v>
      </c>
      <c r="U942" s="71" t="s">
        <v>3519</v>
      </c>
      <c r="V942" s="71" t="b">
        <v>0</v>
      </c>
    </row>
    <row r="943" spans="1:22" ht="17.25">
      <c r="A943" s="70">
        <v>675</v>
      </c>
      <c r="B943" s="70" t="s">
        <v>1857</v>
      </c>
      <c r="C943" s="70" t="s">
        <v>4726</v>
      </c>
      <c r="D943" s="70" t="s">
        <v>1856</v>
      </c>
      <c r="E943" s="70" t="s">
        <v>444</v>
      </c>
      <c r="F943" s="71">
        <v>67</v>
      </c>
      <c r="G943" s="71">
        <v>6</v>
      </c>
      <c r="H943" s="72" t="s">
        <v>4320</v>
      </c>
      <c r="I943" s="71" t="b">
        <v>0</v>
      </c>
      <c r="J943" s="71">
        <v>64</v>
      </c>
      <c r="K943" s="71">
        <v>46</v>
      </c>
      <c r="L943" s="71">
        <v>69</v>
      </c>
      <c r="M943" s="71">
        <v>4</v>
      </c>
      <c r="N943" s="71">
        <v>62</v>
      </c>
      <c r="O943" s="71">
        <v>0</v>
      </c>
      <c r="P943" s="71">
        <v>12</v>
      </c>
      <c r="Q943" s="71">
        <v>38</v>
      </c>
      <c r="R943" s="71">
        <v>88</v>
      </c>
      <c r="S943" s="71" t="s">
        <v>128</v>
      </c>
      <c r="T943" s="73" t="s">
        <v>4390</v>
      </c>
      <c r="U943" s="71" t="s">
        <v>3519</v>
      </c>
      <c r="V943" s="71" t="b">
        <v>0</v>
      </c>
    </row>
    <row r="944" spans="1:22" ht="17.25">
      <c r="A944" s="70">
        <v>676</v>
      </c>
      <c r="B944" s="70" t="s">
        <v>1855</v>
      </c>
      <c r="C944" s="70" t="s">
        <v>1785</v>
      </c>
      <c r="D944" s="70" t="s">
        <v>1854</v>
      </c>
      <c r="E944" s="70" t="s">
        <v>120</v>
      </c>
      <c r="F944" s="71">
        <v>115</v>
      </c>
      <c r="G944" s="71">
        <v>38</v>
      </c>
      <c r="H944" s="72">
        <v>0.13750000000000001</v>
      </c>
      <c r="I944" s="71" t="b">
        <v>0</v>
      </c>
      <c r="J944" s="71">
        <v>73</v>
      </c>
      <c r="K944" s="71">
        <v>86</v>
      </c>
      <c r="L944" s="71">
        <v>91</v>
      </c>
      <c r="M944" s="71">
        <v>5</v>
      </c>
      <c r="N944" s="71">
        <v>2</v>
      </c>
      <c r="O944" s="71">
        <v>0</v>
      </c>
      <c r="P944" s="71">
        <v>12</v>
      </c>
      <c r="Q944" s="71">
        <v>76</v>
      </c>
      <c r="R944" s="71">
        <v>128</v>
      </c>
      <c r="S944" s="71" t="s">
        <v>26</v>
      </c>
      <c r="T944" s="73">
        <v>45555</v>
      </c>
      <c r="U944" s="71" t="s">
        <v>3562</v>
      </c>
      <c r="V944" s="71" t="b">
        <v>0</v>
      </c>
    </row>
    <row r="945" spans="1:22" ht="17.25">
      <c r="A945" s="70">
        <v>677</v>
      </c>
      <c r="B945" s="70" t="s">
        <v>1853</v>
      </c>
      <c r="C945" s="70" t="s">
        <v>1987</v>
      </c>
      <c r="D945" s="70" t="s">
        <v>1852</v>
      </c>
      <c r="E945" s="70" t="s">
        <v>62</v>
      </c>
      <c r="F945" s="71">
        <v>13</v>
      </c>
      <c r="G945" s="71">
        <v>19</v>
      </c>
      <c r="H945" s="72">
        <v>0.12847222222222221</v>
      </c>
      <c r="I945" s="71" t="b">
        <v>1</v>
      </c>
      <c r="J945" s="71">
        <v>78</v>
      </c>
      <c r="K945" s="71">
        <v>74</v>
      </c>
      <c r="L945" s="71">
        <v>80</v>
      </c>
      <c r="M945" s="71">
        <v>10</v>
      </c>
      <c r="N945" s="71">
        <v>15</v>
      </c>
      <c r="O945" s="71">
        <v>0</v>
      </c>
      <c r="P945" s="71">
        <v>12</v>
      </c>
      <c r="Q945" s="71">
        <v>58</v>
      </c>
      <c r="R945" s="71">
        <v>108</v>
      </c>
      <c r="S945" s="71" t="s">
        <v>61</v>
      </c>
      <c r="T945" s="73">
        <v>45765</v>
      </c>
      <c r="U945" s="71" t="s">
        <v>3552</v>
      </c>
      <c r="V945" s="71" t="b">
        <v>0</v>
      </c>
    </row>
    <row r="946" spans="1:22" ht="17.25">
      <c r="A946" s="70">
        <v>677</v>
      </c>
      <c r="B946" s="70" t="s">
        <v>1853</v>
      </c>
      <c r="C946" s="70" t="s">
        <v>141</v>
      </c>
      <c r="D946" s="70" t="s">
        <v>1852</v>
      </c>
      <c r="E946" s="70" t="s">
        <v>62</v>
      </c>
      <c r="F946" s="71">
        <v>13</v>
      </c>
      <c r="G946" s="71">
        <v>19</v>
      </c>
      <c r="H946" s="72">
        <v>0.12847222222222221</v>
      </c>
      <c r="I946" s="71" t="b">
        <v>1</v>
      </c>
      <c r="J946" s="71">
        <v>78</v>
      </c>
      <c r="K946" s="71">
        <v>74</v>
      </c>
      <c r="L946" s="71">
        <v>80</v>
      </c>
      <c r="M946" s="71">
        <v>10</v>
      </c>
      <c r="N946" s="71">
        <v>15</v>
      </c>
      <c r="O946" s="71">
        <v>0</v>
      </c>
      <c r="P946" s="71">
        <v>12</v>
      </c>
      <c r="Q946" s="71">
        <v>58</v>
      </c>
      <c r="R946" s="71">
        <v>108</v>
      </c>
      <c r="S946" s="71" t="s">
        <v>61</v>
      </c>
      <c r="T946" s="73">
        <v>45765</v>
      </c>
      <c r="U946" s="71" t="s">
        <v>3552</v>
      </c>
      <c r="V946" s="71" t="b">
        <v>0</v>
      </c>
    </row>
    <row r="947" spans="1:22" ht="17.25">
      <c r="A947" s="70">
        <v>678</v>
      </c>
      <c r="B947" s="70" t="s">
        <v>1851</v>
      </c>
      <c r="C947" s="70" t="s">
        <v>51</v>
      </c>
      <c r="D947" s="70" t="s">
        <v>1850</v>
      </c>
      <c r="E947" s="70" t="s">
        <v>1681</v>
      </c>
      <c r="F947" s="71">
        <v>1</v>
      </c>
      <c r="G947" s="71">
        <v>112</v>
      </c>
      <c r="H947" s="72">
        <v>0.12152777777777778</v>
      </c>
      <c r="I947" s="71" t="b">
        <v>1</v>
      </c>
      <c r="J947" s="71">
        <v>60</v>
      </c>
      <c r="K947" s="71">
        <v>43</v>
      </c>
      <c r="L947" s="71">
        <v>85</v>
      </c>
      <c r="M947" s="71">
        <v>3</v>
      </c>
      <c r="N947" s="71">
        <v>5</v>
      </c>
      <c r="O947" s="71">
        <v>0</v>
      </c>
      <c r="P947" s="71">
        <v>21</v>
      </c>
      <c r="Q947" s="71">
        <v>6</v>
      </c>
      <c r="R947" s="71">
        <v>76</v>
      </c>
      <c r="S947" s="71" t="s">
        <v>48</v>
      </c>
      <c r="T947" s="73">
        <v>43742</v>
      </c>
      <c r="U947" s="71" t="s">
        <v>3904</v>
      </c>
      <c r="V947" s="71" t="b">
        <v>0</v>
      </c>
    </row>
    <row r="948" spans="1:22" ht="17.25">
      <c r="A948" s="70">
        <v>679</v>
      </c>
      <c r="B948" s="70" t="s">
        <v>1849</v>
      </c>
      <c r="C948" s="70" t="s">
        <v>1158</v>
      </c>
      <c r="D948" s="70" t="s">
        <v>1848</v>
      </c>
      <c r="E948" s="70" t="s">
        <v>124</v>
      </c>
      <c r="F948" s="71">
        <v>150</v>
      </c>
      <c r="G948" s="71">
        <v>1</v>
      </c>
      <c r="H948" s="72">
        <v>0.12847222222222221</v>
      </c>
      <c r="I948" s="71" t="b">
        <v>1</v>
      </c>
      <c r="J948" s="71">
        <v>72</v>
      </c>
      <c r="K948" s="71">
        <v>75</v>
      </c>
      <c r="L948" s="71">
        <v>80</v>
      </c>
      <c r="M948" s="71">
        <v>14</v>
      </c>
      <c r="N948" s="71">
        <v>10</v>
      </c>
      <c r="O948" s="71">
        <v>0</v>
      </c>
      <c r="P948" s="71">
        <v>11</v>
      </c>
      <c r="Q948" s="71">
        <v>52</v>
      </c>
      <c r="R948" s="71">
        <v>120</v>
      </c>
      <c r="S948" s="71" t="s">
        <v>48</v>
      </c>
      <c r="T948" s="73">
        <v>45723</v>
      </c>
      <c r="U948" s="71" t="s">
        <v>3730</v>
      </c>
      <c r="V948" s="71" t="b">
        <v>0</v>
      </c>
    </row>
    <row r="949" spans="1:22" ht="17.25">
      <c r="A949" s="70">
        <v>680</v>
      </c>
      <c r="B949" s="70" t="s">
        <v>1847</v>
      </c>
      <c r="C949" s="70" t="s">
        <v>318</v>
      </c>
      <c r="D949" s="70" t="s">
        <v>317</v>
      </c>
      <c r="E949" s="70" t="s">
        <v>316</v>
      </c>
      <c r="F949" s="71">
        <v>2</v>
      </c>
      <c r="G949" s="71">
        <v>24</v>
      </c>
      <c r="H949" s="72" t="s">
        <v>4317</v>
      </c>
      <c r="I949" s="71" t="b">
        <v>0</v>
      </c>
      <c r="J949" s="71">
        <v>71</v>
      </c>
      <c r="K949" s="71">
        <v>67</v>
      </c>
      <c r="L949" s="71">
        <v>74</v>
      </c>
      <c r="M949" s="71">
        <v>6</v>
      </c>
      <c r="N949" s="71">
        <v>28</v>
      </c>
      <c r="O949" s="71">
        <v>0</v>
      </c>
      <c r="P949" s="71">
        <v>14</v>
      </c>
      <c r="Q949" s="71">
        <v>55</v>
      </c>
      <c r="R949" s="71">
        <v>130</v>
      </c>
      <c r="S949" s="71" t="s">
        <v>96</v>
      </c>
      <c r="T949" s="73" t="s">
        <v>4327</v>
      </c>
      <c r="U949" s="71" t="s">
        <v>3905</v>
      </c>
      <c r="V949" s="71" t="b">
        <v>0</v>
      </c>
    </row>
    <row r="950" spans="1:22" ht="17.25">
      <c r="A950" s="70">
        <v>681</v>
      </c>
      <c r="B950" s="70" t="s">
        <v>1846</v>
      </c>
      <c r="C950" s="70" t="s">
        <v>1845</v>
      </c>
      <c r="D950" s="70" t="s">
        <v>1844</v>
      </c>
      <c r="E950" s="70" t="s">
        <v>1529</v>
      </c>
      <c r="F950" s="71">
        <v>126</v>
      </c>
      <c r="G950" s="71">
        <v>3</v>
      </c>
      <c r="H950" s="72" t="s">
        <v>4320</v>
      </c>
      <c r="I950" s="71" t="b">
        <v>1</v>
      </c>
      <c r="J950" s="71">
        <v>46</v>
      </c>
      <c r="K950" s="71">
        <v>85</v>
      </c>
      <c r="L950" s="71">
        <v>77</v>
      </c>
      <c r="M950" s="71">
        <v>6</v>
      </c>
      <c r="N950" s="71">
        <v>3</v>
      </c>
      <c r="O950" s="71">
        <v>0</v>
      </c>
      <c r="P950" s="71">
        <v>24</v>
      </c>
      <c r="Q950" s="71">
        <v>39</v>
      </c>
      <c r="R950" s="71">
        <v>155</v>
      </c>
      <c r="S950" s="71" t="s">
        <v>1843</v>
      </c>
      <c r="T950" s="73" t="s">
        <v>4385</v>
      </c>
      <c r="U950" s="71" t="s">
        <v>3906</v>
      </c>
      <c r="V950" s="71" t="b">
        <v>0</v>
      </c>
    </row>
    <row r="951" spans="1:22" ht="17.25">
      <c r="A951" s="70">
        <v>682</v>
      </c>
      <c r="B951" s="70" t="s">
        <v>1842</v>
      </c>
      <c r="C951" s="70" t="s">
        <v>862</v>
      </c>
      <c r="D951" s="70" t="s">
        <v>1841</v>
      </c>
      <c r="E951" s="70" t="s">
        <v>120</v>
      </c>
      <c r="F951" s="71">
        <v>138</v>
      </c>
      <c r="G951" s="71">
        <v>11</v>
      </c>
      <c r="H951" s="72">
        <v>0.14861111111111111</v>
      </c>
      <c r="I951" s="71" t="b">
        <v>0</v>
      </c>
      <c r="J951" s="71">
        <v>45</v>
      </c>
      <c r="K951" s="71">
        <v>95</v>
      </c>
      <c r="L951" s="71">
        <v>94</v>
      </c>
      <c r="M951" s="71">
        <v>6</v>
      </c>
      <c r="N951" s="71">
        <v>0</v>
      </c>
      <c r="O951" s="71">
        <v>0</v>
      </c>
      <c r="P951" s="71">
        <v>26</v>
      </c>
      <c r="Q951" s="71">
        <v>44</v>
      </c>
      <c r="R951" s="71">
        <v>162</v>
      </c>
      <c r="S951" s="71" t="s">
        <v>860</v>
      </c>
      <c r="T951" s="73">
        <v>37705</v>
      </c>
      <c r="U951" s="71" t="s">
        <v>3907</v>
      </c>
      <c r="V951" s="71" t="b">
        <v>0</v>
      </c>
    </row>
    <row r="952" spans="1:22" ht="17.25">
      <c r="A952" s="70">
        <v>683</v>
      </c>
      <c r="B952" s="70" t="s">
        <v>1840</v>
      </c>
      <c r="C952" s="70" t="s">
        <v>430</v>
      </c>
      <c r="D952" s="70" t="s">
        <v>1839</v>
      </c>
      <c r="E952" s="70" t="s">
        <v>75</v>
      </c>
      <c r="F952" s="71">
        <v>30</v>
      </c>
      <c r="G952" s="71">
        <v>2</v>
      </c>
      <c r="H952" s="72" t="s">
        <v>4315</v>
      </c>
      <c r="I952" s="71" t="b">
        <v>0</v>
      </c>
      <c r="J952" s="71">
        <v>63</v>
      </c>
      <c r="K952" s="71">
        <v>44</v>
      </c>
      <c r="L952" s="71">
        <v>71</v>
      </c>
      <c r="M952" s="71">
        <v>4</v>
      </c>
      <c r="N952" s="71">
        <v>58</v>
      </c>
      <c r="O952" s="71">
        <v>0</v>
      </c>
      <c r="P952" s="71">
        <v>15</v>
      </c>
      <c r="Q952" s="71">
        <v>36</v>
      </c>
      <c r="R952" s="71">
        <v>105</v>
      </c>
      <c r="S952" s="71" t="s">
        <v>96</v>
      </c>
      <c r="T952" s="73" t="s">
        <v>4319</v>
      </c>
      <c r="U952" s="71" t="s">
        <v>3640</v>
      </c>
      <c r="V952" s="71" t="b">
        <v>0</v>
      </c>
    </row>
    <row r="953" spans="1:22" ht="17.25">
      <c r="A953" s="70">
        <v>684</v>
      </c>
      <c r="B953" s="70" t="s">
        <v>1838</v>
      </c>
      <c r="C953" s="70" t="s">
        <v>1006</v>
      </c>
      <c r="D953" s="70" t="s">
        <v>1837</v>
      </c>
      <c r="E953" s="70" t="s">
        <v>386</v>
      </c>
      <c r="F953" s="71">
        <v>26</v>
      </c>
      <c r="G953" s="71">
        <v>4</v>
      </c>
      <c r="H953" s="72">
        <v>0.11666666666666667</v>
      </c>
      <c r="I953" s="71" t="b">
        <v>1</v>
      </c>
      <c r="J953" s="71">
        <v>51</v>
      </c>
      <c r="K953" s="71">
        <v>86</v>
      </c>
      <c r="L953" s="71">
        <v>93</v>
      </c>
      <c r="M953" s="71">
        <v>4</v>
      </c>
      <c r="N953" s="71">
        <v>0</v>
      </c>
      <c r="O953" s="71">
        <v>0</v>
      </c>
      <c r="P953" s="71">
        <v>5</v>
      </c>
      <c r="Q953" s="71">
        <v>67</v>
      </c>
      <c r="R953" s="71">
        <v>152</v>
      </c>
      <c r="S953" s="71" t="s">
        <v>115</v>
      </c>
      <c r="T953" s="73">
        <v>45723</v>
      </c>
      <c r="U953" s="71" t="s">
        <v>3775</v>
      </c>
      <c r="V953" s="71" t="b">
        <v>0</v>
      </c>
    </row>
    <row r="954" spans="1:22" ht="17.25">
      <c r="A954" s="70">
        <v>684</v>
      </c>
      <c r="B954" s="70" t="s">
        <v>1838</v>
      </c>
      <c r="C954" s="70" t="s">
        <v>678</v>
      </c>
      <c r="D954" s="70" t="s">
        <v>1837</v>
      </c>
      <c r="E954" s="70" t="s">
        <v>386</v>
      </c>
      <c r="F954" s="71">
        <v>26</v>
      </c>
      <c r="G954" s="71">
        <v>4</v>
      </c>
      <c r="H954" s="72">
        <v>0.11666666666666667</v>
      </c>
      <c r="I954" s="71" t="b">
        <v>1</v>
      </c>
      <c r="J954" s="71">
        <v>51</v>
      </c>
      <c r="K954" s="71">
        <v>86</v>
      </c>
      <c r="L954" s="71">
        <v>93</v>
      </c>
      <c r="M954" s="71">
        <v>4</v>
      </c>
      <c r="N954" s="71">
        <v>0</v>
      </c>
      <c r="O954" s="71">
        <v>0</v>
      </c>
      <c r="P954" s="71">
        <v>5</v>
      </c>
      <c r="Q954" s="71">
        <v>67</v>
      </c>
      <c r="R954" s="71">
        <v>152</v>
      </c>
      <c r="S954" s="71" t="s">
        <v>115</v>
      </c>
      <c r="T954" s="73">
        <v>45723</v>
      </c>
      <c r="U954" s="71" t="s">
        <v>3775</v>
      </c>
      <c r="V954" s="71" t="b">
        <v>0</v>
      </c>
    </row>
    <row r="955" spans="1:22" ht="17.25">
      <c r="A955" s="70">
        <v>685</v>
      </c>
      <c r="B955" s="70" t="s">
        <v>1836</v>
      </c>
      <c r="C955" s="70" t="s">
        <v>1835</v>
      </c>
      <c r="D955" s="70" t="s">
        <v>1834</v>
      </c>
      <c r="E955" s="70" t="s">
        <v>30</v>
      </c>
      <c r="F955" s="71">
        <v>129</v>
      </c>
      <c r="G955" s="71">
        <v>5</v>
      </c>
      <c r="H955" s="72">
        <v>0.21249999999999999</v>
      </c>
      <c r="I955" s="71" t="b">
        <v>0</v>
      </c>
      <c r="J955" s="71">
        <v>55</v>
      </c>
      <c r="K955" s="71">
        <v>72</v>
      </c>
      <c r="L955" s="71">
        <v>78</v>
      </c>
      <c r="M955" s="71">
        <v>4</v>
      </c>
      <c r="N955" s="71">
        <v>25</v>
      </c>
      <c r="O955" s="71">
        <v>0</v>
      </c>
      <c r="P955" s="71">
        <v>13</v>
      </c>
      <c r="Q955" s="71">
        <v>42</v>
      </c>
      <c r="R955" s="71">
        <v>140</v>
      </c>
      <c r="S955" s="71" t="s">
        <v>79</v>
      </c>
      <c r="T955" s="73">
        <v>34596</v>
      </c>
      <c r="U955" s="71" t="s">
        <v>3908</v>
      </c>
      <c r="V955" s="71" t="b">
        <v>0</v>
      </c>
    </row>
    <row r="956" spans="1:22" ht="17.25">
      <c r="A956" s="70">
        <v>686</v>
      </c>
      <c r="B956" s="70" t="s">
        <v>1833</v>
      </c>
      <c r="C956" s="70" t="s">
        <v>97</v>
      </c>
      <c r="D956" s="70" t="s">
        <v>1832</v>
      </c>
      <c r="E956" s="70" t="s">
        <v>97</v>
      </c>
      <c r="F956" s="71">
        <v>7</v>
      </c>
      <c r="G956" s="71">
        <v>1</v>
      </c>
      <c r="H956" s="72" t="s">
        <v>4320</v>
      </c>
      <c r="I956" s="71" t="b">
        <v>0</v>
      </c>
      <c r="J956" s="71">
        <v>72</v>
      </c>
      <c r="K956" s="71">
        <v>63</v>
      </c>
      <c r="L956" s="71">
        <v>74</v>
      </c>
      <c r="M956" s="71">
        <v>5</v>
      </c>
      <c r="N956" s="71">
        <v>23</v>
      </c>
      <c r="O956" s="71">
        <v>0</v>
      </c>
      <c r="P956" s="71">
        <v>13</v>
      </c>
      <c r="Q956" s="71">
        <v>60</v>
      </c>
      <c r="R956" s="71">
        <v>120</v>
      </c>
      <c r="S956" s="71" t="s">
        <v>96</v>
      </c>
      <c r="T956" s="73" t="s">
        <v>4364</v>
      </c>
      <c r="U956" s="71" t="s">
        <v>3787</v>
      </c>
      <c r="V956" s="71" t="b">
        <v>0</v>
      </c>
    </row>
    <row r="957" spans="1:22" ht="17.25">
      <c r="A957" s="70">
        <v>687</v>
      </c>
      <c r="B957" s="70" t="s">
        <v>1831</v>
      </c>
      <c r="C957" s="70" t="s">
        <v>4727</v>
      </c>
      <c r="D957" s="70" t="s">
        <v>1830</v>
      </c>
      <c r="E957" s="70" t="s">
        <v>444</v>
      </c>
      <c r="F957" s="71">
        <v>1</v>
      </c>
      <c r="G957" s="71">
        <v>7</v>
      </c>
      <c r="H957" s="72" t="s">
        <v>4315</v>
      </c>
      <c r="I957" s="71" t="b">
        <v>0</v>
      </c>
      <c r="J957" s="71">
        <v>76</v>
      </c>
      <c r="K957" s="71">
        <v>61</v>
      </c>
      <c r="L957" s="71">
        <v>72</v>
      </c>
      <c r="M957" s="71">
        <v>6</v>
      </c>
      <c r="N957" s="71">
        <v>33</v>
      </c>
      <c r="O957" s="71">
        <v>0</v>
      </c>
      <c r="P957" s="71">
        <v>13</v>
      </c>
      <c r="Q957" s="71">
        <v>64</v>
      </c>
      <c r="R957" s="71">
        <v>112</v>
      </c>
      <c r="S957" s="71" t="s">
        <v>128</v>
      </c>
      <c r="T957" s="73" t="s">
        <v>4367</v>
      </c>
      <c r="U957" s="71" t="s">
        <v>3400</v>
      </c>
      <c r="V957" s="71" t="b">
        <v>0</v>
      </c>
    </row>
    <row r="958" spans="1:22" ht="17.25">
      <c r="A958" s="70">
        <v>687</v>
      </c>
      <c r="B958" s="70" t="s">
        <v>1831</v>
      </c>
      <c r="C958" s="70" t="s">
        <v>446</v>
      </c>
      <c r="D958" s="70" t="s">
        <v>1830</v>
      </c>
      <c r="E958" s="70" t="s">
        <v>444</v>
      </c>
      <c r="F958" s="71">
        <v>1</v>
      </c>
      <c r="G958" s="71">
        <v>7</v>
      </c>
      <c r="H958" s="72" t="s">
        <v>4315</v>
      </c>
      <c r="I958" s="71" t="b">
        <v>0</v>
      </c>
      <c r="J958" s="71">
        <v>76</v>
      </c>
      <c r="K958" s="71">
        <v>61</v>
      </c>
      <c r="L958" s="71">
        <v>72</v>
      </c>
      <c r="M958" s="71">
        <v>6</v>
      </c>
      <c r="N958" s="71">
        <v>33</v>
      </c>
      <c r="O958" s="71">
        <v>0</v>
      </c>
      <c r="P958" s="71">
        <v>13</v>
      </c>
      <c r="Q958" s="71">
        <v>64</v>
      </c>
      <c r="R958" s="71">
        <v>112</v>
      </c>
      <c r="S958" s="71" t="s">
        <v>128</v>
      </c>
      <c r="T958" s="73" t="s">
        <v>4367</v>
      </c>
      <c r="U958" s="71" t="s">
        <v>3400</v>
      </c>
      <c r="V958" s="71" t="b">
        <v>0</v>
      </c>
    </row>
    <row r="959" spans="1:22" ht="17.25">
      <c r="A959" s="70">
        <v>687</v>
      </c>
      <c r="B959" s="70" t="s">
        <v>1831</v>
      </c>
      <c r="C959" s="70" t="s">
        <v>4728</v>
      </c>
      <c r="D959" s="70" t="s">
        <v>1830</v>
      </c>
      <c r="E959" s="70" t="s">
        <v>444</v>
      </c>
      <c r="F959" s="71">
        <v>1</v>
      </c>
      <c r="G959" s="71">
        <v>7</v>
      </c>
      <c r="H959" s="72" t="s">
        <v>4315</v>
      </c>
      <c r="I959" s="71" t="b">
        <v>0</v>
      </c>
      <c r="J959" s="71">
        <v>76</v>
      </c>
      <c r="K959" s="71">
        <v>61</v>
      </c>
      <c r="L959" s="71">
        <v>72</v>
      </c>
      <c r="M959" s="71">
        <v>6</v>
      </c>
      <c r="N959" s="71">
        <v>33</v>
      </c>
      <c r="O959" s="71">
        <v>0</v>
      </c>
      <c r="P959" s="71">
        <v>13</v>
      </c>
      <c r="Q959" s="71">
        <v>64</v>
      </c>
      <c r="R959" s="71">
        <v>112</v>
      </c>
      <c r="S959" s="71" t="s">
        <v>128</v>
      </c>
      <c r="T959" s="73" t="s">
        <v>4367</v>
      </c>
      <c r="U959" s="71" t="s">
        <v>3400</v>
      </c>
      <c r="V959" s="71" t="b">
        <v>0</v>
      </c>
    </row>
    <row r="960" spans="1:22" ht="17.25">
      <c r="A960" s="70">
        <v>688</v>
      </c>
      <c r="B960" s="70" t="s">
        <v>1829</v>
      </c>
      <c r="C960" s="70" t="s">
        <v>301</v>
      </c>
      <c r="D960" s="70" t="s">
        <v>1828</v>
      </c>
      <c r="E960" s="70" t="s">
        <v>44</v>
      </c>
      <c r="F960" s="71">
        <v>112</v>
      </c>
      <c r="G960" s="71">
        <v>1</v>
      </c>
      <c r="H960" s="72" t="s">
        <v>4320</v>
      </c>
      <c r="I960" s="71" t="b">
        <v>0</v>
      </c>
      <c r="J960" s="71">
        <v>74</v>
      </c>
      <c r="K960" s="71">
        <v>60</v>
      </c>
      <c r="L960" s="71">
        <v>72</v>
      </c>
      <c r="M960" s="71">
        <v>12</v>
      </c>
      <c r="N960" s="71">
        <v>31</v>
      </c>
      <c r="O960" s="71">
        <v>0</v>
      </c>
      <c r="P960" s="71">
        <v>10</v>
      </c>
      <c r="Q960" s="71">
        <v>54</v>
      </c>
      <c r="R960" s="71">
        <v>96</v>
      </c>
      <c r="S960" s="71" t="s">
        <v>183</v>
      </c>
      <c r="T960" s="73" t="s">
        <v>4359</v>
      </c>
      <c r="U960" s="71" t="s">
        <v>3501</v>
      </c>
      <c r="V960" s="71" t="b">
        <v>0</v>
      </c>
    </row>
    <row r="961" spans="1:22" ht="17.25">
      <c r="A961" s="70">
        <v>689</v>
      </c>
      <c r="B961" s="70" t="s">
        <v>1827</v>
      </c>
      <c r="C961" s="70" t="s">
        <v>4729</v>
      </c>
      <c r="D961" s="70" t="s">
        <v>1826</v>
      </c>
      <c r="E961" s="70" t="s">
        <v>44</v>
      </c>
      <c r="F961" s="71">
        <v>73</v>
      </c>
      <c r="G961" s="71">
        <v>1</v>
      </c>
      <c r="H961" s="72" t="s">
        <v>4315</v>
      </c>
      <c r="I961" s="71" t="b">
        <v>0</v>
      </c>
      <c r="J961" s="71">
        <v>81</v>
      </c>
      <c r="K961" s="71">
        <v>66</v>
      </c>
      <c r="L961" s="71">
        <v>73</v>
      </c>
      <c r="M961" s="71">
        <v>14</v>
      </c>
      <c r="N961" s="71">
        <v>22</v>
      </c>
      <c r="O961" s="71">
        <v>0</v>
      </c>
      <c r="P961" s="71">
        <v>15</v>
      </c>
      <c r="Q961" s="71">
        <v>72</v>
      </c>
      <c r="R961" s="71">
        <v>118</v>
      </c>
      <c r="S961" s="71" t="s">
        <v>183</v>
      </c>
      <c r="T961" s="73" t="s">
        <v>4359</v>
      </c>
      <c r="U961" s="71" t="s">
        <v>3501</v>
      </c>
      <c r="V961" s="71" t="b">
        <v>0</v>
      </c>
    </row>
    <row r="962" spans="1:22" ht="17.25">
      <c r="A962" s="70">
        <v>689</v>
      </c>
      <c r="B962" s="70" t="s">
        <v>1827</v>
      </c>
      <c r="C962" s="70" t="s">
        <v>301</v>
      </c>
      <c r="D962" s="70" t="s">
        <v>1826</v>
      </c>
      <c r="E962" s="70" t="s">
        <v>44</v>
      </c>
      <c r="F962" s="71">
        <v>73</v>
      </c>
      <c r="G962" s="71">
        <v>1</v>
      </c>
      <c r="H962" s="72" t="s">
        <v>4315</v>
      </c>
      <c r="I962" s="71" t="b">
        <v>0</v>
      </c>
      <c r="J962" s="71">
        <v>81</v>
      </c>
      <c r="K962" s="71">
        <v>66</v>
      </c>
      <c r="L962" s="71">
        <v>73</v>
      </c>
      <c r="M962" s="71">
        <v>14</v>
      </c>
      <c r="N962" s="71">
        <v>22</v>
      </c>
      <c r="O962" s="71">
        <v>0</v>
      </c>
      <c r="P962" s="71">
        <v>15</v>
      </c>
      <c r="Q962" s="71">
        <v>72</v>
      </c>
      <c r="R962" s="71">
        <v>118</v>
      </c>
      <c r="S962" s="71" t="s">
        <v>183</v>
      </c>
      <c r="T962" s="73" t="s">
        <v>4359</v>
      </c>
      <c r="U962" s="71" t="s">
        <v>3501</v>
      </c>
      <c r="V962" s="71" t="b">
        <v>0</v>
      </c>
    </row>
    <row r="963" spans="1:22" ht="17.25">
      <c r="A963" s="70">
        <v>691</v>
      </c>
      <c r="B963" s="70" t="s">
        <v>1822</v>
      </c>
      <c r="C963" s="70" t="s">
        <v>871</v>
      </c>
      <c r="D963" s="70" t="s">
        <v>872</v>
      </c>
      <c r="E963" s="70" t="s">
        <v>871</v>
      </c>
      <c r="F963" s="71">
        <v>15</v>
      </c>
      <c r="G963" s="71">
        <v>169</v>
      </c>
      <c r="H963" s="72">
        <v>0.14444444444444443</v>
      </c>
      <c r="I963" s="71" t="b">
        <v>0</v>
      </c>
      <c r="J963" s="71">
        <v>45</v>
      </c>
      <c r="K963" s="71">
        <v>37</v>
      </c>
      <c r="L963" s="71">
        <v>84</v>
      </c>
      <c r="M963" s="71">
        <v>5</v>
      </c>
      <c r="N963" s="71">
        <v>97</v>
      </c>
      <c r="O963" s="71">
        <v>27</v>
      </c>
      <c r="P963" s="71">
        <v>64</v>
      </c>
      <c r="Q963" s="71">
        <v>10</v>
      </c>
      <c r="R963" s="71">
        <v>174</v>
      </c>
      <c r="S963" s="71" t="s">
        <v>195</v>
      </c>
      <c r="T963" s="73">
        <v>42100</v>
      </c>
      <c r="U963" s="71" t="s">
        <v>3909</v>
      </c>
      <c r="V963" s="71" t="b">
        <v>0</v>
      </c>
    </row>
    <row r="964" spans="1:22" ht="17.25">
      <c r="A964" s="70">
        <v>692</v>
      </c>
      <c r="B964" s="70" t="s">
        <v>1821</v>
      </c>
      <c r="C964" s="70" t="s">
        <v>97</v>
      </c>
      <c r="D964" s="70" t="s">
        <v>1820</v>
      </c>
      <c r="E964" s="70" t="s">
        <v>97</v>
      </c>
      <c r="F964" s="71">
        <v>11</v>
      </c>
      <c r="G964" s="71">
        <v>82</v>
      </c>
      <c r="H964" s="72">
        <v>0.18124999999999999</v>
      </c>
      <c r="I964" s="71" t="b">
        <v>0</v>
      </c>
      <c r="J964" s="71">
        <v>53</v>
      </c>
      <c r="K964" s="71">
        <v>62</v>
      </c>
      <c r="L964" s="71">
        <v>85</v>
      </c>
      <c r="M964" s="71">
        <v>3</v>
      </c>
      <c r="N964" s="71">
        <v>54</v>
      </c>
      <c r="O964" s="71">
        <v>0</v>
      </c>
      <c r="P964" s="71">
        <v>9</v>
      </c>
      <c r="Q964" s="71">
        <v>40</v>
      </c>
      <c r="R964" s="71">
        <v>90</v>
      </c>
      <c r="S964" s="71" t="s">
        <v>96</v>
      </c>
      <c r="T964" s="73">
        <v>44036</v>
      </c>
      <c r="U964" s="71" t="s">
        <v>3910</v>
      </c>
      <c r="V964" s="71" t="b">
        <v>0</v>
      </c>
    </row>
    <row r="965" spans="1:22" ht="17.25">
      <c r="A965" s="70">
        <v>693</v>
      </c>
      <c r="B965" s="70" t="s">
        <v>1819</v>
      </c>
      <c r="C965" s="70" t="s">
        <v>705</v>
      </c>
      <c r="D965" s="70" t="s">
        <v>1818</v>
      </c>
      <c r="E965" s="70" t="s">
        <v>133</v>
      </c>
      <c r="F965" s="71">
        <v>139</v>
      </c>
      <c r="G965" s="71">
        <v>1</v>
      </c>
      <c r="H965" s="72">
        <v>0.12847222222222221</v>
      </c>
      <c r="I965" s="71" t="b">
        <v>0</v>
      </c>
      <c r="J965" s="71">
        <v>68</v>
      </c>
      <c r="K965" s="71">
        <v>80</v>
      </c>
      <c r="L965" s="71">
        <v>93</v>
      </c>
      <c r="M965" s="71">
        <v>3</v>
      </c>
      <c r="N965" s="71">
        <v>5</v>
      </c>
      <c r="O965" s="71">
        <v>0</v>
      </c>
      <c r="P965" s="71">
        <v>17</v>
      </c>
      <c r="Q965" s="71">
        <v>60</v>
      </c>
      <c r="R965" s="71">
        <v>120</v>
      </c>
      <c r="S965" s="71" t="s">
        <v>96</v>
      </c>
      <c r="T965" s="73">
        <v>45723</v>
      </c>
      <c r="U965" s="71" t="s">
        <v>3418</v>
      </c>
      <c r="V965" s="71" t="b">
        <v>0</v>
      </c>
    </row>
    <row r="966" spans="1:22" ht="17.25">
      <c r="A966" s="70">
        <v>694</v>
      </c>
      <c r="B966" s="70" t="s">
        <v>1817</v>
      </c>
      <c r="C966" s="70" t="s">
        <v>419</v>
      </c>
      <c r="D966" s="70" t="s">
        <v>1816</v>
      </c>
      <c r="E966" s="70" t="s">
        <v>417</v>
      </c>
      <c r="F966" s="71">
        <v>20</v>
      </c>
      <c r="G966" s="71">
        <v>60</v>
      </c>
      <c r="H966" s="72">
        <v>0.12847222222222221</v>
      </c>
      <c r="I966" s="71" t="b">
        <v>1</v>
      </c>
      <c r="J966" s="71">
        <v>80</v>
      </c>
      <c r="K966" s="71">
        <v>75</v>
      </c>
      <c r="L966" s="71">
        <v>80</v>
      </c>
      <c r="M966" s="71">
        <v>10</v>
      </c>
      <c r="N966" s="71">
        <v>12</v>
      </c>
      <c r="O966" s="71">
        <v>0</v>
      </c>
      <c r="P966" s="71">
        <v>12</v>
      </c>
      <c r="Q966" s="71">
        <v>62</v>
      </c>
      <c r="R966" s="71">
        <v>108</v>
      </c>
      <c r="S966" s="71" t="s">
        <v>61</v>
      </c>
      <c r="T966" s="73">
        <v>45702</v>
      </c>
      <c r="U966" s="71" t="s">
        <v>3632</v>
      </c>
      <c r="V966" s="71" t="b">
        <v>0</v>
      </c>
    </row>
    <row r="967" spans="1:22" ht="17.25">
      <c r="A967" s="70">
        <v>695</v>
      </c>
      <c r="B967" s="70" t="s">
        <v>1815</v>
      </c>
      <c r="C967" s="70" t="s">
        <v>82</v>
      </c>
      <c r="D967" s="70" t="s">
        <v>81</v>
      </c>
      <c r="E967" s="70" t="s">
        <v>80</v>
      </c>
      <c r="F967" s="71">
        <v>78</v>
      </c>
      <c r="G967" s="71">
        <v>120</v>
      </c>
      <c r="H967" s="72">
        <v>0.11666666666666667</v>
      </c>
      <c r="I967" s="71" t="b">
        <v>0</v>
      </c>
      <c r="J967" s="71">
        <v>48</v>
      </c>
      <c r="K967" s="71">
        <v>41</v>
      </c>
      <c r="L967" s="71">
        <v>82</v>
      </c>
      <c r="M967" s="71">
        <v>10</v>
      </c>
      <c r="N967" s="71">
        <v>32</v>
      </c>
      <c r="O967" s="71">
        <v>0</v>
      </c>
      <c r="P967" s="71">
        <v>10</v>
      </c>
      <c r="Q967" s="71">
        <v>38</v>
      </c>
      <c r="R967" s="71">
        <v>138</v>
      </c>
      <c r="S967" s="71" t="s">
        <v>79</v>
      </c>
      <c r="T967" s="73">
        <v>44687</v>
      </c>
      <c r="U967" s="71" t="s">
        <v>3911</v>
      </c>
      <c r="V967" s="71" t="b">
        <v>0</v>
      </c>
    </row>
    <row r="968" spans="1:22" ht="17.25">
      <c r="A968" s="70">
        <v>697</v>
      </c>
      <c r="B968" s="70" t="s">
        <v>1812</v>
      </c>
      <c r="C968" s="70" t="s">
        <v>198</v>
      </c>
      <c r="D968" s="70" t="s">
        <v>1811</v>
      </c>
      <c r="E968" s="70" t="s">
        <v>196</v>
      </c>
      <c r="F968" s="71">
        <v>20</v>
      </c>
      <c r="G968" s="71">
        <v>4</v>
      </c>
      <c r="H968" s="72" t="s">
        <v>4334</v>
      </c>
      <c r="I968" s="71" t="b">
        <v>0</v>
      </c>
      <c r="J968" s="71">
        <v>61</v>
      </c>
      <c r="K968" s="71">
        <v>50</v>
      </c>
      <c r="L968" s="71">
        <v>71</v>
      </c>
      <c r="M968" s="71">
        <v>5</v>
      </c>
      <c r="N968" s="71">
        <v>49</v>
      </c>
      <c r="O968" s="71">
        <v>0</v>
      </c>
      <c r="P968" s="71">
        <v>12</v>
      </c>
      <c r="Q968" s="71">
        <v>45</v>
      </c>
      <c r="R968" s="71">
        <v>108</v>
      </c>
      <c r="S968" s="71" t="s">
        <v>195</v>
      </c>
      <c r="T968" s="73" t="s">
        <v>4337</v>
      </c>
      <c r="U968" s="71" t="s">
        <v>3860</v>
      </c>
      <c r="V968" s="71" t="b">
        <v>0</v>
      </c>
    </row>
    <row r="969" spans="1:22" ht="17.25">
      <c r="A969" s="70">
        <v>699</v>
      </c>
      <c r="B969" s="70" t="s">
        <v>1809</v>
      </c>
      <c r="C969" s="70" t="s">
        <v>67</v>
      </c>
      <c r="D969" s="70" t="s">
        <v>1808</v>
      </c>
      <c r="E969" s="70" t="s">
        <v>65</v>
      </c>
      <c r="F969" s="71">
        <v>41</v>
      </c>
      <c r="G969" s="71">
        <v>1</v>
      </c>
      <c r="H969" s="72">
        <v>0.11666666666666667</v>
      </c>
      <c r="I969" s="71" t="b">
        <v>1</v>
      </c>
      <c r="J969" s="71">
        <v>50</v>
      </c>
      <c r="K969" s="71">
        <v>93</v>
      </c>
      <c r="L969" s="71">
        <v>97</v>
      </c>
      <c r="M969" s="71">
        <v>3</v>
      </c>
      <c r="N969" s="71">
        <v>0</v>
      </c>
      <c r="O969" s="71">
        <v>0</v>
      </c>
      <c r="P969" s="71">
        <v>17</v>
      </c>
      <c r="Q969" s="71">
        <v>16</v>
      </c>
      <c r="R969" s="71">
        <v>144</v>
      </c>
      <c r="S969" s="71" t="s">
        <v>48</v>
      </c>
      <c r="T969" s="73">
        <v>45730</v>
      </c>
      <c r="U969" s="71" t="s">
        <v>3912</v>
      </c>
      <c r="V969" s="71" t="b">
        <v>0</v>
      </c>
    </row>
    <row r="970" spans="1:22" ht="17.25">
      <c r="A970" s="70">
        <v>700</v>
      </c>
      <c r="B970" s="70" t="s">
        <v>1807</v>
      </c>
      <c r="C970" s="70" t="s">
        <v>336</v>
      </c>
      <c r="D970" s="70" t="s">
        <v>1311</v>
      </c>
      <c r="E970" s="70" t="s">
        <v>334</v>
      </c>
      <c r="F970" s="71">
        <v>22</v>
      </c>
      <c r="G970" s="71">
        <v>40</v>
      </c>
      <c r="H970" s="72">
        <v>0.12986111111111112</v>
      </c>
      <c r="I970" s="71" t="b">
        <v>0</v>
      </c>
      <c r="J970" s="71">
        <v>74</v>
      </c>
      <c r="K970" s="71">
        <v>76</v>
      </c>
      <c r="L970" s="71">
        <v>92</v>
      </c>
      <c r="M970" s="71">
        <v>4</v>
      </c>
      <c r="N970" s="71">
        <v>2</v>
      </c>
      <c r="O970" s="71">
        <v>0</v>
      </c>
      <c r="P970" s="71">
        <v>30</v>
      </c>
      <c r="Q970" s="71">
        <v>96</v>
      </c>
      <c r="R970" s="71">
        <v>140</v>
      </c>
      <c r="S970" s="71" t="s">
        <v>96</v>
      </c>
      <c r="T970" s="73">
        <v>45149</v>
      </c>
      <c r="U970" s="71" t="s">
        <v>3913</v>
      </c>
      <c r="V970" s="71" t="b">
        <v>0</v>
      </c>
    </row>
    <row r="971" spans="1:22" ht="17.25">
      <c r="A971" s="70">
        <v>701</v>
      </c>
      <c r="B971" s="70" t="s">
        <v>1806</v>
      </c>
      <c r="C971" s="70" t="s">
        <v>4429</v>
      </c>
      <c r="D971" s="70" t="s">
        <v>1549</v>
      </c>
      <c r="E971" s="70" t="s">
        <v>188</v>
      </c>
      <c r="F971" s="71">
        <v>128</v>
      </c>
      <c r="G971" s="71">
        <v>4</v>
      </c>
      <c r="H971" s="72" t="s">
        <v>4315</v>
      </c>
      <c r="I971" s="71" t="b">
        <v>1</v>
      </c>
      <c r="J971" s="71">
        <v>83</v>
      </c>
      <c r="K971" s="71">
        <v>76</v>
      </c>
      <c r="L971" s="71">
        <v>75</v>
      </c>
      <c r="M971" s="71">
        <v>6</v>
      </c>
      <c r="N971" s="71">
        <v>15</v>
      </c>
      <c r="O971" s="71">
        <v>0</v>
      </c>
      <c r="P971" s="71">
        <v>12</v>
      </c>
      <c r="Q971" s="71">
        <v>81</v>
      </c>
      <c r="R971" s="71">
        <v>120</v>
      </c>
      <c r="S971" s="71" t="s">
        <v>128</v>
      </c>
      <c r="T971" s="73" t="s">
        <v>4385</v>
      </c>
      <c r="U971" s="71" t="s">
        <v>3914</v>
      </c>
      <c r="V971" s="71" t="b">
        <v>0</v>
      </c>
    </row>
    <row r="972" spans="1:22" ht="17.25">
      <c r="A972" s="70">
        <v>701</v>
      </c>
      <c r="B972" s="70" t="s">
        <v>1806</v>
      </c>
      <c r="C972" s="70" t="s">
        <v>1886</v>
      </c>
      <c r="D972" s="70" t="s">
        <v>1549</v>
      </c>
      <c r="E972" s="70" t="s">
        <v>188</v>
      </c>
      <c r="F972" s="71">
        <v>128</v>
      </c>
      <c r="G972" s="71">
        <v>4</v>
      </c>
      <c r="H972" s="72" t="s">
        <v>4315</v>
      </c>
      <c r="I972" s="71" t="b">
        <v>1</v>
      </c>
      <c r="J972" s="71">
        <v>83</v>
      </c>
      <c r="K972" s="71">
        <v>76</v>
      </c>
      <c r="L972" s="71">
        <v>75</v>
      </c>
      <c r="M972" s="71">
        <v>6</v>
      </c>
      <c r="N972" s="71">
        <v>15</v>
      </c>
      <c r="O972" s="71">
        <v>0</v>
      </c>
      <c r="P972" s="71">
        <v>12</v>
      </c>
      <c r="Q972" s="71">
        <v>81</v>
      </c>
      <c r="R972" s="71">
        <v>120</v>
      </c>
      <c r="S972" s="71" t="s">
        <v>128</v>
      </c>
      <c r="T972" s="73" t="s">
        <v>4385</v>
      </c>
      <c r="U972" s="71" t="s">
        <v>3914</v>
      </c>
      <c r="V972" s="71" t="b">
        <v>0</v>
      </c>
    </row>
    <row r="973" spans="1:22" ht="17.25">
      <c r="A973" s="70">
        <v>702</v>
      </c>
      <c r="B973" s="70" t="s">
        <v>1805</v>
      </c>
      <c r="C973" s="70" t="s">
        <v>1235</v>
      </c>
      <c r="D973" s="70" t="s">
        <v>1147</v>
      </c>
      <c r="E973" s="70" t="s">
        <v>62</v>
      </c>
      <c r="F973" s="71">
        <v>53</v>
      </c>
      <c r="G973" s="71">
        <v>14</v>
      </c>
      <c r="H973" s="72" t="s">
        <v>4315</v>
      </c>
      <c r="I973" s="71" t="b">
        <v>1</v>
      </c>
      <c r="J973" s="71">
        <v>75</v>
      </c>
      <c r="K973" s="71">
        <v>72</v>
      </c>
      <c r="L973" s="71">
        <v>74</v>
      </c>
      <c r="M973" s="71">
        <v>5</v>
      </c>
      <c r="N973" s="71">
        <v>22</v>
      </c>
      <c r="O973" s="71">
        <v>0</v>
      </c>
      <c r="P973" s="71">
        <v>14</v>
      </c>
      <c r="Q973" s="71">
        <v>86</v>
      </c>
      <c r="R973" s="71">
        <v>145</v>
      </c>
      <c r="S973" s="71" t="s">
        <v>61</v>
      </c>
      <c r="T973" s="73" t="s">
        <v>4392</v>
      </c>
      <c r="U973" s="71" t="s">
        <v>3915</v>
      </c>
      <c r="V973" s="71" t="b">
        <v>0</v>
      </c>
    </row>
    <row r="974" spans="1:22" ht="17.25">
      <c r="A974" s="70">
        <v>702</v>
      </c>
      <c r="B974" s="70" t="s">
        <v>1805</v>
      </c>
      <c r="C974" s="70" t="s">
        <v>141</v>
      </c>
      <c r="D974" s="70" t="s">
        <v>1147</v>
      </c>
      <c r="E974" s="70" t="s">
        <v>62</v>
      </c>
      <c r="F974" s="71">
        <v>53</v>
      </c>
      <c r="G974" s="71">
        <v>14</v>
      </c>
      <c r="H974" s="72" t="s">
        <v>4315</v>
      </c>
      <c r="I974" s="71" t="b">
        <v>1</v>
      </c>
      <c r="J974" s="71">
        <v>75</v>
      </c>
      <c r="K974" s="71">
        <v>72</v>
      </c>
      <c r="L974" s="71">
        <v>74</v>
      </c>
      <c r="M974" s="71">
        <v>5</v>
      </c>
      <c r="N974" s="71">
        <v>22</v>
      </c>
      <c r="O974" s="71">
        <v>0</v>
      </c>
      <c r="P974" s="71">
        <v>14</v>
      </c>
      <c r="Q974" s="71">
        <v>86</v>
      </c>
      <c r="R974" s="71">
        <v>145</v>
      </c>
      <c r="S974" s="71" t="s">
        <v>61</v>
      </c>
      <c r="T974" s="73" t="s">
        <v>4392</v>
      </c>
      <c r="U974" s="71" t="s">
        <v>3915</v>
      </c>
      <c r="V974" s="71" t="b">
        <v>0</v>
      </c>
    </row>
    <row r="975" spans="1:22" ht="17.25">
      <c r="A975" s="70">
        <v>703</v>
      </c>
      <c r="B975" s="70" t="s">
        <v>1804</v>
      </c>
      <c r="C975" s="70" t="s">
        <v>4730</v>
      </c>
      <c r="D975" s="70" t="s">
        <v>1803</v>
      </c>
      <c r="E975" s="70" t="s">
        <v>313</v>
      </c>
      <c r="F975" s="71">
        <v>60</v>
      </c>
      <c r="G975" s="71">
        <v>9</v>
      </c>
      <c r="H975" s="72">
        <v>0.10277777777777777</v>
      </c>
      <c r="I975" s="71" t="b">
        <v>1</v>
      </c>
      <c r="J975" s="71">
        <v>85</v>
      </c>
      <c r="K975" s="71">
        <v>82</v>
      </c>
      <c r="L975" s="71">
        <v>82</v>
      </c>
      <c r="M975" s="71">
        <v>14</v>
      </c>
      <c r="N975" s="71">
        <v>5</v>
      </c>
      <c r="O975" s="71">
        <v>0</v>
      </c>
      <c r="P975" s="71">
        <v>15</v>
      </c>
      <c r="Q975" s="71">
        <v>72</v>
      </c>
      <c r="R975" s="71">
        <v>130</v>
      </c>
      <c r="S975" s="71" t="s">
        <v>534</v>
      </c>
      <c r="T975" s="73">
        <v>45793</v>
      </c>
      <c r="U975" s="71" t="s">
        <v>3916</v>
      </c>
      <c r="V975" s="71" t="b">
        <v>0</v>
      </c>
    </row>
    <row r="976" spans="1:22" ht="17.25">
      <c r="A976" s="70">
        <v>703</v>
      </c>
      <c r="B976" s="70" t="s">
        <v>1804</v>
      </c>
      <c r="C976" s="70" t="s">
        <v>4731</v>
      </c>
      <c r="D976" s="70" t="s">
        <v>1803</v>
      </c>
      <c r="E976" s="70" t="s">
        <v>313</v>
      </c>
      <c r="F976" s="71">
        <v>60</v>
      </c>
      <c r="G976" s="71">
        <v>9</v>
      </c>
      <c r="H976" s="72">
        <v>0.10277777777777777</v>
      </c>
      <c r="I976" s="71" t="b">
        <v>1</v>
      </c>
      <c r="J976" s="71">
        <v>85</v>
      </c>
      <c r="K976" s="71">
        <v>82</v>
      </c>
      <c r="L976" s="71">
        <v>82</v>
      </c>
      <c r="M976" s="71">
        <v>14</v>
      </c>
      <c r="N976" s="71">
        <v>5</v>
      </c>
      <c r="O976" s="71">
        <v>0</v>
      </c>
      <c r="P976" s="71">
        <v>15</v>
      </c>
      <c r="Q976" s="71">
        <v>72</v>
      </c>
      <c r="R976" s="71">
        <v>130</v>
      </c>
      <c r="S976" s="71" t="s">
        <v>534</v>
      </c>
      <c r="T976" s="73">
        <v>45793</v>
      </c>
      <c r="U976" s="71" t="s">
        <v>3916</v>
      </c>
      <c r="V976" s="71" t="b">
        <v>0</v>
      </c>
    </row>
    <row r="977" spans="1:22" ht="17.25">
      <c r="A977" s="70">
        <v>703</v>
      </c>
      <c r="B977" s="70" t="s">
        <v>1804</v>
      </c>
      <c r="C977" s="70" t="s">
        <v>4442</v>
      </c>
      <c r="D977" s="70" t="s">
        <v>1803</v>
      </c>
      <c r="E977" s="70" t="s">
        <v>313</v>
      </c>
      <c r="F977" s="71">
        <v>60</v>
      </c>
      <c r="G977" s="71">
        <v>9</v>
      </c>
      <c r="H977" s="72">
        <v>0.10277777777777777</v>
      </c>
      <c r="I977" s="71" t="b">
        <v>1</v>
      </c>
      <c r="J977" s="71">
        <v>85</v>
      </c>
      <c r="K977" s="71">
        <v>82</v>
      </c>
      <c r="L977" s="71">
        <v>82</v>
      </c>
      <c r="M977" s="71">
        <v>14</v>
      </c>
      <c r="N977" s="71">
        <v>5</v>
      </c>
      <c r="O977" s="71">
        <v>0</v>
      </c>
      <c r="P977" s="71">
        <v>15</v>
      </c>
      <c r="Q977" s="71">
        <v>72</v>
      </c>
      <c r="R977" s="71">
        <v>130</v>
      </c>
      <c r="S977" s="71" t="s">
        <v>534</v>
      </c>
      <c r="T977" s="73">
        <v>45793</v>
      </c>
      <c r="U977" s="71" t="s">
        <v>3916</v>
      </c>
      <c r="V977" s="71" t="b">
        <v>0</v>
      </c>
    </row>
    <row r="978" spans="1:22" ht="17.25">
      <c r="A978" s="70">
        <v>704</v>
      </c>
      <c r="B978" s="70" t="s">
        <v>1802</v>
      </c>
      <c r="C978" s="70" t="s">
        <v>151</v>
      </c>
      <c r="D978" s="70" t="s">
        <v>1801</v>
      </c>
      <c r="E978" s="70" t="s">
        <v>44</v>
      </c>
      <c r="F978" s="71">
        <v>6</v>
      </c>
      <c r="G978" s="71">
        <v>109</v>
      </c>
      <c r="H978" s="72">
        <v>0.14374999999999999</v>
      </c>
      <c r="I978" s="71" t="b">
        <v>0</v>
      </c>
      <c r="J978" s="71">
        <v>68</v>
      </c>
      <c r="K978" s="71">
        <v>77</v>
      </c>
      <c r="L978" s="71">
        <v>94</v>
      </c>
      <c r="M978" s="71">
        <v>5</v>
      </c>
      <c r="N978" s="71">
        <v>2</v>
      </c>
      <c r="O978" s="71">
        <v>0</v>
      </c>
      <c r="P978" s="71">
        <v>10</v>
      </c>
      <c r="Q978" s="71">
        <v>57</v>
      </c>
      <c r="R978" s="71">
        <v>99</v>
      </c>
      <c r="S978" s="71" t="s">
        <v>96</v>
      </c>
      <c r="T978" s="73">
        <v>43805</v>
      </c>
      <c r="U978" s="71" t="s">
        <v>3917</v>
      </c>
      <c r="V978" s="71" t="b">
        <v>0</v>
      </c>
    </row>
    <row r="979" spans="1:22" ht="17.25">
      <c r="A979" s="70">
        <v>705</v>
      </c>
      <c r="B979" s="70" t="s">
        <v>1800</v>
      </c>
      <c r="C979" s="70" t="s">
        <v>477</v>
      </c>
      <c r="D979" s="70" t="s">
        <v>1799</v>
      </c>
      <c r="E979" s="70" t="s">
        <v>475</v>
      </c>
      <c r="F979" s="71">
        <v>183</v>
      </c>
      <c r="G979" s="71">
        <v>3</v>
      </c>
      <c r="H979" s="72" t="s">
        <v>4322</v>
      </c>
      <c r="I979" s="71" t="b">
        <v>1</v>
      </c>
      <c r="J979" s="71">
        <v>56</v>
      </c>
      <c r="K979" s="71">
        <v>54</v>
      </c>
      <c r="L979" s="71">
        <v>70</v>
      </c>
      <c r="M979" s="71">
        <v>9</v>
      </c>
      <c r="N979" s="71">
        <v>49</v>
      </c>
      <c r="O979" s="71">
        <v>2</v>
      </c>
      <c r="P979" s="71">
        <v>16</v>
      </c>
      <c r="Q979" s="71">
        <v>31</v>
      </c>
      <c r="R979" s="71">
        <v>82</v>
      </c>
      <c r="S979" s="71" t="s">
        <v>48</v>
      </c>
      <c r="T979" s="73" t="s">
        <v>4385</v>
      </c>
      <c r="U979" s="71" t="s">
        <v>3918</v>
      </c>
      <c r="V979" s="71" t="b">
        <v>0</v>
      </c>
    </row>
    <row r="980" spans="1:22" ht="17.25">
      <c r="A980" s="70">
        <v>705</v>
      </c>
      <c r="B980" s="70" t="s">
        <v>1800</v>
      </c>
      <c r="C980" s="70" t="s">
        <v>4732</v>
      </c>
      <c r="D980" s="70" t="s">
        <v>1799</v>
      </c>
      <c r="E980" s="70" t="s">
        <v>475</v>
      </c>
      <c r="F980" s="71">
        <v>183</v>
      </c>
      <c r="G980" s="71">
        <v>3</v>
      </c>
      <c r="H980" s="72" t="s">
        <v>4322</v>
      </c>
      <c r="I980" s="71" t="b">
        <v>1</v>
      </c>
      <c r="J980" s="71">
        <v>56</v>
      </c>
      <c r="K980" s="71">
        <v>54</v>
      </c>
      <c r="L980" s="71">
        <v>70</v>
      </c>
      <c r="M980" s="71">
        <v>9</v>
      </c>
      <c r="N980" s="71">
        <v>49</v>
      </c>
      <c r="O980" s="71">
        <v>2</v>
      </c>
      <c r="P980" s="71">
        <v>16</v>
      </c>
      <c r="Q980" s="71">
        <v>31</v>
      </c>
      <c r="R980" s="71">
        <v>82</v>
      </c>
      <c r="S980" s="71" t="s">
        <v>48</v>
      </c>
      <c r="T980" s="73" t="s">
        <v>4385</v>
      </c>
      <c r="U980" s="71" t="s">
        <v>3918</v>
      </c>
      <c r="V980" s="71" t="b">
        <v>0</v>
      </c>
    </row>
    <row r="981" spans="1:22" ht="17.25">
      <c r="A981" s="70">
        <v>705</v>
      </c>
      <c r="B981" s="70" t="s">
        <v>1800</v>
      </c>
      <c r="C981" s="70" t="s">
        <v>841</v>
      </c>
      <c r="D981" s="70" t="s">
        <v>1799</v>
      </c>
      <c r="E981" s="70" t="s">
        <v>475</v>
      </c>
      <c r="F981" s="71">
        <v>183</v>
      </c>
      <c r="G981" s="71">
        <v>3</v>
      </c>
      <c r="H981" s="72" t="s">
        <v>4322</v>
      </c>
      <c r="I981" s="71" t="b">
        <v>1</v>
      </c>
      <c r="J981" s="71">
        <v>56</v>
      </c>
      <c r="K981" s="71">
        <v>54</v>
      </c>
      <c r="L981" s="71">
        <v>70</v>
      </c>
      <c r="M981" s="71">
        <v>9</v>
      </c>
      <c r="N981" s="71">
        <v>49</v>
      </c>
      <c r="O981" s="71">
        <v>2</v>
      </c>
      <c r="P981" s="71">
        <v>16</v>
      </c>
      <c r="Q981" s="71">
        <v>31</v>
      </c>
      <c r="R981" s="71">
        <v>82</v>
      </c>
      <c r="S981" s="71" t="s">
        <v>48</v>
      </c>
      <c r="T981" s="73" t="s">
        <v>4385</v>
      </c>
      <c r="U981" s="71" t="s">
        <v>3918</v>
      </c>
      <c r="V981" s="71" t="b">
        <v>0</v>
      </c>
    </row>
    <row r="982" spans="1:22" ht="17.25">
      <c r="A982" s="70">
        <v>706</v>
      </c>
      <c r="B982" s="70" t="s">
        <v>1798</v>
      </c>
      <c r="C982" s="70" t="s">
        <v>1015</v>
      </c>
      <c r="D982" s="70" t="s">
        <v>1797</v>
      </c>
      <c r="E982" s="70" t="s">
        <v>1013</v>
      </c>
      <c r="F982" s="71">
        <v>145</v>
      </c>
      <c r="G982" s="71">
        <v>1</v>
      </c>
      <c r="H982" s="72" t="s">
        <v>4317</v>
      </c>
      <c r="I982" s="71" t="b">
        <v>0</v>
      </c>
      <c r="J982" s="71">
        <v>80</v>
      </c>
      <c r="K982" s="71">
        <v>73</v>
      </c>
      <c r="L982" s="71">
        <v>75</v>
      </c>
      <c r="M982" s="71">
        <v>7</v>
      </c>
      <c r="N982" s="71">
        <v>11</v>
      </c>
      <c r="O982" s="71">
        <v>0</v>
      </c>
      <c r="P982" s="71">
        <v>13</v>
      </c>
      <c r="Q982" s="71">
        <v>68</v>
      </c>
      <c r="R982" s="71">
        <v>116</v>
      </c>
      <c r="S982" s="71" t="s">
        <v>1012</v>
      </c>
      <c r="T982" s="73" t="s">
        <v>4333</v>
      </c>
      <c r="U982" s="71" t="s">
        <v>3919</v>
      </c>
      <c r="V982" s="71" t="b">
        <v>0</v>
      </c>
    </row>
    <row r="983" spans="1:22" ht="17.25">
      <c r="A983" s="70">
        <v>706</v>
      </c>
      <c r="B983" s="70" t="s">
        <v>1798</v>
      </c>
      <c r="C983" s="70" t="s">
        <v>2632</v>
      </c>
      <c r="D983" s="70" t="s">
        <v>1797</v>
      </c>
      <c r="E983" s="70" t="s">
        <v>1013</v>
      </c>
      <c r="F983" s="71">
        <v>145</v>
      </c>
      <c r="G983" s="71">
        <v>1</v>
      </c>
      <c r="H983" s="72" t="s">
        <v>4317</v>
      </c>
      <c r="I983" s="71" t="b">
        <v>0</v>
      </c>
      <c r="J983" s="71">
        <v>80</v>
      </c>
      <c r="K983" s="71">
        <v>73</v>
      </c>
      <c r="L983" s="71">
        <v>75</v>
      </c>
      <c r="M983" s="71">
        <v>7</v>
      </c>
      <c r="N983" s="71">
        <v>11</v>
      </c>
      <c r="O983" s="71">
        <v>0</v>
      </c>
      <c r="P983" s="71">
        <v>13</v>
      </c>
      <c r="Q983" s="71">
        <v>68</v>
      </c>
      <c r="R983" s="71">
        <v>116</v>
      </c>
      <c r="S983" s="71" t="s">
        <v>1012</v>
      </c>
      <c r="T983" s="73" t="s">
        <v>4333</v>
      </c>
      <c r="U983" s="71" t="s">
        <v>3919</v>
      </c>
      <c r="V983" s="71" t="b">
        <v>0</v>
      </c>
    </row>
    <row r="984" spans="1:22" ht="17.25">
      <c r="A984" s="70">
        <v>707</v>
      </c>
      <c r="B984" s="70" t="s">
        <v>1796</v>
      </c>
      <c r="C984" s="70" t="s">
        <v>131</v>
      </c>
      <c r="D984" s="70" t="s">
        <v>1795</v>
      </c>
      <c r="E984" s="70" t="s">
        <v>129</v>
      </c>
      <c r="F984" s="71">
        <v>3</v>
      </c>
      <c r="G984" s="71">
        <v>72</v>
      </c>
      <c r="H984" s="72">
        <v>0.15416666666666667</v>
      </c>
      <c r="I984" s="71" t="b">
        <v>0</v>
      </c>
      <c r="J984" s="71">
        <v>65</v>
      </c>
      <c r="K984" s="71">
        <v>69</v>
      </c>
      <c r="L984" s="71">
        <v>90</v>
      </c>
      <c r="M984" s="71">
        <v>4</v>
      </c>
      <c r="N984" s="71">
        <v>8</v>
      </c>
      <c r="O984" s="71">
        <v>0</v>
      </c>
      <c r="P984" s="71">
        <v>53</v>
      </c>
      <c r="Q984" s="71">
        <v>27</v>
      </c>
      <c r="R984" s="71">
        <v>80</v>
      </c>
      <c r="S984" s="71" t="s">
        <v>128</v>
      </c>
      <c r="T984" s="73">
        <v>44687</v>
      </c>
      <c r="U984" s="71" t="s">
        <v>3595</v>
      </c>
      <c r="V984" s="71" t="b">
        <v>0</v>
      </c>
    </row>
    <row r="985" spans="1:22" ht="17.25">
      <c r="A985" s="70">
        <v>707</v>
      </c>
      <c r="B985" s="70" t="s">
        <v>1796</v>
      </c>
      <c r="C985" s="70" t="s">
        <v>4733</v>
      </c>
      <c r="D985" s="70" t="s">
        <v>1795</v>
      </c>
      <c r="E985" s="70" t="s">
        <v>129</v>
      </c>
      <c r="F985" s="71">
        <v>3</v>
      </c>
      <c r="G985" s="71">
        <v>72</v>
      </c>
      <c r="H985" s="72">
        <v>0.15416666666666667</v>
      </c>
      <c r="I985" s="71" t="b">
        <v>0</v>
      </c>
      <c r="J985" s="71">
        <v>65</v>
      </c>
      <c r="K985" s="71">
        <v>69</v>
      </c>
      <c r="L985" s="71">
        <v>90</v>
      </c>
      <c r="M985" s="71">
        <v>4</v>
      </c>
      <c r="N985" s="71">
        <v>8</v>
      </c>
      <c r="O985" s="71">
        <v>0</v>
      </c>
      <c r="P985" s="71">
        <v>53</v>
      </c>
      <c r="Q985" s="71">
        <v>27</v>
      </c>
      <c r="R985" s="71">
        <v>80</v>
      </c>
      <c r="S985" s="71" t="s">
        <v>128</v>
      </c>
      <c r="T985" s="73">
        <v>44687</v>
      </c>
      <c r="U985" s="71" t="s">
        <v>3595</v>
      </c>
      <c r="V985" s="71" t="b">
        <v>0</v>
      </c>
    </row>
    <row r="986" spans="1:22" ht="17.25">
      <c r="A986" s="70">
        <v>708</v>
      </c>
      <c r="B986" s="70" t="s">
        <v>1794</v>
      </c>
      <c r="C986" s="70" t="s">
        <v>4905</v>
      </c>
      <c r="D986" s="70" t="s">
        <v>1793</v>
      </c>
      <c r="E986" s="70" t="s">
        <v>1077</v>
      </c>
      <c r="F986" s="71">
        <v>77</v>
      </c>
      <c r="G986" s="71">
        <v>33</v>
      </c>
      <c r="H986" s="72">
        <v>0.14930555555555555</v>
      </c>
      <c r="I986" s="71" t="b">
        <v>0</v>
      </c>
      <c r="J986" s="71">
        <v>67</v>
      </c>
      <c r="K986" s="71">
        <v>83</v>
      </c>
      <c r="L986" s="71">
        <v>87</v>
      </c>
      <c r="M986" s="71">
        <v>3</v>
      </c>
      <c r="N986" s="71">
        <v>15</v>
      </c>
      <c r="O986" s="71">
        <v>0</v>
      </c>
      <c r="P986" s="71">
        <v>14</v>
      </c>
      <c r="Q986" s="71">
        <v>98</v>
      </c>
      <c r="R986" s="71">
        <v>126</v>
      </c>
      <c r="S986" s="71" t="s">
        <v>1126</v>
      </c>
      <c r="T986" s="73">
        <v>28812</v>
      </c>
      <c r="U986" s="71" t="s">
        <v>3920</v>
      </c>
      <c r="V986" s="71" t="b">
        <v>0</v>
      </c>
    </row>
    <row r="987" spans="1:22" ht="17.25">
      <c r="A987" s="70">
        <v>709</v>
      </c>
      <c r="B987" s="70" t="s">
        <v>1792</v>
      </c>
      <c r="C987" s="70" t="s">
        <v>67</v>
      </c>
      <c r="D987" s="70" t="s">
        <v>1791</v>
      </c>
      <c r="E987" s="70" t="s">
        <v>65</v>
      </c>
      <c r="F987" s="71">
        <v>46</v>
      </c>
      <c r="G987" s="71">
        <v>1</v>
      </c>
      <c r="H987" s="72">
        <v>0.11666666666666667</v>
      </c>
      <c r="I987" s="71" t="b">
        <v>1</v>
      </c>
      <c r="J987" s="71">
        <v>54</v>
      </c>
      <c r="K987" s="71">
        <v>73</v>
      </c>
      <c r="L987" s="71">
        <v>92</v>
      </c>
      <c r="M987" s="71">
        <v>5</v>
      </c>
      <c r="N987" s="71">
        <v>0</v>
      </c>
      <c r="O987" s="71">
        <v>0</v>
      </c>
      <c r="P987" s="71">
        <v>61</v>
      </c>
      <c r="Q987" s="71">
        <v>31</v>
      </c>
      <c r="R987" s="71">
        <v>147</v>
      </c>
      <c r="S987" s="71" t="s">
        <v>48</v>
      </c>
      <c r="T987" s="73">
        <v>45730</v>
      </c>
      <c r="U987" s="71" t="s">
        <v>3912</v>
      </c>
      <c r="V987" s="71" t="b">
        <v>0</v>
      </c>
    </row>
    <row r="988" spans="1:22" ht="17.25">
      <c r="A988" s="70">
        <v>710</v>
      </c>
      <c r="B988" s="70" t="s">
        <v>1790</v>
      </c>
      <c r="C988" s="70" t="s">
        <v>645</v>
      </c>
      <c r="D988" s="70" t="s">
        <v>1789</v>
      </c>
      <c r="E988" s="70" t="s">
        <v>643</v>
      </c>
      <c r="F988" s="71">
        <v>99</v>
      </c>
      <c r="G988" s="71">
        <v>9</v>
      </c>
      <c r="H988" s="72">
        <v>0.12569444444444444</v>
      </c>
      <c r="I988" s="71" t="b">
        <v>0</v>
      </c>
      <c r="J988" s="71">
        <v>58</v>
      </c>
      <c r="K988" s="71">
        <v>55</v>
      </c>
      <c r="L988" s="71">
        <v>74</v>
      </c>
      <c r="M988" s="71">
        <v>4</v>
      </c>
      <c r="N988" s="71">
        <v>55</v>
      </c>
      <c r="O988" s="71">
        <v>0</v>
      </c>
      <c r="P988" s="71">
        <v>15</v>
      </c>
      <c r="Q988" s="71">
        <v>75</v>
      </c>
      <c r="R988" s="71">
        <v>120</v>
      </c>
      <c r="S988" s="71" t="s">
        <v>29</v>
      </c>
      <c r="T988" s="73">
        <v>25842</v>
      </c>
      <c r="U988" s="71" t="s">
        <v>3921</v>
      </c>
      <c r="V988" s="71" t="b">
        <v>1</v>
      </c>
    </row>
    <row r="989" spans="1:22" ht="17.25">
      <c r="A989" s="70">
        <v>711</v>
      </c>
      <c r="B989" s="70" t="s">
        <v>1788</v>
      </c>
      <c r="C989" s="70" t="s">
        <v>1787</v>
      </c>
      <c r="D989" s="70" t="s">
        <v>1786</v>
      </c>
      <c r="E989" s="70" t="s">
        <v>381</v>
      </c>
      <c r="F989" s="71">
        <v>7</v>
      </c>
      <c r="G989" s="71">
        <v>46</v>
      </c>
      <c r="H989" s="72">
        <v>0.15902777777777777</v>
      </c>
      <c r="I989" s="71" t="b">
        <v>0</v>
      </c>
      <c r="J989" s="71">
        <v>62</v>
      </c>
      <c r="K989" s="71">
        <v>65</v>
      </c>
      <c r="L989" s="71">
        <v>77</v>
      </c>
      <c r="M989" s="71">
        <v>5</v>
      </c>
      <c r="N989" s="71">
        <v>30</v>
      </c>
      <c r="O989" s="71">
        <v>0</v>
      </c>
      <c r="P989" s="71">
        <v>14</v>
      </c>
      <c r="Q989" s="71">
        <v>82</v>
      </c>
      <c r="R989" s="71">
        <v>130</v>
      </c>
      <c r="S989" s="71" t="s">
        <v>29</v>
      </c>
      <c r="T989" s="73">
        <v>41576</v>
      </c>
      <c r="U989" s="71" t="s">
        <v>3922</v>
      </c>
      <c r="V989" s="71" t="b">
        <v>1</v>
      </c>
    </row>
    <row r="990" spans="1:22" ht="17.25">
      <c r="A990" s="70">
        <v>713</v>
      </c>
      <c r="B990" s="70" t="s">
        <v>1783</v>
      </c>
      <c r="C990" s="70" t="s">
        <v>310</v>
      </c>
      <c r="D990" s="70" t="s">
        <v>1782</v>
      </c>
      <c r="E990" s="70" t="s">
        <v>308</v>
      </c>
      <c r="F990" s="71">
        <v>136</v>
      </c>
      <c r="G990" s="71">
        <v>7</v>
      </c>
      <c r="H990" s="72">
        <v>0.11180555555555556</v>
      </c>
      <c r="I990" s="71" t="b">
        <v>0</v>
      </c>
      <c r="J990" s="71">
        <v>58</v>
      </c>
      <c r="K990" s="71">
        <v>55</v>
      </c>
      <c r="L990" s="71">
        <v>74</v>
      </c>
      <c r="M990" s="71">
        <v>4</v>
      </c>
      <c r="N990" s="71">
        <v>55</v>
      </c>
      <c r="O990" s="71">
        <v>0</v>
      </c>
      <c r="P990" s="71">
        <v>15</v>
      </c>
      <c r="Q990" s="71">
        <v>75</v>
      </c>
      <c r="R990" s="71">
        <v>130</v>
      </c>
      <c r="S990" s="71" t="s">
        <v>29</v>
      </c>
      <c r="T990" s="73">
        <v>40840</v>
      </c>
      <c r="U990" s="71" t="s">
        <v>3426</v>
      </c>
      <c r="V990" s="71" t="b">
        <v>1</v>
      </c>
    </row>
    <row r="991" spans="1:22" ht="17.25">
      <c r="A991" s="70">
        <v>713</v>
      </c>
      <c r="B991" s="70" t="s">
        <v>1783</v>
      </c>
      <c r="C991" s="70" t="s">
        <v>4734</v>
      </c>
      <c r="D991" s="70" t="s">
        <v>1782</v>
      </c>
      <c r="E991" s="70" t="s">
        <v>308</v>
      </c>
      <c r="F991" s="71">
        <v>136</v>
      </c>
      <c r="G991" s="71">
        <v>7</v>
      </c>
      <c r="H991" s="72">
        <v>0.11180555555555556</v>
      </c>
      <c r="I991" s="71" t="b">
        <v>0</v>
      </c>
      <c r="J991" s="71">
        <v>58</v>
      </c>
      <c r="K991" s="71">
        <v>55</v>
      </c>
      <c r="L991" s="71">
        <v>74</v>
      </c>
      <c r="M991" s="71">
        <v>4</v>
      </c>
      <c r="N991" s="71">
        <v>55</v>
      </c>
      <c r="O991" s="71">
        <v>0</v>
      </c>
      <c r="P991" s="71">
        <v>15</v>
      </c>
      <c r="Q991" s="71">
        <v>75</v>
      </c>
      <c r="R991" s="71">
        <v>130</v>
      </c>
      <c r="S991" s="71" t="s">
        <v>29</v>
      </c>
      <c r="T991" s="73">
        <v>40840</v>
      </c>
      <c r="U991" s="71" t="s">
        <v>3426</v>
      </c>
      <c r="V991" s="71" t="b">
        <v>1</v>
      </c>
    </row>
    <row r="992" spans="1:22" ht="17.25">
      <c r="A992" s="70">
        <v>714</v>
      </c>
      <c r="B992" s="70" t="s">
        <v>1781</v>
      </c>
      <c r="C992" s="70" t="s">
        <v>237</v>
      </c>
      <c r="D992" s="70" t="s">
        <v>1780</v>
      </c>
      <c r="E992" s="70" t="s">
        <v>344</v>
      </c>
      <c r="F992" s="71">
        <v>119</v>
      </c>
      <c r="G992" s="71">
        <v>1</v>
      </c>
      <c r="H992" s="72">
        <v>0.17916666666666667</v>
      </c>
      <c r="I992" s="71" t="b">
        <v>0</v>
      </c>
      <c r="J992" s="71">
        <v>42</v>
      </c>
      <c r="K992" s="71">
        <v>39</v>
      </c>
      <c r="L992" s="71">
        <v>79</v>
      </c>
      <c r="M992" s="71">
        <v>5</v>
      </c>
      <c r="N992" s="71">
        <v>8</v>
      </c>
      <c r="O992" s="71">
        <v>0</v>
      </c>
      <c r="P992" s="71">
        <v>12</v>
      </c>
      <c r="Q992" s="71">
        <v>6</v>
      </c>
      <c r="R992" s="71">
        <v>117</v>
      </c>
      <c r="S992" s="71" t="s">
        <v>26</v>
      </c>
      <c r="T992" s="73">
        <v>45688</v>
      </c>
      <c r="U992" s="71" t="s">
        <v>3483</v>
      </c>
      <c r="V992" s="71" t="b">
        <v>0</v>
      </c>
    </row>
    <row r="993" spans="1:22" ht="17.25">
      <c r="A993" s="70">
        <v>715</v>
      </c>
      <c r="B993" s="70" t="s">
        <v>1779</v>
      </c>
      <c r="C993" s="70" t="s">
        <v>1778</v>
      </c>
      <c r="D993" s="70" t="s">
        <v>1777</v>
      </c>
      <c r="E993" s="70" t="s">
        <v>1776</v>
      </c>
      <c r="F993" s="71">
        <v>95</v>
      </c>
      <c r="G993" s="71">
        <v>46</v>
      </c>
      <c r="H993" s="72">
        <v>0.16666666666666666</v>
      </c>
      <c r="I993" s="71" t="b">
        <v>0</v>
      </c>
      <c r="J993" s="71">
        <v>60</v>
      </c>
      <c r="K993" s="71">
        <v>63</v>
      </c>
      <c r="L993" s="71">
        <v>92</v>
      </c>
      <c r="M993" s="71">
        <v>3</v>
      </c>
      <c r="N993" s="71">
        <v>44</v>
      </c>
      <c r="O993" s="71">
        <v>0</v>
      </c>
      <c r="P993" s="71">
        <v>10</v>
      </c>
      <c r="Q993" s="71">
        <v>31</v>
      </c>
      <c r="R993" s="71">
        <v>100</v>
      </c>
      <c r="S993" s="71" t="s">
        <v>96</v>
      </c>
      <c r="T993" s="73">
        <v>39654</v>
      </c>
      <c r="U993" s="71" t="s">
        <v>3923</v>
      </c>
      <c r="V993" s="71" t="b">
        <v>0</v>
      </c>
    </row>
    <row r="994" spans="1:22" ht="17.25">
      <c r="A994" s="70">
        <v>716</v>
      </c>
      <c r="B994" s="70" t="s">
        <v>1775</v>
      </c>
      <c r="C994" s="70" t="s">
        <v>182</v>
      </c>
      <c r="D994" s="70" t="s">
        <v>1774</v>
      </c>
      <c r="E994" s="70" t="s">
        <v>180</v>
      </c>
      <c r="F994" s="71">
        <v>172</v>
      </c>
      <c r="G994" s="71">
        <v>1</v>
      </c>
      <c r="H994" s="72" t="s">
        <v>4320</v>
      </c>
      <c r="I994" s="71" t="b">
        <v>1</v>
      </c>
      <c r="J994" s="71">
        <v>80</v>
      </c>
      <c r="K994" s="71">
        <v>61</v>
      </c>
      <c r="L994" s="71">
        <v>73</v>
      </c>
      <c r="M994" s="71">
        <v>18</v>
      </c>
      <c r="N994" s="71">
        <v>29</v>
      </c>
      <c r="O994" s="71">
        <v>0</v>
      </c>
      <c r="P994" s="71">
        <v>14</v>
      </c>
      <c r="Q994" s="71">
        <v>52</v>
      </c>
      <c r="R994" s="71">
        <v>122</v>
      </c>
      <c r="S994" s="71" t="s">
        <v>48</v>
      </c>
      <c r="T994" s="73" t="s">
        <v>4330</v>
      </c>
      <c r="U994" s="71" t="s">
        <v>3419</v>
      </c>
      <c r="V994" s="71" t="b">
        <v>0</v>
      </c>
    </row>
    <row r="995" spans="1:22" ht="17.25">
      <c r="A995" s="70">
        <v>716</v>
      </c>
      <c r="B995" s="70" t="s">
        <v>1775</v>
      </c>
      <c r="C995" s="70" t="s">
        <v>4735</v>
      </c>
      <c r="D995" s="70" t="s">
        <v>1774</v>
      </c>
      <c r="E995" s="70" t="s">
        <v>180</v>
      </c>
      <c r="F995" s="71">
        <v>172</v>
      </c>
      <c r="G995" s="71">
        <v>1</v>
      </c>
      <c r="H995" s="72" t="s">
        <v>4320</v>
      </c>
      <c r="I995" s="71" t="b">
        <v>1</v>
      </c>
      <c r="J995" s="71">
        <v>80</v>
      </c>
      <c r="K995" s="71">
        <v>61</v>
      </c>
      <c r="L995" s="71">
        <v>73</v>
      </c>
      <c r="M995" s="71">
        <v>18</v>
      </c>
      <c r="N995" s="71">
        <v>29</v>
      </c>
      <c r="O995" s="71">
        <v>0</v>
      </c>
      <c r="P995" s="71">
        <v>14</v>
      </c>
      <c r="Q995" s="71">
        <v>52</v>
      </c>
      <c r="R995" s="71">
        <v>122</v>
      </c>
      <c r="S995" s="71" t="s">
        <v>48</v>
      </c>
      <c r="T995" s="73" t="s">
        <v>4330</v>
      </c>
      <c r="U995" s="71" t="s">
        <v>3419</v>
      </c>
      <c r="V995" s="71" t="b">
        <v>0</v>
      </c>
    </row>
    <row r="996" spans="1:22" ht="17.25">
      <c r="A996" s="70">
        <v>717</v>
      </c>
      <c r="B996" s="70" t="s">
        <v>1773</v>
      </c>
      <c r="C996" s="70" t="s">
        <v>4492</v>
      </c>
      <c r="D996" s="70" t="s">
        <v>1772</v>
      </c>
      <c r="E996" s="70" t="s">
        <v>1771</v>
      </c>
      <c r="F996" s="71">
        <v>6</v>
      </c>
      <c r="G996" s="71">
        <v>44</v>
      </c>
      <c r="H996" s="72" t="s">
        <v>4338</v>
      </c>
      <c r="I996" s="71" t="b">
        <v>0</v>
      </c>
      <c r="J996" s="71">
        <v>78</v>
      </c>
      <c r="K996" s="71">
        <v>62</v>
      </c>
      <c r="L996" s="71">
        <v>72</v>
      </c>
      <c r="M996" s="71">
        <v>12</v>
      </c>
      <c r="N996" s="71">
        <v>22</v>
      </c>
      <c r="O996" s="71">
        <v>0</v>
      </c>
      <c r="P996" s="71">
        <v>11</v>
      </c>
      <c r="Q996" s="71">
        <v>65</v>
      </c>
      <c r="R996" s="71">
        <v>110</v>
      </c>
      <c r="S996" s="71" t="s">
        <v>1770</v>
      </c>
      <c r="T996" s="73" t="s">
        <v>4371</v>
      </c>
      <c r="U996" s="71" t="s">
        <v>3924</v>
      </c>
      <c r="V996" s="71" t="b">
        <v>0</v>
      </c>
    </row>
    <row r="997" spans="1:22" ht="17.25">
      <c r="A997" s="70">
        <v>717</v>
      </c>
      <c r="B997" s="70" t="s">
        <v>1773</v>
      </c>
      <c r="C997" s="70" t="s">
        <v>4736</v>
      </c>
      <c r="D997" s="70" t="s">
        <v>1772</v>
      </c>
      <c r="E997" s="70" t="s">
        <v>1771</v>
      </c>
      <c r="F997" s="71">
        <v>6</v>
      </c>
      <c r="G997" s="71">
        <v>44</v>
      </c>
      <c r="H997" s="72" t="s">
        <v>4338</v>
      </c>
      <c r="I997" s="71" t="b">
        <v>0</v>
      </c>
      <c r="J997" s="71">
        <v>78</v>
      </c>
      <c r="K997" s="71">
        <v>62</v>
      </c>
      <c r="L997" s="71">
        <v>72</v>
      </c>
      <c r="M997" s="71">
        <v>12</v>
      </c>
      <c r="N997" s="71">
        <v>22</v>
      </c>
      <c r="O997" s="71">
        <v>0</v>
      </c>
      <c r="P997" s="71">
        <v>11</v>
      </c>
      <c r="Q997" s="71">
        <v>65</v>
      </c>
      <c r="R997" s="71">
        <v>110</v>
      </c>
      <c r="S997" s="71" t="s">
        <v>1770</v>
      </c>
      <c r="T997" s="73" t="s">
        <v>4371</v>
      </c>
      <c r="U997" s="71" t="s">
        <v>3924</v>
      </c>
      <c r="V997" s="71" t="b">
        <v>0</v>
      </c>
    </row>
    <row r="998" spans="1:22" ht="17.25">
      <c r="A998" s="70">
        <v>718</v>
      </c>
      <c r="B998" s="70" t="s">
        <v>1769</v>
      </c>
      <c r="C998" s="70" t="s">
        <v>570</v>
      </c>
      <c r="D998" s="70" t="s">
        <v>1768</v>
      </c>
      <c r="E998" s="70" t="s">
        <v>568</v>
      </c>
      <c r="F998" s="71">
        <v>8</v>
      </c>
      <c r="G998" s="71">
        <v>10</v>
      </c>
      <c r="H998" s="72" t="s">
        <v>4317</v>
      </c>
      <c r="I998" s="71" t="b">
        <v>0</v>
      </c>
      <c r="J998" s="71">
        <v>80</v>
      </c>
      <c r="K998" s="71">
        <v>73</v>
      </c>
      <c r="L998" s="71">
        <v>74</v>
      </c>
      <c r="M998" s="71">
        <v>6</v>
      </c>
      <c r="N998" s="71">
        <v>15</v>
      </c>
      <c r="O998" s="71">
        <v>0</v>
      </c>
      <c r="P998" s="71">
        <v>14</v>
      </c>
      <c r="Q998" s="71">
        <v>71</v>
      </c>
      <c r="R998" s="71">
        <v>120</v>
      </c>
      <c r="S998" s="71" t="s">
        <v>115</v>
      </c>
      <c r="T998" s="73" t="s">
        <v>4372</v>
      </c>
      <c r="U998" s="71" t="s">
        <v>3925</v>
      </c>
      <c r="V998" s="71" t="b">
        <v>0</v>
      </c>
    </row>
    <row r="999" spans="1:22" ht="17.25">
      <c r="A999" s="70">
        <v>719</v>
      </c>
      <c r="B999" s="70" t="s">
        <v>1767</v>
      </c>
      <c r="C999" s="70" t="s">
        <v>1766</v>
      </c>
      <c r="D999" s="70" t="s">
        <v>1765</v>
      </c>
      <c r="E999" s="70" t="s">
        <v>1764</v>
      </c>
      <c r="F999" s="71">
        <v>69</v>
      </c>
      <c r="G999" s="71">
        <v>51</v>
      </c>
      <c r="H999" s="72">
        <v>0.17430555555555555</v>
      </c>
      <c r="I999" s="71" t="b">
        <v>0</v>
      </c>
      <c r="J999" s="71">
        <v>41</v>
      </c>
      <c r="K999" s="71">
        <v>40</v>
      </c>
      <c r="L999" s="71">
        <v>83</v>
      </c>
      <c r="M999" s="71">
        <v>3</v>
      </c>
      <c r="N999" s="71">
        <v>76</v>
      </c>
      <c r="O999" s="71">
        <v>67</v>
      </c>
      <c r="P999" s="71">
        <v>11</v>
      </c>
      <c r="Q999" s="71">
        <v>16</v>
      </c>
      <c r="R999" s="71">
        <v>143</v>
      </c>
      <c r="S999" s="71" t="s">
        <v>777</v>
      </c>
      <c r="T999" s="73">
        <v>43763</v>
      </c>
      <c r="U999" s="71" t="s">
        <v>3926</v>
      </c>
      <c r="V999" s="71" t="b">
        <v>0</v>
      </c>
    </row>
    <row r="1000" spans="1:22" ht="17.25">
      <c r="A1000" s="70">
        <v>720</v>
      </c>
      <c r="B1000" s="70" t="s">
        <v>1763</v>
      </c>
      <c r="C1000" s="70" t="s">
        <v>1762</v>
      </c>
      <c r="D1000" s="70" t="s">
        <v>1761</v>
      </c>
      <c r="E1000" s="70" t="s">
        <v>643</v>
      </c>
      <c r="F1000" s="71">
        <v>157</v>
      </c>
      <c r="G1000" s="71">
        <v>1</v>
      </c>
      <c r="H1000" s="72">
        <v>0.1701388888888889</v>
      </c>
      <c r="I1000" s="71" t="b">
        <v>0</v>
      </c>
      <c r="J1000" s="71">
        <v>87</v>
      </c>
      <c r="K1000" s="71">
        <v>86</v>
      </c>
      <c r="L1000" s="71">
        <v>86</v>
      </c>
      <c r="M1000" s="71">
        <v>6</v>
      </c>
      <c r="N1000" s="71">
        <v>18</v>
      </c>
      <c r="O1000" s="71">
        <v>3</v>
      </c>
      <c r="P1000" s="71">
        <v>4</v>
      </c>
      <c r="Q1000" s="71">
        <v>88</v>
      </c>
      <c r="R1000" s="71">
        <v>108</v>
      </c>
      <c r="S1000" s="71" t="s">
        <v>1760</v>
      </c>
      <c r="T1000" s="73">
        <v>29397</v>
      </c>
      <c r="U1000" s="71" t="s">
        <v>3927</v>
      </c>
      <c r="V1000" s="71" t="b">
        <v>0</v>
      </c>
    </row>
    <row r="1001" spans="1:22" ht="17.25">
      <c r="A1001" s="70">
        <v>721</v>
      </c>
      <c r="B1001" s="70" t="s">
        <v>1759</v>
      </c>
      <c r="C1001" s="70" t="s">
        <v>511</v>
      </c>
      <c r="D1001" s="70" t="s">
        <v>1758</v>
      </c>
      <c r="E1001" s="70" t="s">
        <v>124</v>
      </c>
      <c r="F1001" s="71">
        <v>22</v>
      </c>
      <c r="G1001" s="71">
        <v>6</v>
      </c>
      <c r="H1001" s="72" t="s">
        <v>4320</v>
      </c>
      <c r="I1001" s="71" t="b">
        <v>0</v>
      </c>
      <c r="J1001" s="71">
        <v>60</v>
      </c>
      <c r="K1001" s="71">
        <v>48</v>
      </c>
      <c r="L1001" s="71">
        <v>70</v>
      </c>
      <c r="M1001" s="71">
        <v>4</v>
      </c>
      <c r="N1001" s="71">
        <v>55</v>
      </c>
      <c r="O1001" s="71">
        <v>0</v>
      </c>
      <c r="P1001" s="71">
        <v>11</v>
      </c>
      <c r="Q1001" s="71">
        <v>38</v>
      </c>
      <c r="R1001" s="71">
        <v>88</v>
      </c>
      <c r="S1001" s="71" t="s">
        <v>115</v>
      </c>
      <c r="T1001" s="73" t="s">
        <v>4341</v>
      </c>
      <c r="U1001" s="71" t="s">
        <v>3435</v>
      </c>
      <c r="V1001" s="71" t="b">
        <v>0</v>
      </c>
    </row>
    <row r="1002" spans="1:22" ht="17.25">
      <c r="A1002" s="70">
        <v>722</v>
      </c>
      <c r="B1002" s="70" t="s">
        <v>1757</v>
      </c>
      <c r="C1002" s="70" t="s">
        <v>1756</v>
      </c>
      <c r="D1002" s="70" t="s">
        <v>1755</v>
      </c>
      <c r="E1002" s="70" t="s">
        <v>381</v>
      </c>
      <c r="F1002" s="71">
        <v>8</v>
      </c>
      <c r="G1002" s="71">
        <v>44</v>
      </c>
      <c r="H1002" s="72">
        <v>0.12638888888888888</v>
      </c>
      <c r="I1002" s="71" t="b">
        <v>0</v>
      </c>
      <c r="J1002" s="71">
        <v>68</v>
      </c>
      <c r="K1002" s="71">
        <v>68</v>
      </c>
      <c r="L1002" s="71">
        <v>78</v>
      </c>
      <c r="M1002" s="71">
        <v>5</v>
      </c>
      <c r="N1002" s="71">
        <v>25</v>
      </c>
      <c r="O1002" s="71">
        <v>0</v>
      </c>
      <c r="P1002" s="71">
        <v>14</v>
      </c>
      <c r="Q1002" s="71">
        <v>85</v>
      </c>
      <c r="R1002" s="71">
        <v>130</v>
      </c>
      <c r="S1002" s="71" t="s">
        <v>29</v>
      </c>
      <c r="T1002" s="73">
        <v>25873</v>
      </c>
      <c r="U1002" s="71" t="s">
        <v>3928</v>
      </c>
      <c r="V1002" s="71" t="b">
        <v>1</v>
      </c>
    </row>
    <row r="1003" spans="1:22" ht="17.25">
      <c r="A1003" s="70">
        <v>723</v>
      </c>
      <c r="B1003" s="70" t="s">
        <v>1754</v>
      </c>
      <c r="C1003" s="70" t="s">
        <v>419</v>
      </c>
      <c r="D1003" s="70" t="s">
        <v>1753</v>
      </c>
      <c r="E1003" s="70" t="s">
        <v>417</v>
      </c>
      <c r="F1003" s="71">
        <v>97</v>
      </c>
      <c r="G1003" s="71">
        <v>4</v>
      </c>
      <c r="H1003" s="72">
        <v>0.12847222222222221</v>
      </c>
      <c r="I1003" s="71" t="b">
        <v>1</v>
      </c>
      <c r="J1003" s="71">
        <v>80</v>
      </c>
      <c r="K1003" s="71">
        <v>75</v>
      </c>
      <c r="L1003" s="71">
        <v>80</v>
      </c>
      <c r="M1003" s="71">
        <v>10</v>
      </c>
      <c r="N1003" s="71">
        <v>12</v>
      </c>
      <c r="O1003" s="71">
        <v>0</v>
      </c>
      <c r="P1003" s="71">
        <v>12</v>
      </c>
      <c r="Q1003" s="71">
        <v>62</v>
      </c>
      <c r="R1003" s="71">
        <v>108</v>
      </c>
      <c r="S1003" s="71" t="s">
        <v>61</v>
      </c>
      <c r="T1003" s="73">
        <v>45772</v>
      </c>
      <c r="U1003" s="71" t="s">
        <v>3632</v>
      </c>
      <c r="V1003" s="71" t="b">
        <v>0</v>
      </c>
    </row>
    <row r="1004" spans="1:22" ht="17.25">
      <c r="A1004" s="70">
        <v>724</v>
      </c>
      <c r="B1004" s="70" t="s">
        <v>1752</v>
      </c>
      <c r="C1004" s="70" t="s">
        <v>1750</v>
      </c>
      <c r="D1004" s="70" t="s">
        <v>1751</v>
      </c>
      <c r="E1004" s="70" t="s">
        <v>1750</v>
      </c>
      <c r="F1004" s="71">
        <v>1</v>
      </c>
      <c r="G1004" s="71">
        <v>137</v>
      </c>
      <c r="H1004" s="72">
        <v>0.11041666666666666</v>
      </c>
      <c r="I1004" s="71" t="b">
        <v>0</v>
      </c>
      <c r="J1004" s="71">
        <v>69</v>
      </c>
      <c r="K1004" s="71">
        <v>45</v>
      </c>
      <c r="L1004" s="71">
        <v>87</v>
      </c>
      <c r="M1004" s="71">
        <v>6</v>
      </c>
      <c r="N1004" s="71">
        <v>4</v>
      </c>
      <c r="O1004" s="71">
        <v>0</v>
      </c>
      <c r="P1004" s="71">
        <v>7</v>
      </c>
      <c r="Q1004" s="71">
        <v>91</v>
      </c>
      <c r="R1004" s="71">
        <v>160</v>
      </c>
      <c r="S1004" s="71" t="s">
        <v>74</v>
      </c>
      <c r="T1004" s="73">
        <v>44820</v>
      </c>
      <c r="U1004" s="71" t="s">
        <v>3929</v>
      </c>
      <c r="V1004" s="71" t="b">
        <v>0</v>
      </c>
    </row>
    <row r="1005" spans="1:22" ht="17.25">
      <c r="A1005" s="70">
        <v>725</v>
      </c>
      <c r="B1005" s="70" t="s">
        <v>1749</v>
      </c>
      <c r="C1005" s="70" t="s">
        <v>1748</v>
      </c>
      <c r="D1005" s="70" t="s">
        <v>1747</v>
      </c>
      <c r="E1005" s="70" t="s">
        <v>995</v>
      </c>
      <c r="F1005" s="71">
        <v>110</v>
      </c>
      <c r="G1005" s="71">
        <v>2</v>
      </c>
      <c r="H1005" s="72" t="s">
        <v>4315</v>
      </c>
      <c r="I1005" s="71" t="b">
        <v>1</v>
      </c>
      <c r="J1005" s="71">
        <v>78</v>
      </c>
      <c r="K1005" s="71">
        <v>61</v>
      </c>
      <c r="L1005" s="71">
        <v>72</v>
      </c>
      <c r="M1005" s="71">
        <v>6</v>
      </c>
      <c r="N1005" s="71">
        <v>26</v>
      </c>
      <c r="O1005" s="71">
        <v>0</v>
      </c>
      <c r="P1005" s="71">
        <v>11</v>
      </c>
      <c r="Q1005" s="71">
        <v>68</v>
      </c>
      <c r="R1005" s="71">
        <v>94</v>
      </c>
      <c r="S1005" s="71" t="s">
        <v>128</v>
      </c>
      <c r="T1005" s="73" t="s">
        <v>4385</v>
      </c>
      <c r="U1005" s="71" t="s">
        <v>3930</v>
      </c>
      <c r="V1005" s="71" t="b">
        <v>0</v>
      </c>
    </row>
    <row r="1006" spans="1:22" ht="17.25">
      <c r="A1006" s="70">
        <v>726</v>
      </c>
      <c r="B1006" s="70" t="s">
        <v>1746</v>
      </c>
      <c r="C1006" s="70" t="s">
        <v>383</v>
      </c>
      <c r="D1006" s="70" t="s">
        <v>1745</v>
      </c>
      <c r="E1006" s="70" t="s">
        <v>381</v>
      </c>
      <c r="F1006" s="71">
        <v>1</v>
      </c>
      <c r="G1006" s="71">
        <v>113</v>
      </c>
      <c r="H1006" s="72">
        <v>9.0972222222222218E-2</v>
      </c>
      <c r="I1006" s="71" t="b">
        <v>1</v>
      </c>
      <c r="J1006" s="71">
        <v>75</v>
      </c>
      <c r="K1006" s="71">
        <v>73</v>
      </c>
      <c r="L1006" s="71">
        <v>95</v>
      </c>
      <c r="M1006" s="71">
        <v>3</v>
      </c>
      <c r="N1006" s="71">
        <v>26</v>
      </c>
      <c r="O1006" s="71">
        <v>0</v>
      </c>
      <c r="P1006" s="71">
        <v>11</v>
      </c>
      <c r="Q1006" s="71">
        <v>82</v>
      </c>
      <c r="R1006" s="71">
        <v>111</v>
      </c>
      <c r="S1006" s="71" t="s">
        <v>96</v>
      </c>
      <c r="T1006" s="73">
        <v>45184</v>
      </c>
      <c r="U1006" s="71" t="s">
        <v>3931</v>
      </c>
      <c r="V1006" s="71" t="b">
        <v>0</v>
      </c>
    </row>
    <row r="1007" spans="1:22" ht="17.25">
      <c r="A1007" s="70">
        <v>727</v>
      </c>
      <c r="B1007" s="70" t="s">
        <v>1744</v>
      </c>
      <c r="C1007" s="70" t="s">
        <v>182</v>
      </c>
      <c r="D1007" s="70" t="s">
        <v>1743</v>
      </c>
      <c r="E1007" s="70" t="s">
        <v>180</v>
      </c>
      <c r="F1007" s="71">
        <v>79</v>
      </c>
      <c r="G1007" s="71">
        <v>1</v>
      </c>
      <c r="H1007" s="72" t="s">
        <v>4320</v>
      </c>
      <c r="I1007" s="71" t="b">
        <v>1</v>
      </c>
      <c r="J1007" s="71">
        <v>72</v>
      </c>
      <c r="K1007" s="71">
        <v>54</v>
      </c>
      <c r="L1007" s="71">
        <v>71</v>
      </c>
      <c r="M1007" s="71">
        <v>28</v>
      </c>
      <c r="N1007" s="71">
        <v>42</v>
      </c>
      <c r="O1007" s="71">
        <v>0</v>
      </c>
      <c r="P1007" s="71">
        <v>10</v>
      </c>
      <c r="Q1007" s="71">
        <v>34</v>
      </c>
      <c r="R1007" s="71">
        <v>98</v>
      </c>
      <c r="S1007" s="71" t="s">
        <v>48</v>
      </c>
      <c r="T1007" s="73" t="s">
        <v>4330</v>
      </c>
      <c r="U1007" s="71" t="s">
        <v>3649</v>
      </c>
      <c r="V1007" s="71" t="b">
        <v>0</v>
      </c>
    </row>
    <row r="1008" spans="1:22" ht="17.25">
      <c r="A1008" s="70">
        <v>728</v>
      </c>
      <c r="B1008" s="70" t="s">
        <v>1742</v>
      </c>
      <c r="C1008" s="70" t="s">
        <v>131</v>
      </c>
      <c r="D1008" s="70" t="s">
        <v>1741</v>
      </c>
      <c r="E1008" s="70" t="s">
        <v>129</v>
      </c>
      <c r="F1008" s="71">
        <v>1</v>
      </c>
      <c r="G1008" s="71">
        <v>91</v>
      </c>
      <c r="H1008" s="72">
        <v>0.16111111111111112</v>
      </c>
      <c r="I1008" s="71" t="b">
        <v>1</v>
      </c>
      <c r="J1008" s="71">
        <v>62</v>
      </c>
      <c r="K1008" s="71">
        <v>13</v>
      </c>
      <c r="L1008" s="71">
        <v>54</v>
      </c>
      <c r="M1008" s="71">
        <v>7</v>
      </c>
      <c r="N1008" s="71">
        <v>18</v>
      </c>
      <c r="O1008" s="71">
        <v>22</v>
      </c>
      <c r="P1008" s="71">
        <v>8</v>
      </c>
      <c r="Q1008" s="71">
        <v>3</v>
      </c>
      <c r="R1008" s="71">
        <v>136</v>
      </c>
      <c r="S1008" s="71" t="s">
        <v>128</v>
      </c>
      <c r="T1008" s="73">
        <v>45662</v>
      </c>
      <c r="U1008" s="71" t="s">
        <v>3505</v>
      </c>
      <c r="V1008" s="71" t="b">
        <v>0</v>
      </c>
    </row>
    <row r="1009" spans="1:22" ht="17.25">
      <c r="A1009" s="70">
        <v>729</v>
      </c>
      <c r="B1009" s="70" t="s">
        <v>1740</v>
      </c>
      <c r="C1009" s="70" t="s">
        <v>1739</v>
      </c>
      <c r="D1009" s="70" t="s">
        <v>1738</v>
      </c>
      <c r="E1009" s="70" t="s">
        <v>1737</v>
      </c>
      <c r="F1009" s="71">
        <v>37</v>
      </c>
      <c r="G1009" s="71">
        <v>89</v>
      </c>
      <c r="H1009" s="72">
        <v>0.16388888888888889</v>
      </c>
      <c r="I1009" s="71" t="b">
        <v>0</v>
      </c>
      <c r="J1009" s="71">
        <v>70</v>
      </c>
      <c r="K1009" s="71">
        <v>34</v>
      </c>
      <c r="L1009" s="71">
        <v>82</v>
      </c>
      <c r="M1009" s="71">
        <v>3</v>
      </c>
      <c r="N1009" s="71">
        <v>55</v>
      </c>
      <c r="O1009" s="71">
        <v>8</v>
      </c>
      <c r="P1009" s="71">
        <v>12</v>
      </c>
      <c r="Q1009" s="71">
        <v>46</v>
      </c>
      <c r="R1009" s="71">
        <v>98</v>
      </c>
      <c r="S1009" s="71" t="s">
        <v>74</v>
      </c>
      <c r="T1009" s="73">
        <v>45464</v>
      </c>
      <c r="U1009" s="71" t="s">
        <v>3430</v>
      </c>
      <c r="V1009" s="71" t="b">
        <v>0</v>
      </c>
    </row>
    <row r="1010" spans="1:22" ht="17.25">
      <c r="A1010" s="70">
        <v>730</v>
      </c>
      <c r="B1010" s="70" t="s">
        <v>1736</v>
      </c>
      <c r="C1010" s="70" t="s">
        <v>253</v>
      </c>
      <c r="D1010" s="70" t="s">
        <v>1735</v>
      </c>
      <c r="E1010" s="70" t="s">
        <v>65</v>
      </c>
      <c r="F1010" s="71">
        <v>101</v>
      </c>
      <c r="G1010" s="71">
        <v>1</v>
      </c>
      <c r="H1010" s="72">
        <v>0.11666666666666667</v>
      </c>
      <c r="I1010" s="71" t="b">
        <v>1</v>
      </c>
      <c r="J1010" s="71">
        <v>74</v>
      </c>
      <c r="K1010" s="71">
        <v>82</v>
      </c>
      <c r="L1010" s="71">
        <v>89</v>
      </c>
      <c r="M1010" s="71">
        <v>4</v>
      </c>
      <c r="N1010" s="71">
        <v>5</v>
      </c>
      <c r="O1010" s="71">
        <v>0</v>
      </c>
      <c r="P1010" s="71">
        <v>17</v>
      </c>
      <c r="Q1010" s="71">
        <v>34</v>
      </c>
      <c r="R1010" s="71">
        <v>143</v>
      </c>
      <c r="S1010" s="71" t="s">
        <v>48</v>
      </c>
      <c r="T1010" s="73">
        <v>45730</v>
      </c>
      <c r="U1010" s="71" t="s">
        <v>3912</v>
      </c>
      <c r="V1010" s="71" t="b">
        <v>0</v>
      </c>
    </row>
    <row r="1011" spans="1:22" ht="17.25">
      <c r="A1011" s="70">
        <v>730</v>
      </c>
      <c r="B1011" s="70" t="s">
        <v>1736</v>
      </c>
      <c r="C1011" s="70" t="s">
        <v>67</v>
      </c>
      <c r="D1011" s="70" t="s">
        <v>1735</v>
      </c>
      <c r="E1011" s="70" t="s">
        <v>65</v>
      </c>
      <c r="F1011" s="71">
        <v>101</v>
      </c>
      <c r="G1011" s="71">
        <v>1</v>
      </c>
      <c r="H1011" s="72">
        <v>0.11666666666666667</v>
      </c>
      <c r="I1011" s="71" t="b">
        <v>1</v>
      </c>
      <c r="J1011" s="71">
        <v>74</v>
      </c>
      <c r="K1011" s="71">
        <v>82</v>
      </c>
      <c r="L1011" s="71">
        <v>89</v>
      </c>
      <c r="M1011" s="71">
        <v>4</v>
      </c>
      <c r="N1011" s="71">
        <v>5</v>
      </c>
      <c r="O1011" s="71">
        <v>0</v>
      </c>
      <c r="P1011" s="71">
        <v>17</v>
      </c>
      <c r="Q1011" s="71">
        <v>34</v>
      </c>
      <c r="R1011" s="71">
        <v>143</v>
      </c>
      <c r="S1011" s="71" t="s">
        <v>48</v>
      </c>
      <c r="T1011" s="73">
        <v>45730</v>
      </c>
      <c r="U1011" s="71" t="s">
        <v>3912</v>
      </c>
      <c r="V1011" s="71" t="b">
        <v>0</v>
      </c>
    </row>
    <row r="1012" spans="1:22" ht="17.25">
      <c r="A1012" s="70">
        <v>731</v>
      </c>
      <c r="B1012" s="70" t="s">
        <v>1734</v>
      </c>
      <c r="C1012" s="70" t="s">
        <v>485</v>
      </c>
      <c r="D1012" s="70" t="s">
        <v>1733</v>
      </c>
      <c r="E1012" s="70" t="s">
        <v>483</v>
      </c>
      <c r="F1012" s="71">
        <v>60</v>
      </c>
      <c r="G1012" s="71">
        <v>17</v>
      </c>
      <c r="H1012" s="72">
        <v>0.12847222222222221</v>
      </c>
      <c r="I1012" s="71" t="b">
        <v>0</v>
      </c>
      <c r="J1012" s="71">
        <v>60</v>
      </c>
      <c r="K1012" s="71">
        <v>84</v>
      </c>
      <c r="L1012" s="71">
        <v>90</v>
      </c>
      <c r="M1012" s="71">
        <v>4</v>
      </c>
      <c r="N1012" s="71">
        <v>33</v>
      </c>
      <c r="O1012" s="71">
        <v>1</v>
      </c>
      <c r="P1012" s="71">
        <v>10</v>
      </c>
      <c r="Q1012" s="71">
        <v>54</v>
      </c>
      <c r="R1012" s="71">
        <v>179</v>
      </c>
      <c r="S1012" s="71" t="s">
        <v>61</v>
      </c>
      <c r="T1012" s="73">
        <v>45730</v>
      </c>
      <c r="U1012" s="71" t="s">
        <v>3405</v>
      </c>
      <c r="V1012" s="71" t="b">
        <v>0</v>
      </c>
    </row>
    <row r="1013" spans="1:22" ht="17.25">
      <c r="A1013" s="70">
        <v>732</v>
      </c>
      <c r="B1013" s="70" t="s">
        <v>1732</v>
      </c>
      <c r="C1013" s="70" t="s">
        <v>4530</v>
      </c>
      <c r="D1013" s="70" t="s">
        <v>1731</v>
      </c>
      <c r="E1013" s="70" t="s">
        <v>44</v>
      </c>
      <c r="F1013" s="71">
        <v>20</v>
      </c>
      <c r="G1013" s="71">
        <v>20</v>
      </c>
      <c r="H1013" s="72">
        <v>0.17569444444444443</v>
      </c>
      <c r="I1013" s="71" t="b">
        <v>1</v>
      </c>
      <c r="J1013" s="71">
        <v>50</v>
      </c>
      <c r="K1013" s="71">
        <v>81</v>
      </c>
      <c r="L1013" s="71">
        <v>93</v>
      </c>
      <c r="M1013" s="71">
        <v>46</v>
      </c>
      <c r="N1013" s="71">
        <v>28</v>
      </c>
      <c r="O1013" s="71">
        <v>0</v>
      </c>
      <c r="P1013" s="71">
        <v>44</v>
      </c>
      <c r="Q1013" s="71">
        <v>66</v>
      </c>
      <c r="R1013" s="71">
        <v>80</v>
      </c>
      <c r="S1013" s="71" t="s">
        <v>48</v>
      </c>
      <c r="T1013" s="73">
        <v>45593</v>
      </c>
      <c r="U1013" s="71" t="s">
        <v>3932</v>
      </c>
      <c r="V1013" s="71" t="b">
        <v>0</v>
      </c>
    </row>
    <row r="1014" spans="1:22" ht="17.25">
      <c r="A1014" s="70">
        <v>732</v>
      </c>
      <c r="B1014" s="70" t="s">
        <v>1732</v>
      </c>
      <c r="C1014" s="70" t="s">
        <v>4547</v>
      </c>
      <c r="D1014" s="70" t="s">
        <v>1731</v>
      </c>
      <c r="E1014" s="70" t="s">
        <v>44</v>
      </c>
      <c r="F1014" s="71">
        <v>20</v>
      </c>
      <c r="G1014" s="71">
        <v>20</v>
      </c>
      <c r="H1014" s="72">
        <v>0.17569444444444443</v>
      </c>
      <c r="I1014" s="71" t="b">
        <v>1</v>
      </c>
      <c r="J1014" s="71">
        <v>50</v>
      </c>
      <c r="K1014" s="71">
        <v>81</v>
      </c>
      <c r="L1014" s="71">
        <v>93</v>
      </c>
      <c r="M1014" s="71">
        <v>46</v>
      </c>
      <c r="N1014" s="71">
        <v>28</v>
      </c>
      <c r="O1014" s="71">
        <v>0</v>
      </c>
      <c r="P1014" s="71">
        <v>44</v>
      </c>
      <c r="Q1014" s="71">
        <v>66</v>
      </c>
      <c r="R1014" s="71">
        <v>80</v>
      </c>
      <c r="S1014" s="71" t="s">
        <v>48</v>
      </c>
      <c r="T1014" s="73">
        <v>45593</v>
      </c>
      <c r="U1014" s="71" t="s">
        <v>3932</v>
      </c>
      <c r="V1014" s="71" t="b">
        <v>0</v>
      </c>
    </row>
    <row r="1015" spans="1:22" ht="17.25">
      <c r="A1015" s="70">
        <v>732</v>
      </c>
      <c r="B1015" s="70" t="s">
        <v>1732</v>
      </c>
      <c r="C1015" s="70" t="s">
        <v>4525</v>
      </c>
      <c r="D1015" s="70" t="s">
        <v>1731</v>
      </c>
      <c r="E1015" s="70" t="s">
        <v>44</v>
      </c>
      <c r="F1015" s="71">
        <v>20</v>
      </c>
      <c r="G1015" s="71">
        <v>20</v>
      </c>
      <c r="H1015" s="72">
        <v>0.17569444444444443</v>
      </c>
      <c r="I1015" s="71" t="b">
        <v>1</v>
      </c>
      <c r="J1015" s="71">
        <v>50</v>
      </c>
      <c r="K1015" s="71">
        <v>81</v>
      </c>
      <c r="L1015" s="71">
        <v>93</v>
      </c>
      <c r="M1015" s="71">
        <v>46</v>
      </c>
      <c r="N1015" s="71">
        <v>28</v>
      </c>
      <c r="O1015" s="71">
        <v>0</v>
      </c>
      <c r="P1015" s="71">
        <v>44</v>
      </c>
      <c r="Q1015" s="71">
        <v>66</v>
      </c>
      <c r="R1015" s="71">
        <v>80</v>
      </c>
      <c r="S1015" s="71" t="s">
        <v>48</v>
      </c>
      <c r="T1015" s="73">
        <v>45593</v>
      </c>
      <c r="U1015" s="71" t="s">
        <v>3932</v>
      </c>
      <c r="V1015" s="71" t="b">
        <v>0</v>
      </c>
    </row>
    <row r="1016" spans="1:22" ht="17.25">
      <c r="A1016" s="70">
        <v>732</v>
      </c>
      <c r="B1016" s="70" t="s">
        <v>1732</v>
      </c>
      <c r="C1016" s="70" t="s">
        <v>4906</v>
      </c>
      <c r="D1016" s="70" t="s">
        <v>1731</v>
      </c>
      <c r="E1016" s="70" t="s">
        <v>44</v>
      </c>
      <c r="F1016" s="71">
        <v>20</v>
      </c>
      <c r="G1016" s="71">
        <v>20</v>
      </c>
      <c r="H1016" s="72">
        <v>0.17569444444444443</v>
      </c>
      <c r="I1016" s="71" t="b">
        <v>1</v>
      </c>
      <c r="J1016" s="71">
        <v>50</v>
      </c>
      <c r="K1016" s="71">
        <v>81</v>
      </c>
      <c r="L1016" s="71">
        <v>93</v>
      </c>
      <c r="M1016" s="71">
        <v>46</v>
      </c>
      <c r="N1016" s="71">
        <v>28</v>
      </c>
      <c r="O1016" s="71">
        <v>0</v>
      </c>
      <c r="P1016" s="71">
        <v>44</v>
      </c>
      <c r="Q1016" s="71">
        <v>66</v>
      </c>
      <c r="R1016" s="71">
        <v>80</v>
      </c>
      <c r="S1016" s="71" t="s">
        <v>48</v>
      </c>
      <c r="T1016" s="73">
        <v>45593</v>
      </c>
      <c r="U1016" s="71" t="s">
        <v>3932</v>
      </c>
      <c r="V1016" s="71" t="b">
        <v>0</v>
      </c>
    </row>
    <row r="1017" spans="1:22" ht="17.25">
      <c r="A1017" s="70">
        <v>733</v>
      </c>
      <c r="B1017" s="70" t="s">
        <v>1730</v>
      </c>
      <c r="C1017" s="70" t="s">
        <v>4739</v>
      </c>
      <c r="D1017" s="70" t="s">
        <v>1729</v>
      </c>
      <c r="E1017" s="70" t="s">
        <v>1728</v>
      </c>
      <c r="F1017" s="71">
        <v>190</v>
      </c>
      <c r="G1017" s="71">
        <v>1</v>
      </c>
      <c r="H1017" s="72">
        <v>0.12847222222222221</v>
      </c>
      <c r="I1017" s="71" t="b">
        <v>0</v>
      </c>
      <c r="J1017" s="71">
        <v>31</v>
      </c>
      <c r="K1017" s="71">
        <v>59</v>
      </c>
      <c r="L1017" s="71">
        <v>88</v>
      </c>
      <c r="M1017" s="71">
        <v>5</v>
      </c>
      <c r="N1017" s="71">
        <v>56</v>
      </c>
      <c r="O1017" s="71">
        <v>0</v>
      </c>
      <c r="P1017" s="71">
        <v>14</v>
      </c>
      <c r="Q1017" s="71">
        <v>64</v>
      </c>
      <c r="R1017" s="71">
        <v>79</v>
      </c>
      <c r="S1017" s="71" t="s">
        <v>359</v>
      </c>
      <c r="T1017" s="73">
        <v>45639</v>
      </c>
      <c r="U1017" s="71" t="s">
        <v>3933</v>
      </c>
      <c r="V1017" s="71" t="b">
        <v>0</v>
      </c>
    </row>
    <row r="1018" spans="1:22" ht="17.25">
      <c r="A1018" s="70">
        <v>733</v>
      </c>
      <c r="B1018" s="70" t="s">
        <v>1730</v>
      </c>
      <c r="C1018" s="70" t="s">
        <v>4493</v>
      </c>
      <c r="D1018" s="70" t="s">
        <v>1729</v>
      </c>
      <c r="E1018" s="70" t="s">
        <v>1728</v>
      </c>
      <c r="F1018" s="71">
        <v>190</v>
      </c>
      <c r="G1018" s="71">
        <v>1</v>
      </c>
      <c r="H1018" s="72">
        <v>0.12847222222222221</v>
      </c>
      <c r="I1018" s="71" t="b">
        <v>0</v>
      </c>
      <c r="J1018" s="71">
        <v>31</v>
      </c>
      <c r="K1018" s="71">
        <v>59</v>
      </c>
      <c r="L1018" s="71">
        <v>88</v>
      </c>
      <c r="M1018" s="71">
        <v>5</v>
      </c>
      <c r="N1018" s="71">
        <v>56</v>
      </c>
      <c r="O1018" s="71">
        <v>0</v>
      </c>
      <c r="P1018" s="71">
        <v>14</v>
      </c>
      <c r="Q1018" s="71">
        <v>64</v>
      </c>
      <c r="R1018" s="71">
        <v>79</v>
      </c>
      <c r="S1018" s="71" t="s">
        <v>359</v>
      </c>
      <c r="T1018" s="73">
        <v>45639</v>
      </c>
      <c r="U1018" s="71" t="s">
        <v>3933</v>
      </c>
      <c r="V1018" s="71" t="b">
        <v>0</v>
      </c>
    </row>
    <row r="1019" spans="1:22" ht="17.25">
      <c r="A1019" s="70">
        <v>733</v>
      </c>
      <c r="B1019" s="70" t="s">
        <v>1730</v>
      </c>
      <c r="C1019" s="70" t="s">
        <v>4741</v>
      </c>
      <c r="D1019" s="70" t="s">
        <v>1729</v>
      </c>
      <c r="E1019" s="70" t="s">
        <v>1728</v>
      </c>
      <c r="F1019" s="71">
        <v>190</v>
      </c>
      <c r="G1019" s="71">
        <v>1</v>
      </c>
      <c r="H1019" s="72">
        <v>0.12847222222222221</v>
      </c>
      <c r="I1019" s="71" t="b">
        <v>0</v>
      </c>
      <c r="J1019" s="71">
        <v>31</v>
      </c>
      <c r="K1019" s="71">
        <v>59</v>
      </c>
      <c r="L1019" s="71">
        <v>88</v>
      </c>
      <c r="M1019" s="71">
        <v>5</v>
      </c>
      <c r="N1019" s="71">
        <v>56</v>
      </c>
      <c r="O1019" s="71">
        <v>0</v>
      </c>
      <c r="P1019" s="71">
        <v>14</v>
      </c>
      <c r="Q1019" s="71">
        <v>64</v>
      </c>
      <c r="R1019" s="71">
        <v>79</v>
      </c>
      <c r="S1019" s="71" t="s">
        <v>359</v>
      </c>
      <c r="T1019" s="73">
        <v>45639</v>
      </c>
      <c r="U1019" s="71" t="s">
        <v>3933</v>
      </c>
      <c r="V1019" s="71" t="b">
        <v>0</v>
      </c>
    </row>
    <row r="1020" spans="1:22" ht="17.25">
      <c r="A1020" s="70">
        <v>733</v>
      </c>
      <c r="B1020" s="70" t="s">
        <v>1730</v>
      </c>
      <c r="C1020" s="70" t="s">
        <v>4742</v>
      </c>
      <c r="D1020" s="70" t="s">
        <v>1729</v>
      </c>
      <c r="E1020" s="70" t="s">
        <v>1728</v>
      </c>
      <c r="F1020" s="71">
        <v>190</v>
      </c>
      <c r="G1020" s="71">
        <v>1</v>
      </c>
      <c r="H1020" s="72">
        <v>0.12847222222222221</v>
      </c>
      <c r="I1020" s="71" t="b">
        <v>0</v>
      </c>
      <c r="J1020" s="71">
        <v>31</v>
      </c>
      <c r="K1020" s="71">
        <v>59</v>
      </c>
      <c r="L1020" s="71">
        <v>88</v>
      </c>
      <c r="M1020" s="71">
        <v>5</v>
      </c>
      <c r="N1020" s="71">
        <v>56</v>
      </c>
      <c r="O1020" s="71">
        <v>0</v>
      </c>
      <c r="P1020" s="71">
        <v>14</v>
      </c>
      <c r="Q1020" s="71">
        <v>64</v>
      </c>
      <c r="R1020" s="71">
        <v>79</v>
      </c>
      <c r="S1020" s="71" t="s">
        <v>359</v>
      </c>
      <c r="T1020" s="73">
        <v>45639</v>
      </c>
      <c r="U1020" s="71" t="s">
        <v>3933</v>
      </c>
      <c r="V1020" s="71" t="b">
        <v>0</v>
      </c>
    </row>
    <row r="1021" spans="1:22" ht="17.25">
      <c r="A1021" s="70">
        <v>733</v>
      </c>
      <c r="B1021" s="70" t="s">
        <v>1730</v>
      </c>
      <c r="C1021" s="70" t="s">
        <v>4737</v>
      </c>
      <c r="D1021" s="70" t="s">
        <v>1729</v>
      </c>
      <c r="E1021" s="70" t="s">
        <v>1728</v>
      </c>
      <c r="F1021" s="71">
        <v>190</v>
      </c>
      <c r="G1021" s="71">
        <v>1</v>
      </c>
      <c r="H1021" s="72">
        <v>0.12847222222222221</v>
      </c>
      <c r="I1021" s="71" t="b">
        <v>0</v>
      </c>
      <c r="J1021" s="71">
        <v>31</v>
      </c>
      <c r="K1021" s="71">
        <v>59</v>
      </c>
      <c r="L1021" s="71">
        <v>88</v>
      </c>
      <c r="M1021" s="71">
        <v>5</v>
      </c>
      <c r="N1021" s="71">
        <v>56</v>
      </c>
      <c r="O1021" s="71">
        <v>0</v>
      </c>
      <c r="P1021" s="71">
        <v>14</v>
      </c>
      <c r="Q1021" s="71">
        <v>64</v>
      </c>
      <c r="R1021" s="71">
        <v>79</v>
      </c>
      <c r="S1021" s="71" t="s">
        <v>359</v>
      </c>
      <c r="T1021" s="73">
        <v>45639</v>
      </c>
      <c r="U1021" s="71" t="s">
        <v>3933</v>
      </c>
      <c r="V1021" s="71" t="b">
        <v>0</v>
      </c>
    </row>
    <row r="1022" spans="1:22" ht="17.25">
      <c r="A1022" s="70">
        <v>733</v>
      </c>
      <c r="B1022" s="70" t="s">
        <v>1730</v>
      </c>
      <c r="C1022" s="70" t="s">
        <v>4738</v>
      </c>
      <c r="D1022" s="70" t="s">
        <v>1729</v>
      </c>
      <c r="E1022" s="70" t="s">
        <v>1728</v>
      </c>
      <c r="F1022" s="71">
        <v>190</v>
      </c>
      <c r="G1022" s="71">
        <v>1</v>
      </c>
      <c r="H1022" s="72">
        <v>0.12847222222222221</v>
      </c>
      <c r="I1022" s="71" t="b">
        <v>0</v>
      </c>
      <c r="J1022" s="71">
        <v>31</v>
      </c>
      <c r="K1022" s="71">
        <v>59</v>
      </c>
      <c r="L1022" s="71">
        <v>88</v>
      </c>
      <c r="M1022" s="71">
        <v>5</v>
      </c>
      <c r="N1022" s="71">
        <v>56</v>
      </c>
      <c r="O1022" s="71">
        <v>0</v>
      </c>
      <c r="P1022" s="71">
        <v>14</v>
      </c>
      <c r="Q1022" s="71">
        <v>64</v>
      </c>
      <c r="R1022" s="71">
        <v>79</v>
      </c>
      <c r="S1022" s="71" t="s">
        <v>359</v>
      </c>
      <c r="T1022" s="73">
        <v>45639</v>
      </c>
      <c r="U1022" s="71" t="s">
        <v>3933</v>
      </c>
      <c r="V1022" s="71" t="b">
        <v>0</v>
      </c>
    </row>
    <row r="1023" spans="1:22" ht="17.25">
      <c r="A1023" s="70">
        <v>733</v>
      </c>
      <c r="B1023" s="70" t="s">
        <v>1730</v>
      </c>
      <c r="C1023" s="70" t="s">
        <v>4740</v>
      </c>
      <c r="D1023" s="70" t="s">
        <v>1729</v>
      </c>
      <c r="E1023" s="70" t="s">
        <v>1728</v>
      </c>
      <c r="F1023" s="71">
        <v>190</v>
      </c>
      <c r="G1023" s="71">
        <v>1</v>
      </c>
      <c r="H1023" s="72">
        <v>0.12847222222222221</v>
      </c>
      <c r="I1023" s="71" t="b">
        <v>0</v>
      </c>
      <c r="J1023" s="71">
        <v>31</v>
      </c>
      <c r="K1023" s="71">
        <v>59</v>
      </c>
      <c r="L1023" s="71">
        <v>88</v>
      </c>
      <c r="M1023" s="71">
        <v>5</v>
      </c>
      <c r="N1023" s="71">
        <v>56</v>
      </c>
      <c r="O1023" s="71">
        <v>0</v>
      </c>
      <c r="P1023" s="71">
        <v>14</v>
      </c>
      <c r="Q1023" s="71">
        <v>64</v>
      </c>
      <c r="R1023" s="71">
        <v>79</v>
      </c>
      <c r="S1023" s="71" t="s">
        <v>359</v>
      </c>
      <c r="T1023" s="73">
        <v>45639</v>
      </c>
      <c r="U1023" s="71" t="s">
        <v>3933</v>
      </c>
      <c r="V1023" s="71" t="b">
        <v>0</v>
      </c>
    </row>
    <row r="1024" spans="1:22" ht="17.25">
      <c r="A1024" s="70">
        <v>734</v>
      </c>
      <c r="B1024" s="70" t="s">
        <v>1727</v>
      </c>
      <c r="C1024" s="70" t="s">
        <v>4494</v>
      </c>
      <c r="D1024" s="70" t="s">
        <v>1726</v>
      </c>
      <c r="E1024" s="70" t="s">
        <v>835</v>
      </c>
      <c r="F1024" s="71">
        <v>113</v>
      </c>
      <c r="G1024" s="71">
        <v>13</v>
      </c>
      <c r="H1024" s="72">
        <v>0.12847222222222221</v>
      </c>
      <c r="I1024" s="71" t="b">
        <v>0</v>
      </c>
      <c r="J1024" s="71">
        <v>72</v>
      </c>
      <c r="K1024" s="71">
        <v>72</v>
      </c>
      <c r="L1024" s="71">
        <v>79</v>
      </c>
      <c r="M1024" s="71">
        <v>8</v>
      </c>
      <c r="N1024" s="71">
        <v>20</v>
      </c>
      <c r="O1024" s="71">
        <v>0</v>
      </c>
      <c r="P1024" s="71">
        <v>11</v>
      </c>
      <c r="Q1024" s="71">
        <v>68</v>
      </c>
      <c r="R1024" s="71">
        <v>105</v>
      </c>
      <c r="S1024" s="71" t="s">
        <v>96</v>
      </c>
      <c r="T1024" s="73">
        <v>42433</v>
      </c>
      <c r="U1024" s="71" t="s">
        <v>3934</v>
      </c>
      <c r="V1024" s="71" t="b">
        <v>0</v>
      </c>
    </row>
    <row r="1025" spans="1:22" ht="17.25">
      <c r="A1025" s="70">
        <v>734</v>
      </c>
      <c r="B1025" s="70" t="s">
        <v>1727</v>
      </c>
      <c r="C1025" s="70" t="s">
        <v>4425</v>
      </c>
      <c r="D1025" s="70" t="s">
        <v>1726</v>
      </c>
      <c r="E1025" s="70" t="s">
        <v>835</v>
      </c>
      <c r="F1025" s="71">
        <v>113</v>
      </c>
      <c r="G1025" s="71">
        <v>13</v>
      </c>
      <c r="H1025" s="72">
        <v>0.12847222222222221</v>
      </c>
      <c r="I1025" s="71" t="b">
        <v>0</v>
      </c>
      <c r="J1025" s="71">
        <v>72</v>
      </c>
      <c r="K1025" s="71">
        <v>72</v>
      </c>
      <c r="L1025" s="71">
        <v>79</v>
      </c>
      <c r="M1025" s="71">
        <v>8</v>
      </c>
      <c r="N1025" s="71">
        <v>20</v>
      </c>
      <c r="O1025" s="71">
        <v>0</v>
      </c>
      <c r="P1025" s="71">
        <v>11</v>
      </c>
      <c r="Q1025" s="71">
        <v>68</v>
      </c>
      <c r="R1025" s="71">
        <v>105</v>
      </c>
      <c r="S1025" s="71" t="s">
        <v>96</v>
      </c>
      <c r="T1025" s="73">
        <v>42433</v>
      </c>
      <c r="U1025" s="71" t="s">
        <v>3934</v>
      </c>
      <c r="V1025" s="71" t="b">
        <v>0</v>
      </c>
    </row>
    <row r="1026" spans="1:22" ht="17.25">
      <c r="A1026" s="70">
        <v>735</v>
      </c>
      <c r="B1026" s="70" t="s">
        <v>1725</v>
      </c>
      <c r="C1026" s="70" t="s">
        <v>1724</v>
      </c>
      <c r="D1026" s="70" t="s">
        <v>1723</v>
      </c>
      <c r="E1026" s="70" t="s">
        <v>1722</v>
      </c>
      <c r="F1026" s="71">
        <v>3</v>
      </c>
      <c r="G1026" s="71">
        <v>76</v>
      </c>
      <c r="H1026" s="72">
        <v>9.5138888888888884E-2</v>
      </c>
      <c r="I1026" s="71" t="b">
        <v>0</v>
      </c>
      <c r="J1026" s="71">
        <v>50</v>
      </c>
      <c r="K1026" s="71">
        <v>31</v>
      </c>
      <c r="L1026" s="71">
        <v>75</v>
      </c>
      <c r="M1026" s="71">
        <v>3</v>
      </c>
      <c r="N1026" s="71">
        <v>87</v>
      </c>
      <c r="O1026" s="71">
        <v>14</v>
      </c>
      <c r="P1026" s="71">
        <v>16</v>
      </c>
      <c r="Q1026" s="71">
        <v>12</v>
      </c>
      <c r="R1026" s="71">
        <v>114</v>
      </c>
      <c r="S1026" s="71" t="s">
        <v>74</v>
      </c>
      <c r="T1026" s="73">
        <v>45184</v>
      </c>
      <c r="U1026" s="71" t="s">
        <v>3935</v>
      </c>
      <c r="V1026" s="71" t="b">
        <v>0</v>
      </c>
    </row>
    <row r="1027" spans="1:22" ht="17.25">
      <c r="A1027" s="70">
        <v>736</v>
      </c>
      <c r="B1027" s="70" t="s">
        <v>1721</v>
      </c>
      <c r="C1027" s="70" t="s">
        <v>4495</v>
      </c>
      <c r="D1027" s="70" t="s">
        <v>1720</v>
      </c>
      <c r="E1027" s="70" t="s">
        <v>1719</v>
      </c>
      <c r="F1027" s="71">
        <v>59</v>
      </c>
      <c r="G1027" s="71">
        <v>8</v>
      </c>
      <c r="H1027" s="72">
        <v>0.15208333333333332</v>
      </c>
      <c r="I1027" s="71" t="b">
        <v>0</v>
      </c>
      <c r="J1027" s="71">
        <v>77</v>
      </c>
      <c r="K1027" s="71">
        <v>65</v>
      </c>
      <c r="L1027" s="71">
        <v>91</v>
      </c>
      <c r="M1027" s="71">
        <v>3</v>
      </c>
      <c r="N1027" s="71">
        <v>11</v>
      </c>
      <c r="O1027" s="71">
        <v>0</v>
      </c>
      <c r="P1027" s="71">
        <v>9</v>
      </c>
      <c r="Q1027" s="71">
        <v>26</v>
      </c>
      <c r="R1027" s="71">
        <v>125</v>
      </c>
      <c r="S1027" s="71" t="s">
        <v>96</v>
      </c>
      <c r="T1027" s="73">
        <v>41411</v>
      </c>
      <c r="U1027" s="71" t="s">
        <v>3936</v>
      </c>
      <c r="V1027" s="71" t="b">
        <v>0</v>
      </c>
    </row>
    <row r="1028" spans="1:22" ht="17.25">
      <c r="A1028" s="70">
        <v>736</v>
      </c>
      <c r="B1028" s="70" t="s">
        <v>1721</v>
      </c>
      <c r="C1028" s="70" t="s">
        <v>1084</v>
      </c>
      <c r="D1028" s="70" t="s">
        <v>1720</v>
      </c>
      <c r="E1028" s="70" t="s">
        <v>1719</v>
      </c>
      <c r="F1028" s="71">
        <v>59</v>
      </c>
      <c r="G1028" s="71">
        <v>8</v>
      </c>
      <c r="H1028" s="72">
        <v>0.15208333333333332</v>
      </c>
      <c r="I1028" s="71" t="b">
        <v>0</v>
      </c>
      <c r="J1028" s="71">
        <v>77</v>
      </c>
      <c r="K1028" s="71">
        <v>65</v>
      </c>
      <c r="L1028" s="71">
        <v>91</v>
      </c>
      <c r="M1028" s="71">
        <v>3</v>
      </c>
      <c r="N1028" s="71">
        <v>11</v>
      </c>
      <c r="O1028" s="71">
        <v>0</v>
      </c>
      <c r="P1028" s="71">
        <v>9</v>
      </c>
      <c r="Q1028" s="71">
        <v>26</v>
      </c>
      <c r="R1028" s="71">
        <v>125</v>
      </c>
      <c r="S1028" s="71" t="s">
        <v>96</v>
      </c>
      <c r="T1028" s="73">
        <v>41411</v>
      </c>
      <c r="U1028" s="71" t="s">
        <v>3936</v>
      </c>
      <c r="V1028" s="71" t="b">
        <v>0</v>
      </c>
    </row>
    <row r="1029" spans="1:22" ht="17.25">
      <c r="A1029" s="70">
        <v>737</v>
      </c>
      <c r="B1029" s="70" t="s">
        <v>1718</v>
      </c>
      <c r="C1029" s="70" t="s">
        <v>178</v>
      </c>
      <c r="D1029" s="70" t="s">
        <v>1717</v>
      </c>
      <c r="E1029" s="70" t="s">
        <v>84</v>
      </c>
      <c r="F1029" s="71">
        <v>52</v>
      </c>
      <c r="G1029" s="71">
        <v>9</v>
      </c>
      <c r="H1029" s="72">
        <v>0.19722222222222222</v>
      </c>
      <c r="I1029" s="71" t="b">
        <v>0</v>
      </c>
      <c r="J1029" s="71">
        <v>86</v>
      </c>
      <c r="K1029" s="71">
        <v>90</v>
      </c>
      <c r="L1029" s="71">
        <v>91</v>
      </c>
      <c r="M1029" s="71">
        <v>13</v>
      </c>
      <c r="N1029" s="71">
        <v>20</v>
      </c>
      <c r="O1029" s="71">
        <v>1</v>
      </c>
      <c r="P1029" s="71">
        <v>32</v>
      </c>
      <c r="Q1029" s="71">
        <v>73</v>
      </c>
      <c r="R1029" s="71">
        <v>90</v>
      </c>
      <c r="S1029" s="71" t="s">
        <v>96</v>
      </c>
      <c r="T1029" s="73">
        <v>34866</v>
      </c>
      <c r="U1029" s="71" t="s">
        <v>3937</v>
      </c>
      <c r="V1029" s="71" t="b">
        <v>0</v>
      </c>
    </row>
    <row r="1030" spans="1:22" ht="17.25">
      <c r="A1030" s="70">
        <v>739</v>
      </c>
      <c r="B1030" s="70" t="s">
        <v>1715</v>
      </c>
      <c r="C1030" s="70" t="s">
        <v>151</v>
      </c>
      <c r="D1030" s="70" t="s">
        <v>1714</v>
      </c>
      <c r="E1030" s="70" t="s">
        <v>44</v>
      </c>
      <c r="F1030" s="71">
        <v>16</v>
      </c>
      <c r="G1030" s="71">
        <v>3</v>
      </c>
      <c r="H1030" s="72" t="s">
        <v>4315</v>
      </c>
      <c r="I1030" s="71" t="b">
        <v>0</v>
      </c>
      <c r="J1030" s="71">
        <v>70</v>
      </c>
      <c r="K1030" s="71">
        <v>61</v>
      </c>
      <c r="L1030" s="71">
        <v>73</v>
      </c>
      <c r="M1030" s="71">
        <v>5</v>
      </c>
      <c r="N1030" s="71">
        <v>28</v>
      </c>
      <c r="O1030" s="71">
        <v>0</v>
      </c>
      <c r="P1030" s="71">
        <v>11</v>
      </c>
      <c r="Q1030" s="71">
        <v>60</v>
      </c>
      <c r="R1030" s="71">
        <v>112</v>
      </c>
      <c r="S1030" s="71" t="s">
        <v>96</v>
      </c>
      <c r="T1030" s="73" t="s">
        <v>4345</v>
      </c>
      <c r="U1030" s="71" t="s">
        <v>3389</v>
      </c>
      <c r="V1030" s="71" t="b">
        <v>0</v>
      </c>
    </row>
    <row r="1031" spans="1:22" ht="17.25">
      <c r="A1031" s="70">
        <v>740</v>
      </c>
      <c r="B1031" s="70" t="s">
        <v>1713</v>
      </c>
      <c r="C1031" s="70" t="s">
        <v>1712</v>
      </c>
      <c r="D1031" s="70" t="s">
        <v>1711</v>
      </c>
      <c r="E1031" s="70" t="s">
        <v>1457</v>
      </c>
      <c r="F1031" s="71">
        <v>67</v>
      </c>
      <c r="G1031" s="71">
        <v>105</v>
      </c>
      <c r="H1031" s="72">
        <v>0.12777777777777777</v>
      </c>
      <c r="I1031" s="71" t="b">
        <v>0</v>
      </c>
      <c r="J1031" s="71">
        <v>55</v>
      </c>
      <c r="K1031" s="71">
        <v>55</v>
      </c>
      <c r="L1031" s="71">
        <v>88</v>
      </c>
      <c r="M1031" s="71">
        <v>11</v>
      </c>
      <c r="N1031" s="71">
        <v>67</v>
      </c>
      <c r="O1031" s="71">
        <v>0</v>
      </c>
      <c r="P1031" s="71">
        <v>42</v>
      </c>
      <c r="Q1031" s="71">
        <v>55</v>
      </c>
      <c r="R1031" s="71">
        <v>160</v>
      </c>
      <c r="S1031" s="71" t="s">
        <v>26</v>
      </c>
      <c r="T1031" s="73">
        <v>42602</v>
      </c>
      <c r="U1031" s="71" t="s">
        <v>3938</v>
      </c>
      <c r="V1031" s="71" t="b">
        <v>0</v>
      </c>
    </row>
    <row r="1032" spans="1:22" ht="17.25">
      <c r="A1032" s="70">
        <v>741</v>
      </c>
      <c r="B1032" s="70" t="s">
        <v>1710</v>
      </c>
      <c r="C1032" s="70" t="s">
        <v>1276</v>
      </c>
      <c r="D1032" s="70" t="s">
        <v>1709</v>
      </c>
      <c r="E1032" s="70" t="s">
        <v>1274</v>
      </c>
      <c r="F1032" s="71">
        <v>1</v>
      </c>
      <c r="G1032" s="71">
        <v>141</v>
      </c>
      <c r="H1032" s="72">
        <v>0.125</v>
      </c>
      <c r="I1032" s="71" t="b">
        <v>0</v>
      </c>
      <c r="J1032" s="71">
        <v>47</v>
      </c>
      <c r="K1032" s="71">
        <v>47</v>
      </c>
      <c r="L1032" s="71">
        <v>91</v>
      </c>
      <c r="M1032" s="71">
        <v>6</v>
      </c>
      <c r="N1032" s="71">
        <v>15</v>
      </c>
      <c r="O1032" s="71">
        <v>0</v>
      </c>
      <c r="P1032" s="71">
        <v>14</v>
      </c>
      <c r="Q1032" s="71">
        <v>22</v>
      </c>
      <c r="R1032" s="71">
        <v>105</v>
      </c>
      <c r="S1032" s="71" t="s">
        <v>96</v>
      </c>
      <c r="T1032" s="73">
        <v>45309</v>
      </c>
      <c r="U1032" s="71" t="s">
        <v>3824</v>
      </c>
      <c r="V1032" s="71" t="b">
        <v>0</v>
      </c>
    </row>
    <row r="1033" spans="1:22" ht="17.25">
      <c r="A1033" s="70">
        <v>742</v>
      </c>
      <c r="B1033" s="70" t="s">
        <v>1708</v>
      </c>
      <c r="C1033" s="70" t="s">
        <v>221</v>
      </c>
      <c r="D1033" s="70" t="s">
        <v>1707</v>
      </c>
      <c r="E1033" s="70" t="s">
        <v>1706</v>
      </c>
      <c r="F1033" s="71">
        <v>73</v>
      </c>
      <c r="G1033" s="71">
        <v>3</v>
      </c>
      <c r="H1033" s="72" t="s">
        <v>4320</v>
      </c>
      <c r="I1033" s="71" t="b">
        <v>0</v>
      </c>
      <c r="J1033" s="71">
        <v>59</v>
      </c>
      <c r="K1033" s="71">
        <v>62</v>
      </c>
      <c r="L1033" s="71">
        <v>71</v>
      </c>
      <c r="M1033" s="71">
        <v>4</v>
      </c>
      <c r="N1033" s="71">
        <v>35</v>
      </c>
      <c r="O1033" s="71">
        <v>0</v>
      </c>
      <c r="P1033" s="71">
        <v>12</v>
      </c>
      <c r="Q1033" s="71">
        <v>45</v>
      </c>
      <c r="R1033" s="71">
        <v>134</v>
      </c>
      <c r="S1033" s="71" t="s">
        <v>143</v>
      </c>
      <c r="T1033" s="73" t="s">
        <v>4337</v>
      </c>
      <c r="U1033" s="71" t="s">
        <v>3939</v>
      </c>
      <c r="V1033" s="71" t="b">
        <v>0</v>
      </c>
    </row>
    <row r="1034" spans="1:22" ht="17.25">
      <c r="A1034" s="70">
        <v>743</v>
      </c>
      <c r="B1034" s="70" t="s">
        <v>1705</v>
      </c>
      <c r="C1034" s="70" t="s">
        <v>97</v>
      </c>
      <c r="D1034" s="70" t="s">
        <v>1704</v>
      </c>
      <c r="E1034" s="70" t="s">
        <v>97</v>
      </c>
      <c r="F1034" s="71">
        <v>2</v>
      </c>
      <c r="G1034" s="71">
        <v>42</v>
      </c>
      <c r="H1034" s="72" t="s">
        <v>4322</v>
      </c>
      <c r="I1034" s="71" t="b">
        <v>0</v>
      </c>
      <c r="J1034" s="71">
        <v>63</v>
      </c>
      <c r="K1034" s="71">
        <v>49</v>
      </c>
      <c r="L1034" s="71">
        <v>71</v>
      </c>
      <c r="M1034" s="71">
        <v>4</v>
      </c>
      <c r="N1034" s="71">
        <v>51</v>
      </c>
      <c r="O1034" s="71">
        <v>0</v>
      </c>
      <c r="P1034" s="71">
        <v>10</v>
      </c>
      <c r="Q1034" s="71">
        <v>44</v>
      </c>
      <c r="R1034" s="71">
        <v>132</v>
      </c>
      <c r="S1034" s="71" t="s">
        <v>96</v>
      </c>
      <c r="T1034" s="73" t="s">
        <v>4364</v>
      </c>
      <c r="U1034" s="71" t="s">
        <v>3397</v>
      </c>
      <c r="V1034" s="71" t="b">
        <v>0</v>
      </c>
    </row>
    <row r="1035" spans="1:22" ht="17.25">
      <c r="A1035" s="70">
        <v>745</v>
      </c>
      <c r="B1035" s="70" t="s">
        <v>1699</v>
      </c>
      <c r="C1035" s="70" t="s">
        <v>1698</v>
      </c>
      <c r="D1035" s="70" t="s">
        <v>1697</v>
      </c>
      <c r="E1035" s="70" t="s">
        <v>171</v>
      </c>
      <c r="F1035" s="71">
        <v>51</v>
      </c>
      <c r="G1035" s="71">
        <v>3</v>
      </c>
      <c r="H1035" s="72" t="s">
        <v>4315</v>
      </c>
      <c r="I1035" s="71" t="b">
        <v>0</v>
      </c>
      <c r="J1035" s="71">
        <v>59</v>
      </c>
      <c r="K1035" s="71">
        <v>48</v>
      </c>
      <c r="L1035" s="71">
        <v>70</v>
      </c>
      <c r="M1035" s="71">
        <v>4</v>
      </c>
      <c r="N1035" s="71">
        <v>56</v>
      </c>
      <c r="O1035" s="71">
        <v>0</v>
      </c>
      <c r="P1035" s="71">
        <v>15</v>
      </c>
      <c r="Q1035" s="71">
        <v>40</v>
      </c>
      <c r="R1035" s="71">
        <v>126</v>
      </c>
      <c r="S1035" s="71" t="s">
        <v>96</v>
      </c>
      <c r="T1035" s="73" t="s">
        <v>4367</v>
      </c>
      <c r="U1035" s="71" t="s">
        <v>3940</v>
      </c>
      <c r="V1035" s="71" t="b">
        <v>0</v>
      </c>
    </row>
    <row r="1036" spans="1:22" ht="17.25">
      <c r="A1036" s="70">
        <v>748</v>
      </c>
      <c r="B1036" s="70" t="s">
        <v>1694</v>
      </c>
      <c r="C1036" s="70" t="s">
        <v>1692</v>
      </c>
      <c r="D1036" s="70" t="s">
        <v>1693</v>
      </c>
      <c r="E1036" s="70" t="s">
        <v>1692</v>
      </c>
      <c r="F1036" s="71">
        <v>200</v>
      </c>
      <c r="G1036" s="71">
        <v>1</v>
      </c>
      <c r="H1036" s="72" t="s">
        <v>4315</v>
      </c>
      <c r="I1036" s="71" t="b">
        <v>0</v>
      </c>
      <c r="J1036" s="71">
        <v>62</v>
      </c>
      <c r="K1036" s="71">
        <v>52</v>
      </c>
      <c r="L1036" s="71">
        <v>70</v>
      </c>
      <c r="M1036" s="71">
        <v>5</v>
      </c>
      <c r="N1036" s="71">
        <v>48</v>
      </c>
      <c r="O1036" s="71">
        <v>0</v>
      </c>
      <c r="P1036" s="71">
        <v>13</v>
      </c>
      <c r="Q1036" s="71">
        <v>44</v>
      </c>
      <c r="R1036" s="71">
        <v>118</v>
      </c>
      <c r="S1036" s="71" t="s">
        <v>74</v>
      </c>
      <c r="T1036" s="73" t="s">
        <v>4349</v>
      </c>
      <c r="U1036" s="71" t="s">
        <v>3941</v>
      </c>
      <c r="V1036" s="71" t="b">
        <v>0</v>
      </c>
    </row>
    <row r="1037" spans="1:22" ht="17.25">
      <c r="A1037" s="70">
        <v>749</v>
      </c>
      <c r="B1037" s="70" t="s">
        <v>1691</v>
      </c>
      <c r="C1037" s="70" t="s">
        <v>4496</v>
      </c>
      <c r="D1037" s="70" t="s">
        <v>1690</v>
      </c>
      <c r="E1037" s="70" t="s">
        <v>1689</v>
      </c>
      <c r="F1037" s="71">
        <v>139</v>
      </c>
      <c r="G1037" s="71">
        <v>5</v>
      </c>
      <c r="H1037" s="72" t="s">
        <v>4320</v>
      </c>
      <c r="I1037" s="71" t="b">
        <v>0</v>
      </c>
      <c r="J1037" s="71">
        <v>78</v>
      </c>
      <c r="K1037" s="71">
        <v>76</v>
      </c>
      <c r="L1037" s="71">
        <v>74</v>
      </c>
      <c r="M1037" s="71">
        <v>6</v>
      </c>
      <c r="N1037" s="71">
        <v>21</v>
      </c>
      <c r="O1037" s="71">
        <v>0</v>
      </c>
      <c r="P1037" s="71">
        <v>17</v>
      </c>
      <c r="Q1037" s="71">
        <v>82</v>
      </c>
      <c r="R1037" s="71">
        <v>142</v>
      </c>
      <c r="S1037" s="71" t="s">
        <v>359</v>
      </c>
      <c r="T1037" s="73" t="s">
        <v>4344</v>
      </c>
      <c r="U1037" s="71" t="s">
        <v>3942</v>
      </c>
      <c r="V1037" s="71" t="b">
        <v>0</v>
      </c>
    </row>
    <row r="1038" spans="1:22" ht="17.25">
      <c r="A1038" s="70">
        <v>749</v>
      </c>
      <c r="B1038" s="70" t="s">
        <v>1691</v>
      </c>
      <c r="C1038" s="70" t="s">
        <v>4743</v>
      </c>
      <c r="D1038" s="70" t="s">
        <v>1690</v>
      </c>
      <c r="E1038" s="70" t="s">
        <v>1689</v>
      </c>
      <c r="F1038" s="71">
        <v>139</v>
      </c>
      <c r="G1038" s="71">
        <v>5</v>
      </c>
      <c r="H1038" s="72" t="s">
        <v>4320</v>
      </c>
      <c r="I1038" s="71" t="b">
        <v>0</v>
      </c>
      <c r="J1038" s="71">
        <v>78</v>
      </c>
      <c r="K1038" s="71">
        <v>76</v>
      </c>
      <c r="L1038" s="71">
        <v>74</v>
      </c>
      <c r="M1038" s="71">
        <v>6</v>
      </c>
      <c r="N1038" s="71">
        <v>21</v>
      </c>
      <c r="O1038" s="71">
        <v>0</v>
      </c>
      <c r="P1038" s="71">
        <v>17</v>
      </c>
      <c r="Q1038" s="71">
        <v>82</v>
      </c>
      <c r="R1038" s="71">
        <v>142</v>
      </c>
      <c r="S1038" s="71" t="s">
        <v>359</v>
      </c>
      <c r="T1038" s="73" t="s">
        <v>4344</v>
      </c>
      <c r="U1038" s="71" t="s">
        <v>3942</v>
      </c>
      <c r="V1038" s="71" t="b">
        <v>0</v>
      </c>
    </row>
    <row r="1039" spans="1:22" ht="17.25">
      <c r="A1039" s="70">
        <v>750</v>
      </c>
      <c r="B1039" s="70" t="s">
        <v>1688</v>
      </c>
      <c r="C1039" s="70" t="s">
        <v>1613</v>
      </c>
      <c r="D1039" s="70" t="s">
        <v>1687</v>
      </c>
      <c r="E1039" s="70" t="s">
        <v>327</v>
      </c>
      <c r="F1039" s="71">
        <v>170</v>
      </c>
      <c r="G1039" s="71">
        <v>1</v>
      </c>
      <c r="H1039" s="72" t="s">
        <v>4320</v>
      </c>
      <c r="I1039" s="71" t="b">
        <v>1</v>
      </c>
      <c r="J1039" s="71">
        <v>74</v>
      </c>
      <c r="K1039" s="71">
        <v>68</v>
      </c>
      <c r="L1039" s="71">
        <v>73</v>
      </c>
      <c r="M1039" s="71">
        <v>14</v>
      </c>
      <c r="N1039" s="71">
        <v>18</v>
      </c>
      <c r="O1039" s="71">
        <v>0</v>
      </c>
      <c r="P1039" s="71">
        <v>16</v>
      </c>
      <c r="Q1039" s="71">
        <v>55</v>
      </c>
      <c r="R1039" s="71">
        <v>122</v>
      </c>
      <c r="S1039" s="71" t="s">
        <v>48</v>
      </c>
      <c r="T1039" s="73" t="s">
        <v>4337</v>
      </c>
      <c r="U1039" s="71" t="s">
        <v>3943</v>
      </c>
      <c r="V1039" s="71" t="b">
        <v>0</v>
      </c>
    </row>
    <row r="1040" spans="1:22" ht="17.25">
      <c r="A1040" s="70">
        <v>750</v>
      </c>
      <c r="B1040" s="70" t="s">
        <v>1688</v>
      </c>
      <c r="C1040" s="70" t="s">
        <v>4678</v>
      </c>
      <c r="D1040" s="70" t="s">
        <v>1687</v>
      </c>
      <c r="E1040" s="70" t="s">
        <v>327</v>
      </c>
      <c r="F1040" s="71">
        <v>170</v>
      </c>
      <c r="G1040" s="71">
        <v>1</v>
      </c>
      <c r="H1040" s="72" t="s">
        <v>4320</v>
      </c>
      <c r="I1040" s="71" t="b">
        <v>1</v>
      </c>
      <c r="J1040" s="71">
        <v>74</v>
      </c>
      <c r="K1040" s="71">
        <v>68</v>
      </c>
      <c r="L1040" s="71">
        <v>73</v>
      </c>
      <c r="M1040" s="71">
        <v>14</v>
      </c>
      <c r="N1040" s="71">
        <v>18</v>
      </c>
      <c r="O1040" s="71">
        <v>0</v>
      </c>
      <c r="P1040" s="71">
        <v>16</v>
      </c>
      <c r="Q1040" s="71">
        <v>55</v>
      </c>
      <c r="R1040" s="71">
        <v>122</v>
      </c>
      <c r="S1040" s="71" t="s">
        <v>48</v>
      </c>
      <c r="T1040" s="73" t="s">
        <v>4337</v>
      </c>
      <c r="U1040" s="71" t="s">
        <v>3943</v>
      </c>
      <c r="V1040" s="71" t="b">
        <v>0</v>
      </c>
    </row>
    <row r="1041" spans="1:22" ht="17.25">
      <c r="A1041" s="70">
        <v>752</v>
      </c>
      <c r="B1041" s="70" t="s">
        <v>1685</v>
      </c>
      <c r="C1041" s="70" t="s">
        <v>32</v>
      </c>
      <c r="D1041" s="70" t="s">
        <v>1684</v>
      </c>
      <c r="E1041" s="70" t="s">
        <v>30</v>
      </c>
      <c r="F1041" s="71">
        <v>2</v>
      </c>
      <c r="G1041" s="71">
        <v>20</v>
      </c>
      <c r="H1041" s="72" t="s">
        <v>4315</v>
      </c>
      <c r="I1041" s="71" t="b">
        <v>0</v>
      </c>
      <c r="J1041" s="71">
        <v>58</v>
      </c>
      <c r="K1041" s="71">
        <v>44</v>
      </c>
      <c r="L1041" s="71">
        <v>69</v>
      </c>
      <c r="M1041" s="71">
        <v>4</v>
      </c>
      <c r="N1041" s="71">
        <v>68</v>
      </c>
      <c r="O1041" s="71">
        <v>0</v>
      </c>
      <c r="P1041" s="71">
        <v>11</v>
      </c>
      <c r="Q1041" s="71">
        <v>35</v>
      </c>
      <c r="R1041" s="71">
        <v>92</v>
      </c>
      <c r="S1041" s="71" t="s">
        <v>96</v>
      </c>
      <c r="T1041" s="73" t="s">
        <v>4372</v>
      </c>
      <c r="U1041" s="71" t="s">
        <v>3507</v>
      </c>
      <c r="V1041" s="71" t="b">
        <v>0</v>
      </c>
    </row>
    <row r="1042" spans="1:22" ht="17.25">
      <c r="A1042" s="70">
        <v>753</v>
      </c>
      <c r="B1042" s="70" t="s">
        <v>1683</v>
      </c>
      <c r="C1042" s="70" t="s">
        <v>67</v>
      </c>
      <c r="D1042" s="70" t="s">
        <v>1682</v>
      </c>
      <c r="E1042" s="70" t="s">
        <v>1681</v>
      </c>
      <c r="F1042" s="71">
        <v>5</v>
      </c>
      <c r="G1042" s="71">
        <v>84</v>
      </c>
      <c r="H1042" s="72">
        <v>0.13333333333333333</v>
      </c>
      <c r="I1042" s="71" t="b">
        <v>1</v>
      </c>
      <c r="J1042" s="71">
        <v>57</v>
      </c>
      <c r="K1042" s="71">
        <v>88</v>
      </c>
      <c r="L1042" s="71">
        <v>95</v>
      </c>
      <c r="M1042" s="71">
        <v>6</v>
      </c>
      <c r="N1042" s="71">
        <v>3</v>
      </c>
      <c r="O1042" s="71">
        <v>0</v>
      </c>
      <c r="P1042" s="71">
        <v>14</v>
      </c>
      <c r="Q1042" s="71">
        <v>20</v>
      </c>
      <c r="R1042" s="71">
        <v>148</v>
      </c>
      <c r="S1042" s="71" t="s">
        <v>48</v>
      </c>
      <c r="T1042" s="73">
        <v>45135</v>
      </c>
      <c r="U1042" s="71" t="s">
        <v>3944</v>
      </c>
      <c r="V1042" s="71" t="b">
        <v>0</v>
      </c>
    </row>
    <row r="1043" spans="1:22" ht="17.25">
      <c r="A1043" s="70">
        <v>753</v>
      </c>
      <c r="B1043" s="70" t="s">
        <v>1683</v>
      </c>
      <c r="C1043" s="70" t="s">
        <v>51</v>
      </c>
      <c r="D1043" s="70" t="s">
        <v>1682</v>
      </c>
      <c r="E1043" s="70" t="s">
        <v>1681</v>
      </c>
      <c r="F1043" s="71">
        <v>5</v>
      </c>
      <c r="G1043" s="71">
        <v>84</v>
      </c>
      <c r="H1043" s="72">
        <v>0.13333333333333333</v>
      </c>
      <c r="I1043" s="71" t="b">
        <v>1</v>
      </c>
      <c r="J1043" s="71">
        <v>57</v>
      </c>
      <c r="K1043" s="71">
        <v>88</v>
      </c>
      <c r="L1043" s="71">
        <v>95</v>
      </c>
      <c r="M1043" s="71">
        <v>6</v>
      </c>
      <c r="N1043" s="71">
        <v>3</v>
      </c>
      <c r="O1043" s="71">
        <v>0</v>
      </c>
      <c r="P1043" s="71">
        <v>14</v>
      </c>
      <c r="Q1043" s="71">
        <v>20</v>
      </c>
      <c r="R1043" s="71">
        <v>148</v>
      </c>
      <c r="S1043" s="71" t="s">
        <v>48</v>
      </c>
      <c r="T1043" s="73">
        <v>45135</v>
      </c>
      <c r="U1043" s="71" t="s">
        <v>3944</v>
      </c>
      <c r="V1043" s="71" t="b">
        <v>0</v>
      </c>
    </row>
    <row r="1044" spans="1:22" ht="17.25">
      <c r="A1044" s="70">
        <v>754</v>
      </c>
      <c r="B1044" s="70" t="s">
        <v>1680</v>
      </c>
      <c r="C1044" s="70" t="s">
        <v>1679</v>
      </c>
      <c r="D1044" s="70" t="s">
        <v>1678</v>
      </c>
      <c r="E1044" s="70" t="s">
        <v>1677</v>
      </c>
      <c r="F1044" s="71">
        <v>136</v>
      </c>
      <c r="G1044" s="71">
        <v>2</v>
      </c>
      <c r="H1044" s="72">
        <v>0.14930555555555555</v>
      </c>
      <c r="I1044" s="71" t="b">
        <v>0</v>
      </c>
      <c r="J1044" s="71">
        <v>58</v>
      </c>
      <c r="K1044" s="71">
        <v>89</v>
      </c>
      <c r="L1044" s="71">
        <v>84</v>
      </c>
      <c r="M1044" s="71">
        <v>3</v>
      </c>
      <c r="N1044" s="71">
        <v>19</v>
      </c>
      <c r="O1044" s="71">
        <v>0</v>
      </c>
      <c r="P1044" s="71">
        <v>9</v>
      </c>
      <c r="Q1044" s="71">
        <v>71</v>
      </c>
      <c r="R1044" s="71">
        <v>93</v>
      </c>
      <c r="S1044" s="71" t="s">
        <v>79</v>
      </c>
      <c r="T1044" s="73">
        <v>35850</v>
      </c>
      <c r="U1044" s="71" t="s">
        <v>3945</v>
      </c>
      <c r="V1044" s="71" t="b">
        <v>0</v>
      </c>
    </row>
    <row r="1045" spans="1:22" ht="17.25">
      <c r="A1045" s="70">
        <v>755</v>
      </c>
      <c r="B1045" s="70" t="s">
        <v>1676</v>
      </c>
      <c r="C1045" s="70" t="s">
        <v>1675</v>
      </c>
      <c r="D1045" s="70" t="s">
        <v>1674</v>
      </c>
      <c r="E1045" s="70" t="s">
        <v>1673</v>
      </c>
      <c r="F1045" s="71">
        <v>26</v>
      </c>
      <c r="G1045" s="71">
        <v>33</v>
      </c>
      <c r="H1045" s="72">
        <v>0.11666666666666667</v>
      </c>
      <c r="I1045" s="71" t="b">
        <v>1</v>
      </c>
      <c r="J1045" s="71">
        <v>76</v>
      </c>
      <c r="K1045" s="71">
        <v>52</v>
      </c>
      <c r="L1045" s="71">
        <v>88</v>
      </c>
      <c r="M1045" s="71">
        <v>6</v>
      </c>
      <c r="N1045" s="71">
        <v>22</v>
      </c>
      <c r="O1045" s="71">
        <v>0</v>
      </c>
      <c r="P1045" s="71">
        <v>8</v>
      </c>
      <c r="Q1045" s="71">
        <v>80</v>
      </c>
      <c r="R1045" s="71">
        <v>100</v>
      </c>
      <c r="S1045" s="71" t="s">
        <v>128</v>
      </c>
      <c r="T1045" s="73">
        <v>45336</v>
      </c>
      <c r="U1045" s="71" t="s">
        <v>3946</v>
      </c>
      <c r="V1045" s="71" t="b">
        <v>0</v>
      </c>
    </row>
    <row r="1046" spans="1:22" ht="17.25">
      <c r="A1046" s="70">
        <v>756</v>
      </c>
      <c r="B1046" s="70" t="s">
        <v>1672</v>
      </c>
      <c r="C1046" s="70" t="s">
        <v>2055</v>
      </c>
      <c r="D1046" s="70" t="s">
        <v>1671</v>
      </c>
      <c r="E1046" s="70" t="s">
        <v>188</v>
      </c>
      <c r="F1046" s="71">
        <v>103</v>
      </c>
      <c r="G1046" s="71">
        <v>11</v>
      </c>
      <c r="H1046" s="72">
        <v>0.12847222222222221</v>
      </c>
      <c r="I1046" s="71" t="b">
        <v>0</v>
      </c>
      <c r="J1046" s="71">
        <v>76</v>
      </c>
      <c r="K1046" s="71">
        <v>60</v>
      </c>
      <c r="L1046" s="71">
        <v>87</v>
      </c>
      <c r="M1046" s="71">
        <v>3</v>
      </c>
      <c r="N1046" s="71">
        <v>6</v>
      </c>
      <c r="O1046" s="71">
        <v>0</v>
      </c>
      <c r="P1046" s="71">
        <v>24</v>
      </c>
      <c r="Q1046" s="71">
        <v>75</v>
      </c>
      <c r="R1046" s="71">
        <v>133</v>
      </c>
      <c r="S1046" s="71" t="s">
        <v>61</v>
      </c>
      <c r="T1046" s="73">
        <v>45765</v>
      </c>
      <c r="U1046" s="71" t="s">
        <v>3947</v>
      </c>
      <c r="V1046" s="71" t="b">
        <v>0</v>
      </c>
    </row>
    <row r="1047" spans="1:22" ht="17.25">
      <c r="A1047" s="70">
        <v>756</v>
      </c>
      <c r="B1047" s="70" t="s">
        <v>1672</v>
      </c>
      <c r="C1047" s="70" t="s">
        <v>4744</v>
      </c>
      <c r="D1047" s="70" t="s">
        <v>1671</v>
      </c>
      <c r="E1047" s="70" t="s">
        <v>188</v>
      </c>
      <c r="F1047" s="71">
        <v>103</v>
      </c>
      <c r="G1047" s="71">
        <v>11</v>
      </c>
      <c r="H1047" s="72">
        <v>0.12847222222222221</v>
      </c>
      <c r="I1047" s="71" t="b">
        <v>0</v>
      </c>
      <c r="J1047" s="71">
        <v>76</v>
      </c>
      <c r="K1047" s="71">
        <v>60</v>
      </c>
      <c r="L1047" s="71">
        <v>87</v>
      </c>
      <c r="M1047" s="71">
        <v>3</v>
      </c>
      <c r="N1047" s="71">
        <v>6</v>
      </c>
      <c r="O1047" s="71">
        <v>0</v>
      </c>
      <c r="P1047" s="71">
        <v>24</v>
      </c>
      <c r="Q1047" s="71">
        <v>75</v>
      </c>
      <c r="R1047" s="71">
        <v>133</v>
      </c>
      <c r="S1047" s="71" t="s">
        <v>61</v>
      </c>
      <c r="T1047" s="73">
        <v>45765</v>
      </c>
      <c r="U1047" s="71" t="s">
        <v>3947</v>
      </c>
      <c r="V1047" s="71" t="b">
        <v>0</v>
      </c>
    </row>
    <row r="1048" spans="1:22" ht="17.25">
      <c r="A1048" s="70">
        <v>757</v>
      </c>
      <c r="B1048" s="70" t="s">
        <v>1670</v>
      </c>
      <c r="C1048" s="70" t="s">
        <v>1115</v>
      </c>
      <c r="D1048" s="70" t="s">
        <v>1669</v>
      </c>
      <c r="E1048" s="70" t="s">
        <v>1113</v>
      </c>
      <c r="F1048" s="71">
        <v>93</v>
      </c>
      <c r="G1048" s="71">
        <v>1</v>
      </c>
      <c r="H1048" s="72" t="s">
        <v>4317</v>
      </c>
      <c r="I1048" s="71" t="b">
        <v>0</v>
      </c>
      <c r="J1048" s="71">
        <v>79</v>
      </c>
      <c r="K1048" s="71">
        <v>81</v>
      </c>
      <c r="L1048" s="71">
        <v>77</v>
      </c>
      <c r="M1048" s="71">
        <v>9</v>
      </c>
      <c r="N1048" s="71">
        <v>12</v>
      </c>
      <c r="O1048" s="71">
        <v>0</v>
      </c>
      <c r="P1048" s="71">
        <v>17</v>
      </c>
      <c r="Q1048" s="71">
        <v>65</v>
      </c>
      <c r="R1048" s="71">
        <v>130</v>
      </c>
      <c r="S1048" s="71" t="s">
        <v>115</v>
      </c>
      <c r="T1048" s="73" t="s">
        <v>4341</v>
      </c>
      <c r="U1048" s="71" t="s">
        <v>3861</v>
      </c>
      <c r="V1048" s="71" t="b">
        <v>0</v>
      </c>
    </row>
    <row r="1049" spans="1:22" ht="17.25">
      <c r="A1049" s="70">
        <v>758</v>
      </c>
      <c r="B1049" s="70" t="s">
        <v>1668</v>
      </c>
      <c r="C1049" s="70" t="s">
        <v>615</v>
      </c>
      <c r="D1049" s="70" t="s">
        <v>1667</v>
      </c>
      <c r="E1049" s="70" t="s">
        <v>615</v>
      </c>
      <c r="F1049" s="71">
        <v>97</v>
      </c>
      <c r="G1049" s="71">
        <v>38</v>
      </c>
      <c r="H1049" s="72">
        <v>0.11666666666666667</v>
      </c>
      <c r="I1049" s="71" t="b">
        <v>0</v>
      </c>
      <c r="J1049" s="71">
        <v>55</v>
      </c>
      <c r="K1049" s="71">
        <v>34</v>
      </c>
      <c r="L1049" s="71">
        <v>83</v>
      </c>
      <c r="M1049" s="71">
        <v>8</v>
      </c>
      <c r="N1049" s="71">
        <v>89</v>
      </c>
      <c r="O1049" s="71">
        <v>0</v>
      </c>
      <c r="P1049" s="71">
        <v>11</v>
      </c>
      <c r="Q1049" s="71">
        <v>83</v>
      </c>
      <c r="R1049" s="71">
        <v>81</v>
      </c>
      <c r="S1049" s="71" t="s">
        <v>1666</v>
      </c>
      <c r="T1049" s="73">
        <v>45107</v>
      </c>
      <c r="U1049" s="71" t="s">
        <v>3948</v>
      </c>
      <c r="V1049" s="71" t="b">
        <v>0</v>
      </c>
    </row>
    <row r="1050" spans="1:22" ht="17.25">
      <c r="A1050" s="70">
        <v>761</v>
      </c>
      <c r="B1050" s="70" t="s">
        <v>1664</v>
      </c>
      <c r="C1050" s="70" t="s">
        <v>1663</v>
      </c>
      <c r="D1050" s="70" t="s">
        <v>1662</v>
      </c>
      <c r="E1050" s="70" t="s">
        <v>1661</v>
      </c>
      <c r="F1050" s="71">
        <v>103</v>
      </c>
      <c r="G1050" s="71">
        <v>13</v>
      </c>
      <c r="H1050" s="72">
        <v>0.12847222222222221</v>
      </c>
      <c r="I1050" s="71" t="b">
        <v>1</v>
      </c>
      <c r="J1050" s="71">
        <v>80</v>
      </c>
      <c r="K1050" s="71">
        <v>75</v>
      </c>
      <c r="L1050" s="71">
        <v>80</v>
      </c>
      <c r="M1050" s="71">
        <v>10</v>
      </c>
      <c r="N1050" s="71">
        <v>12</v>
      </c>
      <c r="O1050" s="71">
        <v>0</v>
      </c>
      <c r="P1050" s="71">
        <v>12</v>
      </c>
      <c r="Q1050" s="71">
        <v>60</v>
      </c>
      <c r="R1050" s="71">
        <v>108</v>
      </c>
      <c r="S1050" s="71" t="s">
        <v>61</v>
      </c>
      <c r="T1050" s="73">
        <v>45793</v>
      </c>
      <c r="U1050" s="71" t="s">
        <v>3949</v>
      </c>
      <c r="V1050" s="71" t="b">
        <v>0</v>
      </c>
    </row>
    <row r="1051" spans="1:22" ht="17.25">
      <c r="A1051" s="70">
        <v>762</v>
      </c>
      <c r="B1051" s="70" t="s">
        <v>1660</v>
      </c>
      <c r="C1051" s="70" t="s">
        <v>4745</v>
      </c>
      <c r="D1051" s="70" t="s">
        <v>1659</v>
      </c>
      <c r="E1051" s="70" t="s">
        <v>44</v>
      </c>
      <c r="F1051" s="71">
        <v>127</v>
      </c>
      <c r="G1051" s="71">
        <v>1</v>
      </c>
      <c r="H1051" s="72" t="s">
        <v>4320</v>
      </c>
      <c r="I1051" s="71" t="b">
        <v>1</v>
      </c>
      <c r="J1051" s="71">
        <v>70</v>
      </c>
      <c r="K1051" s="71">
        <v>52</v>
      </c>
      <c r="L1051" s="71">
        <v>71</v>
      </c>
      <c r="M1051" s="71">
        <v>14</v>
      </c>
      <c r="N1051" s="71">
        <v>45</v>
      </c>
      <c r="O1051" s="71">
        <v>0</v>
      </c>
      <c r="P1051" s="71">
        <v>11</v>
      </c>
      <c r="Q1051" s="71">
        <v>51</v>
      </c>
      <c r="R1051" s="71">
        <v>100</v>
      </c>
      <c r="S1051" s="71" t="s">
        <v>48</v>
      </c>
      <c r="T1051" s="73" t="s">
        <v>4381</v>
      </c>
      <c r="U1051" s="71" t="s">
        <v>3594</v>
      </c>
      <c r="V1051" s="71" t="b">
        <v>0</v>
      </c>
    </row>
    <row r="1052" spans="1:22" ht="17.25">
      <c r="A1052" s="70">
        <v>762</v>
      </c>
      <c r="B1052" s="70" t="s">
        <v>1660</v>
      </c>
      <c r="C1052" s="70" t="s">
        <v>4906</v>
      </c>
      <c r="D1052" s="70" t="s">
        <v>1659</v>
      </c>
      <c r="E1052" s="70" t="s">
        <v>44</v>
      </c>
      <c r="F1052" s="71">
        <v>127</v>
      </c>
      <c r="G1052" s="71">
        <v>1</v>
      </c>
      <c r="H1052" s="72" t="s">
        <v>4320</v>
      </c>
      <c r="I1052" s="71" t="b">
        <v>1</v>
      </c>
      <c r="J1052" s="71">
        <v>70</v>
      </c>
      <c r="K1052" s="71">
        <v>52</v>
      </c>
      <c r="L1052" s="71">
        <v>71</v>
      </c>
      <c r="M1052" s="71">
        <v>14</v>
      </c>
      <c r="N1052" s="71">
        <v>45</v>
      </c>
      <c r="O1052" s="71">
        <v>0</v>
      </c>
      <c r="P1052" s="71">
        <v>11</v>
      </c>
      <c r="Q1052" s="71">
        <v>51</v>
      </c>
      <c r="R1052" s="71">
        <v>100</v>
      </c>
      <c r="S1052" s="71" t="s">
        <v>48</v>
      </c>
      <c r="T1052" s="73" t="s">
        <v>4381</v>
      </c>
      <c r="U1052" s="71" t="s">
        <v>3594</v>
      </c>
      <c r="V1052" s="71" t="b">
        <v>0</v>
      </c>
    </row>
    <row r="1053" spans="1:22" ht="17.25">
      <c r="A1053" s="70">
        <v>763</v>
      </c>
      <c r="B1053" s="70" t="s">
        <v>1658</v>
      </c>
      <c r="C1053" s="70" t="s">
        <v>1657</v>
      </c>
      <c r="D1053" s="70" t="s">
        <v>1656</v>
      </c>
      <c r="E1053" s="70" t="s">
        <v>44</v>
      </c>
      <c r="F1053" s="71">
        <v>1</v>
      </c>
      <c r="G1053" s="71">
        <v>114</v>
      </c>
      <c r="H1053" s="72">
        <v>0.15555555555555556</v>
      </c>
      <c r="I1053" s="71" t="b">
        <v>0</v>
      </c>
      <c r="J1053" s="71">
        <v>60</v>
      </c>
      <c r="K1053" s="71">
        <v>37</v>
      </c>
      <c r="L1053" s="71">
        <v>87</v>
      </c>
      <c r="M1053" s="71">
        <v>3</v>
      </c>
      <c r="N1053" s="71">
        <v>58</v>
      </c>
      <c r="O1053" s="71">
        <v>0</v>
      </c>
      <c r="P1053" s="71">
        <v>13</v>
      </c>
      <c r="Q1053" s="71">
        <v>13</v>
      </c>
      <c r="R1053" s="71">
        <v>142</v>
      </c>
      <c r="S1053" s="71" t="s">
        <v>96</v>
      </c>
      <c r="T1053" s="73">
        <v>44484</v>
      </c>
      <c r="U1053" s="71" t="s">
        <v>3950</v>
      </c>
      <c r="V1053" s="71" t="b">
        <v>0</v>
      </c>
    </row>
    <row r="1054" spans="1:22" ht="17.25">
      <c r="A1054" s="70">
        <v>764</v>
      </c>
      <c r="B1054" s="70" t="s">
        <v>1655</v>
      </c>
      <c r="C1054" s="70" t="s">
        <v>131</v>
      </c>
      <c r="D1054" s="70" t="s">
        <v>1654</v>
      </c>
      <c r="E1054" s="70" t="s">
        <v>1653</v>
      </c>
      <c r="F1054" s="71">
        <v>12</v>
      </c>
      <c r="G1054" s="71">
        <v>19</v>
      </c>
      <c r="H1054" s="72">
        <v>0.13750000000000001</v>
      </c>
      <c r="I1054" s="71" t="b">
        <v>1</v>
      </c>
      <c r="J1054" s="71">
        <v>78</v>
      </c>
      <c r="K1054" s="71">
        <v>79</v>
      </c>
      <c r="L1054" s="71">
        <v>96</v>
      </c>
      <c r="M1054" s="71">
        <v>3</v>
      </c>
      <c r="N1054" s="71">
        <v>1</v>
      </c>
      <c r="O1054" s="71">
        <v>0</v>
      </c>
      <c r="P1054" s="71">
        <v>11</v>
      </c>
      <c r="Q1054" s="71">
        <v>53</v>
      </c>
      <c r="R1054" s="71">
        <v>122</v>
      </c>
      <c r="S1054" s="71" t="s">
        <v>128</v>
      </c>
      <c r="T1054" s="73">
        <v>45100</v>
      </c>
      <c r="U1054" s="71" t="s">
        <v>3951</v>
      </c>
      <c r="V1054" s="71" t="b">
        <v>0</v>
      </c>
    </row>
    <row r="1055" spans="1:22" ht="17.25">
      <c r="A1055" s="70">
        <v>764</v>
      </c>
      <c r="B1055" s="70" t="s">
        <v>1655</v>
      </c>
      <c r="C1055" s="70" t="s">
        <v>4497</v>
      </c>
      <c r="D1055" s="70" t="s">
        <v>1654</v>
      </c>
      <c r="E1055" s="70" t="s">
        <v>1653</v>
      </c>
      <c r="F1055" s="71">
        <v>12</v>
      </c>
      <c r="G1055" s="71">
        <v>19</v>
      </c>
      <c r="H1055" s="72">
        <v>0.13750000000000001</v>
      </c>
      <c r="I1055" s="71" t="b">
        <v>1</v>
      </c>
      <c r="J1055" s="71">
        <v>78</v>
      </c>
      <c r="K1055" s="71">
        <v>79</v>
      </c>
      <c r="L1055" s="71">
        <v>96</v>
      </c>
      <c r="M1055" s="71">
        <v>3</v>
      </c>
      <c r="N1055" s="71">
        <v>1</v>
      </c>
      <c r="O1055" s="71">
        <v>0</v>
      </c>
      <c r="P1055" s="71">
        <v>11</v>
      </c>
      <c r="Q1055" s="71">
        <v>53</v>
      </c>
      <c r="R1055" s="71">
        <v>122</v>
      </c>
      <c r="S1055" s="71" t="s">
        <v>128</v>
      </c>
      <c r="T1055" s="73">
        <v>45100</v>
      </c>
      <c r="U1055" s="71" t="s">
        <v>3951</v>
      </c>
      <c r="V1055" s="71" t="b">
        <v>0</v>
      </c>
    </row>
    <row r="1056" spans="1:22" ht="17.25">
      <c r="A1056" s="70">
        <v>765</v>
      </c>
      <c r="B1056" s="70" t="s">
        <v>1652</v>
      </c>
      <c r="C1056" s="70" t="s">
        <v>178</v>
      </c>
      <c r="D1056" s="70" t="s">
        <v>1651</v>
      </c>
      <c r="E1056" s="70" t="s">
        <v>84</v>
      </c>
      <c r="F1056" s="71">
        <v>8</v>
      </c>
      <c r="G1056" s="71">
        <v>18</v>
      </c>
      <c r="H1056" s="72">
        <v>0.25277777777777777</v>
      </c>
      <c r="I1056" s="71" t="b">
        <v>0</v>
      </c>
      <c r="J1056" s="71">
        <v>88</v>
      </c>
      <c r="K1056" s="71">
        <v>82</v>
      </c>
      <c r="L1056" s="71">
        <v>84</v>
      </c>
      <c r="M1056" s="71">
        <v>9</v>
      </c>
      <c r="N1056" s="71">
        <v>13</v>
      </c>
      <c r="O1056" s="71">
        <v>5</v>
      </c>
      <c r="P1056" s="71">
        <v>18</v>
      </c>
      <c r="Q1056" s="71">
        <v>95</v>
      </c>
      <c r="R1056" s="71">
        <v>119</v>
      </c>
      <c r="S1056" s="71" t="s">
        <v>96</v>
      </c>
      <c r="T1056" s="73">
        <v>29064</v>
      </c>
      <c r="U1056" s="71" t="s">
        <v>3952</v>
      </c>
      <c r="V1056" s="71" t="b">
        <v>0</v>
      </c>
    </row>
    <row r="1057" spans="1:22" ht="17.25">
      <c r="A1057" s="70">
        <v>766</v>
      </c>
      <c r="B1057" s="70" t="s">
        <v>1650</v>
      </c>
      <c r="C1057" s="70" t="s">
        <v>182</v>
      </c>
      <c r="D1057" s="70" t="s">
        <v>1649</v>
      </c>
      <c r="E1057" s="70" t="s">
        <v>180</v>
      </c>
      <c r="F1057" s="71">
        <v>177</v>
      </c>
      <c r="G1057" s="71">
        <v>1</v>
      </c>
      <c r="H1057" s="72" t="s">
        <v>4320</v>
      </c>
      <c r="I1057" s="71" t="b">
        <v>1</v>
      </c>
      <c r="J1057" s="71">
        <v>82</v>
      </c>
      <c r="K1057" s="71">
        <v>64</v>
      </c>
      <c r="L1057" s="71">
        <v>73</v>
      </c>
      <c r="M1057" s="71">
        <v>15</v>
      </c>
      <c r="N1057" s="71">
        <v>22</v>
      </c>
      <c r="O1057" s="71">
        <v>0</v>
      </c>
      <c r="P1057" s="71">
        <v>13</v>
      </c>
      <c r="Q1057" s="71">
        <v>48</v>
      </c>
      <c r="R1057" s="71">
        <v>138</v>
      </c>
      <c r="S1057" s="71" t="s">
        <v>48</v>
      </c>
      <c r="T1057" s="73" t="s">
        <v>4330</v>
      </c>
      <c r="U1057" s="71" t="s">
        <v>3953</v>
      </c>
      <c r="V1057" s="71" t="b">
        <v>0</v>
      </c>
    </row>
    <row r="1058" spans="1:22" ht="17.25">
      <c r="A1058" s="70">
        <v>766</v>
      </c>
      <c r="B1058" s="70" t="s">
        <v>1650</v>
      </c>
      <c r="C1058" s="70" t="s">
        <v>4746</v>
      </c>
      <c r="D1058" s="70" t="s">
        <v>1649</v>
      </c>
      <c r="E1058" s="70" t="s">
        <v>180</v>
      </c>
      <c r="F1058" s="71">
        <v>177</v>
      </c>
      <c r="G1058" s="71">
        <v>1</v>
      </c>
      <c r="H1058" s="72" t="s">
        <v>4320</v>
      </c>
      <c r="I1058" s="71" t="b">
        <v>1</v>
      </c>
      <c r="J1058" s="71">
        <v>82</v>
      </c>
      <c r="K1058" s="71">
        <v>64</v>
      </c>
      <c r="L1058" s="71">
        <v>73</v>
      </c>
      <c r="M1058" s="71">
        <v>15</v>
      </c>
      <c r="N1058" s="71">
        <v>22</v>
      </c>
      <c r="O1058" s="71">
        <v>0</v>
      </c>
      <c r="P1058" s="71">
        <v>13</v>
      </c>
      <c r="Q1058" s="71">
        <v>48</v>
      </c>
      <c r="R1058" s="71">
        <v>138</v>
      </c>
      <c r="S1058" s="71" t="s">
        <v>48</v>
      </c>
      <c r="T1058" s="73" t="s">
        <v>4330</v>
      </c>
      <c r="U1058" s="71" t="s">
        <v>3953</v>
      </c>
      <c r="V1058" s="71" t="b">
        <v>0</v>
      </c>
    </row>
    <row r="1059" spans="1:22" ht="17.25">
      <c r="A1059" s="70">
        <v>766</v>
      </c>
      <c r="B1059" s="70" t="s">
        <v>1650</v>
      </c>
      <c r="C1059" s="70" t="s">
        <v>4667</v>
      </c>
      <c r="D1059" s="70" t="s">
        <v>1649</v>
      </c>
      <c r="E1059" s="70" t="s">
        <v>180</v>
      </c>
      <c r="F1059" s="71">
        <v>177</v>
      </c>
      <c r="G1059" s="71">
        <v>1</v>
      </c>
      <c r="H1059" s="72" t="s">
        <v>4320</v>
      </c>
      <c r="I1059" s="71" t="b">
        <v>1</v>
      </c>
      <c r="J1059" s="71">
        <v>82</v>
      </c>
      <c r="K1059" s="71">
        <v>64</v>
      </c>
      <c r="L1059" s="71">
        <v>73</v>
      </c>
      <c r="M1059" s="71">
        <v>15</v>
      </c>
      <c r="N1059" s="71">
        <v>22</v>
      </c>
      <c r="O1059" s="71">
        <v>0</v>
      </c>
      <c r="P1059" s="71">
        <v>13</v>
      </c>
      <c r="Q1059" s="71">
        <v>48</v>
      </c>
      <c r="R1059" s="71">
        <v>138</v>
      </c>
      <c r="S1059" s="71" t="s">
        <v>48</v>
      </c>
      <c r="T1059" s="73" t="s">
        <v>4330</v>
      </c>
      <c r="U1059" s="71" t="s">
        <v>3953</v>
      </c>
      <c r="V1059" s="71" t="b">
        <v>0</v>
      </c>
    </row>
    <row r="1060" spans="1:22" ht="17.25">
      <c r="A1060" s="70">
        <v>767</v>
      </c>
      <c r="B1060" s="70" t="s">
        <v>1648</v>
      </c>
      <c r="C1060" s="70" t="s">
        <v>4498</v>
      </c>
      <c r="D1060" s="70" t="s">
        <v>1647</v>
      </c>
      <c r="E1060" s="70" t="s">
        <v>1646</v>
      </c>
      <c r="F1060" s="71">
        <v>160</v>
      </c>
      <c r="G1060" s="71">
        <v>2</v>
      </c>
      <c r="H1060" s="72" t="s">
        <v>4315</v>
      </c>
      <c r="I1060" s="71" t="b">
        <v>1</v>
      </c>
      <c r="J1060" s="71">
        <v>84</v>
      </c>
      <c r="K1060" s="71">
        <v>72</v>
      </c>
      <c r="L1060" s="71">
        <v>74</v>
      </c>
      <c r="M1060" s="71">
        <v>8</v>
      </c>
      <c r="N1060" s="71">
        <v>19</v>
      </c>
      <c r="O1060" s="71">
        <v>0</v>
      </c>
      <c r="P1060" s="71">
        <v>10</v>
      </c>
      <c r="Q1060" s="71">
        <v>81</v>
      </c>
      <c r="R1060" s="71">
        <v>100</v>
      </c>
      <c r="S1060" s="71" t="s">
        <v>128</v>
      </c>
      <c r="T1060" s="73" t="s">
        <v>4388</v>
      </c>
      <c r="U1060" s="71" t="s">
        <v>3954</v>
      </c>
      <c r="V1060" s="71" t="b">
        <v>0</v>
      </c>
    </row>
    <row r="1061" spans="1:22" ht="17.25">
      <c r="A1061" s="70">
        <v>767</v>
      </c>
      <c r="B1061" s="70" t="s">
        <v>1648</v>
      </c>
      <c r="C1061" s="70" t="s">
        <v>4747</v>
      </c>
      <c r="D1061" s="70" t="s">
        <v>1647</v>
      </c>
      <c r="E1061" s="70" t="s">
        <v>1646</v>
      </c>
      <c r="F1061" s="71">
        <v>160</v>
      </c>
      <c r="G1061" s="71">
        <v>2</v>
      </c>
      <c r="H1061" s="72" t="s">
        <v>4315</v>
      </c>
      <c r="I1061" s="71" t="b">
        <v>1</v>
      </c>
      <c r="J1061" s="71">
        <v>84</v>
      </c>
      <c r="K1061" s="71">
        <v>72</v>
      </c>
      <c r="L1061" s="71">
        <v>74</v>
      </c>
      <c r="M1061" s="71">
        <v>8</v>
      </c>
      <c r="N1061" s="71">
        <v>19</v>
      </c>
      <c r="O1061" s="71">
        <v>0</v>
      </c>
      <c r="P1061" s="71">
        <v>10</v>
      </c>
      <c r="Q1061" s="71">
        <v>81</v>
      </c>
      <c r="R1061" s="71">
        <v>100</v>
      </c>
      <c r="S1061" s="71" t="s">
        <v>128</v>
      </c>
      <c r="T1061" s="73" t="s">
        <v>4388</v>
      </c>
      <c r="U1061" s="71" t="s">
        <v>3954</v>
      </c>
      <c r="V1061" s="71" t="b">
        <v>0</v>
      </c>
    </row>
    <row r="1062" spans="1:22" ht="17.25">
      <c r="A1062" s="70">
        <v>767</v>
      </c>
      <c r="B1062" s="70" t="s">
        <v>1648</v>
      </c>
      <c r="C1062" s="70" t="s">
        <v>4748</v>
      </c>
      <c r="D1062" s="70" t="s">
        <v>1647</v>
      </c>
      <c r="E1062" s="70" t="s">
        <v>1646</v>
      </c>
      <c r="F1062" s="71">
        <v>160</v>
      </c>
      <c r="G1062" s="71">
        <v>2</v>
      </c>
      <c r="H1062" s="72" t="s">
        <v>4315</v>
      </c>
      <c r="I1062" s="71" t="b">
        <v>1</v>
      </c>
      <c r="J1062" s="71">
        <v>84</v>
      </c>
      <c r="K1062" s="71">
        <v>72</v>
      </c>
      <c r="L1062" s="71">
        <v>74</v>
      </c>
      <c r="M1062" s="71">
        <v>8</v>
      </c>
      <c r="N1062" s="71">
        <v>19</v>
      </c>
      <c r="O1062" s="71">
        <v>0</v>
      </c>
      <c r="P1062" s="71">
        <v>10</v>
      </c>
      <c r="Q1062" s="71">
        <v>81</v>
      </c>
      <c r="R1062" s="71">
        <v>100</v>
      </c>
      <c r="S1062" s="71" t="s">
        <v>128</v>
      </c>
      <c r="T1062" s="73" t="s">
        <v>4388</v>
      </c>
      <c r="U1062" s="71" t="s">
        <v>3954</v>
      </c>
      <c r="V1062" s="71" t="b">
        <v>0</v>
      </c>
    </row>
    <row r="1063" spans="1:22" ht="17.25">
      <c r="A1063" s="70">
        <v>768</v>
      </c>
      <c r="B1063" s="70" t="s">
        <v>1645</v>
      </c>
      <c r="C1063" s="70" t="s">
        <v>1644</v>
      </c>
      <c r="D1063" s="70" t="s">
        <v>818</v>
      </c>
      <c r="E1063" s="70" t="s">
        <v>231</v>
      </c>
      <c r="F1063" s="71">
        <v>18</v>
      </c>
      <c r="G1063" s="71">
        <v>28</v>
      </c>
      <c r="H1063" s="72">
        <v>0.11666666666666667</v>
      </c>
      <c r="I1063" s="71" t="b">
        <v>0</v>
      </c>
      <c r="J1063" s="71">
        <v>55</v>
      </c>
      <c r="K1063" s="71">
        <v>50</v>
      </c>
      <c r="L1063" s="71">
        <v>73</v>
      </c>
      <c r="M1063" s="71">
        <v>4</v>
      </c>
      <c r="N1063" s="71">
        <v>55</v>
      </c>
      <c r="O1063" s="71">
        <v>0</v>
      </c>
      <c r="P1063" s="71">
        <v>15</v>
      </c>
      <c r="Q1063" s="71">
        <v>75</v>
      </c>
      <c r="R1063" s="71">
        <v>120</v>
      </c>
      <c r="S1063" s="71" t="s">
        <v>29</v>
      </c>
      <c r="T1063" s="73">
        <v>23316</v>
      </c>
      <c r="U1063" s="71" t="s">
        <v>3955</v>
      </c>
      <c r="V1063" s="71" t="b">
        <v>1</v>
      </c>
    </row>
    <row r="1064" spans="1:22" ht="17.25">
      <c r="A1064" s="70">
        <v>769</v>
      </c>
      <c r="B1064" s="70" t="s">
        <v>1643</v>
      </c>
      <c r="C1064" s="70" t="s">
        <v>421</v>
      </c>
      <c r="D1064" s="70" t="s">
        <v>1642</v>
      </c>
      <c r="E1064" s="70" t="s">
        <v>92</v>
      </c>
      <c r="F1064" s="71">
        <v>82</v>
      </c>
      <c r="G1064" s="71">
        <v>5</v>
      </c>
      <c r="H1064" s="72">
        <v>9.3055555555555558E-2</v>
      </c>
      <c r="I1064" s="71" t="b">
        <v>0</v>
      </c>
      <c r="J1064" s="71">
        <v>55</v>
      </c>
      <c r="K1064" s="71">
        <v>50</v>
      </c>
      <c r="L1064" s="71">
        <v>72</v>
      </c>
      <c r="M1064" s="71">
        <v>4</v>
      </c>
      <c r="N1064" s="71">
        <v>55</v>
      </c>
      <c r="O1064" s="71">
        <v>0</v>
      </c>
      <c r="P1064" s="71">
        <v>15</v>
      </c>
      <c r="Q1064" s="71">
        <v>78</v>
      </c>
      <c r="R1064" s="71">
        <v>120</v>
      </c>
      <c r="S1064" s="71" t="s">
        <v>29</v>
      </c>
      <c r="T1064" s="73">
        <v>18203</v>
      </c>
      <c r="U1064" s="71" t="s">
        <v>3956</v>
      </c>
      <c r="V1064" s="71" t="b">
        <v>1</v>
      </c>
    </row>
    <row r="1065" spans="1:22" ht="17.25">
      <c r="A1065" s="70">
        <v>770</v>
      </c>
      <c r="B1065" s="70" t="s">
        <v>1641</v>
      </c>
      <c r="C1065" s="70" t="s">
        <v>1006</v>
      </c>
      <c r="D1065" s="70" t="s">
        <v>1640</v>
      </c>
      <c r="E1065" s="70" t="s">
        <v>718</v>
      </c>
      <c r="F1065" s="71">
        <v>80</v>
      </c>
      <c r="G1065" s="71">
        <v>47</v>
      </c>
      <c r="H1065" s="72">
        <v>0.15347222222222223</v>
      </c>
      <c r="I1065" s="71" t="b">
        <v>0</v>
      </c>
      <c r="J1065" s="71">
        <v>74</v>
      </c>
      <c r="K1065" s="71">
        <v>88</v>
      </c>
      <c r="L1065" s="71">
        <v>95</v>
      </c>
      <c r="M1065" s="71">
        <v>12</v>
      </c>
      <c r="N1065" s="71">
        <v>5</v>
      </c>
      <c r="O1065" s="71">
        <v>0</v>
      </c>
      <c r="P1065" s="71">
        <v>21</v>
      </c>
      <c r="Q1065" s="71">
        <v>46</v>
      </c>
      <c r="R1065" s="71">
        <v>102</v>
      </c>
      <c r="S1065" s="71" t="s">
        <v>948</v>
      </c>
      <c r="T1065" s="73">
        <v>42692</v>
      </c>
      <c r="U1065" s="71" t="s">
        <v>3957</v>
      </c>
      <c r="V1065" s="71" t="b">
        <v>0</v>
      </c>
    </row>
    <row r="1066" spans="1:22" ht="17.25">
      <c r="A1066" s="70">
        <v>770</v>
      </c>
      <c r="B1066" s="70" t="s">
        <v>1641</v>
      </c>
      <c r="C1066" s="70" t="s">
        <v>4499</v>
      </c>
      <c r="D1066" s="70" t="s">
        <v>1640</v>
      </c>
      <c r="E1066" s="70" t="s">
        <v>718</v>
      </c>
      <c r="F1066" s="71">
        <v>80</v>
      </c>
      <c r="G1066" s="71">
        <v>47</v>
      </c>
      <c r="H1066" s="72">
        <v>0.15347222222222223</v>
      </c>
      <c r="I1066" s="71" t="b">
        <v>0</v>
      </c>
      <c r="J1066" s="71">
        <v>74</v>
      </c>
      <c r="K1066" s="71">
        <v>88</v>
      </c>
      <c r="L1066" s="71">
        <v>95</v>
      </c>
      <c r="M1066" s="71">
        <v>12</v>
      </c>
      <c r="N1066" s="71">
        <v>5</v>
      </c>
      <c r="O1066" s="71">
        <v>0</v>
      </c>
      <c r="P1066" s="71">
        <v>21</v>
      </c>
      <c r="Q1066" s="71">
        <v>46</v>
      </c>
      <c r="R1066" s="71">
        <v>102</v>
      </c>
      <c r="S1066" s="71" t="s">
        <v>948</v>
      </c>
      <c r="T1066" s="73">
        <v>42692</v>
      </c>
      <c r="U1066" s="71" t="s">
        <v>3957</v>
      </c>
      <c r="V1066" s="71" t="b">
        <v>0</v>
      </c>
    </row>
    <row r="1067" spans="1:22" ht="17.25">
      <c r="A1067" s="70">
        <v>771</v>
      </c>
      <c r="B1067" s="70" t="s">
        <v>1639</v>
      </c>
      <c r="C1067" s="70" t="s">
        <v>1987</v>
      </c>
      <c r="D1067" s="70" t="s">
        <v>479</v>
      </c>
      <c r="E1067" s="70" t="s">
        <v>62</v>
      </c>
      <c r="F1067" s="71">
        <v>138</v>
      </c>
      <c r="G1067" s="71">
        <v>1</v>
      </c>
      <c r="H1067" s="72">
        <v>0.11666666666666667</v>
      </c>
      <c r="I1067" s="71" t="b">
        <v>1</v>
      </c>
      <c r="J1067" s="71">
        <v>78</v>
      </c>
      <c r="K1067" s="71">
        <v>74</v>
      </c>
      <c r="L1067" s="71">
        <v>80</v>
      </c>
      <c r="M1067" s="71">
        <v>10</v>
      </c>
      <c r="N1067" s="71">
        <v>15</v>
      </c>
      <c r="O1067" s="71">
        <v>0</v>
      </c>
      <c r="P1067" s="71">
        <v>12</v>
      </c>
      <c r="Q1067" s="71">
        <v>58</v>
      </c>
      <c r="R1067" s="71">
        <v>108</v>
      </c>
      <c r="S1067" s="71" t="s">
        <v>61</v>
      </c>
      <c r="T1067" s="73">
        <v>45765</v>
      </c>
      <c r="U1067" s="71" t="s">
        <v>3958</v>
      </c>
      <c r="V1067" s="71" t="b">
        <v>0</v>
      </c>
    </row>
    <row r="1068" spans="1:22" ht="17.25">
      <c r="A1068" s="70">
        <v>771</v>
      </c>
      <c r="B1068" s="70" t="s">
        <v>1639</v>
      </c>
      <c r="C1068" s="70" t="s">
        <v>141</v>
      </c>
      <c r="D1068" s="70" t="s">
        <v>479</v>
      </c>
      <c r="E1068" s="70" t="s">
        <v>62</v>
      </c>
      <c r="F1068" s="71">
        <v>138</v>
      </c>
      <c r="G1068" s="71">
        <v>1</v>
      </c>
      <c r="H1068" s="72">
        <v>0.11666666666666667</v>
      </c>
      <c r="I1068" s="71" t="b">
        <v>1</v>
      </c>
      <c r="J1068" s="71">
        <v>78</v>
      </c>
      <c r="K1068" s="71">
        <v>74</v>
      </c>
      <c r="L1068" s="71">
        <v>80</v>
      </c>
      <c r="M1068" s="71">
        <v>10</v>
      </c>
      <c r="N1068" s="71">
        <v>15</v>
      </c>
      <c r="O1068" s="71">
        <v>0</v>
      </c>
      <c r="P1068" s="71">
        <v>12</v>
      </c>
      <c r="Q1068" s="71">
        <v>58</v>
      </c>
      <c r="R1068" s="71">
        <v>108</v>
      </c>
      <c r="S1068" s="71" t="s">
        <v>61</v>
      </c>
      <c r="T1068" s="73">
        <v>45765</v>
      </c>
      <c r="U1068" s="71" t="s">
        <v>3958</v>
      </c>
      <c r="V1068" s="71" t="b">
        <v>0</v>
      </c>
    </row>
    <row r="1069" spans="1:22" ht="17.25">
      <c r="A1069" s="70">
        <v>772</v>
      </c>
      <c r="B1069" s="70" t="s">
        <v>1638</v>
      </c>
      <c r="C1069" s="70" t="s">
        <v>318</v>
      </c>
      <c r="D1069" s="70" t="s">
        <v>1637</v>
      </c>
      <c r="E1069" s="70" t="s">
        <v>316</v>
      </c>
      <c r="F1069" s="71">
        <v>1</v>
      </c>
      <c r="G1069" s="71">
        <v>16</v>
      </c>
      <c r="H1069" s="72" t="s">
        <v>4317</v>
      </c>
      <c r="I1069" s="71" t="b">
        <v>0</v>
      </c>
      <c r="J1069" s="71">
        <v>74</v>
      </c>
      <c r="K1069" s="71">
        <v>63</v>
      </c>
      <c r="L1069" s="71">
        <v>73</v>
      </c>
      <c r="M1069" s="71">
        <v>7</v>
      </c>
      <c r="N1069" s="71">
        <v>25</v>
      </c>
      <c r="O1069" s="71">
        <v>0</v>
      </c>
      <c r="P1069" s="71">
        <v>11</v>
      </c>
      <c r="Q1069" s="71">
        <v>61</v>
      </c>
      <c r="R1069" s="71">
        <v>128</v>
      </c>
      <c r="S1069" s="71" t="s">
        <v>96</v>
      </c>
      <c r="T1069" s="73" t="s">
        <v>4327</v>
      </c>
      <c r="U1069" s="71" t="s">
        <v>3905</v>
      </c>
      <c r="V1069" s="71" t="b">
        <v>0</v>
      </c>
    </row>
    <row r="1070" spans="1:22" ht="17.25">
      <c r="A1070" s="70">
        <v>773</v>
      </c>
      <c r="B1070" s="70" t="s">
        <v>1636</v>
      </c>
      <c r="C1070" s="70" t="s">
        <v>4749</v>
      </c>
      <c r="D1070" s="70" t="s">
        <v>1635</v>
      </c>
      <c r="E1070" s="70" t="s">
        <v>1634</v>
      </c>
      <c r="F1070" s="71">
        <v>98</v>
      </c>
      <c r="G1070" s="71">
        <v>8</v>
      </c>
      <c r="H1070" s="72" t="s">
        <v>4352</v>
      </c>
      <c r="I1070" s="71" t="b">
        <v>1</v>
      </c>
      <c r="J1070" s="71">
        <v>70</v>
      </c>
      <c r="K1070" s="71">
        <v>48</v>
      </c>
      <c r="L1070" s="71">
        <v>69</v>
      </c>
      <c r="M1070" s="71">
        <v>10</v>
      </c>
      <c r="N1070" s="71">
        <v>38</v>
      </c>
      <c r="O1070" s="71">
        <v>0</v>
      </c>
      <c r="P1070" s="71">
        <v>16</v>
      </c>
      <c r="Q1070" s="71">
        <v>55</v>
      </c>
      <c r="R1070" s="71">
        <v>95</v>
      </c>
      <c r="S1070" s="71" t="s">
        <v>88</v>
      </c>
      <c r="T1070" s="73" t="s">
        <v>4354</v>
      </c>
      <c r="U1070" s="71" t="s">
        <v>3959</v>
      </c>
      <c r="V1070" s="71" t="b">
        <v>0</v>
      </c>
    </row>
    <row r="1071" spans="1:22" ht="17.25">
      <c r="A1071" s="70">
        <v>773</v>
      </c>
      <c r="B1071" s="70" t="s">
        <v>1636</v>
      </c>
      <c r="C1071" s="70" t="s">
        <v>4750</v>
      </c>
      <c r="D1071" s="70" t="s">
        <v>1635</v>
      </c>
      <c r="E1071" s="70" t="s">
        <v>1634</v>
      </c>
      <c r="F1071" s="71">
        <v>98</v>
      </c>
      <c r="G1071" s="71">
        <v>8</v>
      </c>
      <c r="H1071" s="72" t="s">
        <v>4352</v>
      </c>
      <c r="I1071" s="71" t="b">
        <v>1</v>
      </c>
      <c r="J1071" s="71">
        <v>70</v>
      </c>
      <c r="K1071" s="71">
        <v>48</v>
      </c>
      <c r="L1071" s="71">
        <v>69</v>
      </c>
      <c r="M1071" s="71">
        <v>10</v>
      </c>
      <c r="N1071" s="71">
        <v>38</v>
      </c>
      <c r="O1071" s="71">
        <v>0</v>
      </c>
      <c r="P1071" s="71">
        <v>16</v>
      </c>
      <c r="Q1071" s="71">
        <v>55</v>
      </c>
      <c r="R1071" s="71">
        <v>95</v>
      </c>
      <c r="S1071" s="71" t="s">
        <v>88</v>
      </c>
      <c r="T1071" s="73" t="s">
        <v>4354</v>
      </c>
      <c r="U1071" s="71" t="s">
        <v>3959</v>
      </c>
      <c r="V1071" s="71" t="b">
        <v>0</v>
      </c>
    </row>
    <row r="1072" spans="1:22" ht="17.25">
      <c r="A1072" s="70">
        <v>773</v>
      </c>
      <c r="B1072" s="70" t="s">
        <v>1636</v>
      </c>
      <c r="C1072" s="70" t="s">
        <v>4500</v>
      </c>
      <c r="D1072" s="70" t="s">
        <v>1635</v>
      </c>
      <c r="E1072" s="70" t="s">
        <v>1634</v>
      </c>
      <c r="F1072" s="71">
        <v>98</v>
      </c>
      <c r="G1072" s="71">
        <v>8</v>
      </c>
      <c r="H1072" s="72" t="s">
        <v>4352</v>
      </c>
      <c r="I1072" s="71" t="b">
        <v>1</v>
      </c>
      <c r="J1072" s="71">
        <v>70</v>
      </c>
      <c r="K1072" s="71">
        <v>48</v>
      </c>
      <c r="L1072" s="71">
        <v>69</v>
      </c>
      <c r="M1072" s="71">
        <v>10</v>
      </c>
      <c r="N1072" s="71">
        <v>38</v>
      </c>
      <c r="O1072" s="71">
        <v>0</v>
      </c>
      <c r="P1072" s="71">
        <v>16</v>
      </c>
      <c r="Q1072" s="71">
        <v>55</v>
      </c>
      <c r="R1072" s="71">
        <v>95</v>
      </c>
      <c r="S1072" s="71" t="s">
        <v>88</v>
      </c>
      <c r="T1072" s="73" t="s">
        <v>4354</v>
      </c>
      <c r="U1072" s="71" t="s">
        <v>3959</v>
      </c>
      <c r="V1072" s="71" t="b">
        <v>0</v>
      </c>
    </row>
    <row r="1073" spans="1:22" ht="17.25">
      <c r="A1073" s="70">
        <v>775</v>
      </c>
      <c r="B1073" s="70" t="s">
        <v>1632</v>
      </c>
      <c r="C1073" s="70" t="s">
        <v>54</v>
      </c>
      <c r="D1073" s="70" t="s">
        <v>1631</v>
      </c>
      <c r="E1073" s="70" t="s">
        <v>52</v>
      </c>
      <c r="F1073" s="71">
        <v>42</v>
      </c>
      <c r="G1073" s="71">
        <v>11</v>
      </c>
      <c r="H1073" s="72">
        <v>0.1423611111111111</v>
      </c>
      <c r="I1073" s="71" t="b">
        <v>0</v>
      </c>
      <c r="J1073" s="71">
        <v>84</v>
      </c>
      <c r="K1073" s="71">
        <v>57</v>
      </c>
      <c r="L1073" s="71">
        <v>86</v>
      </c>
      <c r="M1073" s="71">
        <v>10</v>
      </c>
      <c r="N1073" s="71">
        <v>59</v>
      </c>
      <c r="O1073" s="71">
        <v>0</v>
      </c>
      <c r="P1073" s="71">
        <v>8</v>
      </c>
      <c r="Q1073" s="71">
        <v>79</v>
      </c>
      <c r="R1073" s="71">
        <v>125</v>
      </c>
      <c r="S1073" s="71" t="s">
        <v>96</v>
      </c>
      <c r="T1073" s="73">
        <v>42244</v>
      </c>
      <c r="U1073" s="71" t="s">
        <v>3408</v>
      </c>
      <c r="V1073" s="71" t="b">
        <v>0</v>
      </c>
    </row>
    <row r="1074" spans="1:22" ht="17.25">
      <c r="A1074" s="70">
        <v>776</v>
      </c>
      <c r="B1074" s="70" t="s">
        <v>1630</v>
      </c>
      <c r="C1074" s="70" t="s">
        <v>511</v>
      </c>
      <c r="D1074" s="70" t="s">
        <v>1629</v>
      </c>
      <c r="E1074" s="70" t="s">
        <v>124</v>
      </c>
      <c r="F1074" s="71">
        <v>6</v>
      </c>
      <c r="G1074" s="71">
        <v>25</v>
      </c>
      <c r="H1074" s="72" t="s">
        <v>4320</v>
      </c>
      <c r="I1074" s="71" t="b">
        <v>0</v>
      </c>
      <c r="J1074" s="71">
        <v>71</v>
      </c>
      <c r="K1074" s="71">
        <v>60</v>
      </c>
      <c r="L1074" s="71">
        <v>73</v>
      </c>
      <c r="M1074" s="71">
        <v>6</v>
      </c>
      <c r="N1074" s="71">
        <v>32</v>
      </c>
      <c r="O1074" s="71">
        <v>0</v>
      </c>
      <c r="P1074" s="71">
        <v>12</v>
      </c>
      <c r="Q1074" s="71">
        <v>54</v>
      </c>
      <c r="R1074" s="71">
        <v>98</v>
      </c>
      <c r="S1074" s="71" t="s">
        <v>115</v>
      </c>
      <c r="T1074" s="73" t="s">
        <v>4341</v>
      </c>
      <c r="U1074" s="71" t="s">
        <v>3435</v>
      </c>
      <c r="V1074" s="71" t="b">
        <v>0</v>
      </c>
    </row>
    <row r="1075" spans="1:22" ht="17.25">
      <c r="A1075" s="70">
        <v>777</v>
      </c>
      <c r="B1075" s="70" t="s">
        <v>1628</v>
      </c>
      <c r="C1075" s="70" t="s">
        <v>1627</v>
      </c>
      <c r="D1075" s="70" t="s">
        <v>1626</v>
      </c>
      <c r="E1075" s="70" t="s">
        <v>1625</v>
      </c>
      <c r="F1075" s="71">
        <v>158</v>
      </c>
      <c r="G1075" s="71">
        <v>8</v>
      </c>
      <c r="H1075" s="72">
        <v>9.7916666666666666E-2</v>
      </c>
      <c r="I1075" s="71" t="b">
        <v>0</v>
      </c>
      <c r="J1075" s="71">
        <v>64</v>
      </c>
      <c r="K1075" s="71">
        <v>66</v>
      </c>
      <c r="L1075" s="71">
        <v>87</v>
      </c>
      <c r="M1075" s="71">
        <v>4</v>
      </c>
      <c r="N1075" s="71">
        <v>20</v>
      </c>
      <c r="O1075" s="71">
        <v>1</v>
      </c>
      <c r="P1075" s="71">
        <v>15</v>
      </c>
      <c r="Q1075" s="71">
        <v>66</v>
      </c>
      <c r="R1075" s="71">
        <v>133</v>
      </c>
      <c r="S1075" s="71" t="s">
        <v>69</v>
      </c>
      <c r="T1075" s="73">
        <v>25477</v>
      </c>
      <c r="U1075" s="71" t="s">
        <v>3960</v>
      </c>
      <c r="V1075" s="71" t="b">
        <v>0</v>
      </c>
    </row>
    <row r="1076" spans="1:22" ht="17.25">
      <c r="A1076" s="70">
        <v>778</v>
      </c>
      <c r="B1076" s="70" t="s">
        <v>1624</v>
      </c>
      <c r="C1076" s="70" t="s">
        <v>1987</v>
      </c>
      <c r="D1076" s="70" t="s">
        <v>1623</v>
      </c>
      <c r="E1076" s="70" t="s">
        <v>62</v>
      </c>
      <c r="F1076" s="71">
        <v>150</v>
      </c>
      <c r="G1076" s="71">
        <v>1</v>
      </c>
      <c r="H1076" s="72">
        <v>0.12847222222222221</v>
      </c>
      <c r="I1076" s="71" t="b">
        <v>1</v>
      </c>
      <c r="J1076" s="71">
        <v>78</v>
      </c>
      <c r="K1076" s="71">
        <v>74</v>
      </c>
      <c r="L1076" s="71">
        <v>80</v>
      </c>
      <c r="M1076" s="71">
        <v>10</v>
      </c>
      <c r="N1076" s="71">
        <v>15</v>
      </c>
      <c r="O1076" s="71">
        <v>0</v>
      </c>
      <c r="P1076" s="71">
        <v>12</v>
      </c>
      <c r="Q1076" s="71">
        <v>58</v>
      </c>
      <c r="R1076" s="71">
        <v>108</v>
      </c>
      <c r="S1076" s="71" t="s">
        <v>61</v>
      </c>
      <c r="T1076" s="73">
        <v>45765</v>
      </c>
      <c r="U1076" s="71" t="s">
        <v>3961</v>
      </c>
      <c r="V1076" s="71" t="b">
        <v>0</v>
      </c>
    </row>
    <row r="1077" spans="1:22" ht="17.25">
      <c r="A1077" s="70">
        <v>778</v>
      </c>
      <c r="B1077" s="70" t="s">
        <v>1624</v>
      </c>
      <c r="C1077" s="70" t="s">
        <v>141</v>
      </c>
      <c r="D1077" s="70" t="s">
        <v>1623</v>
      </c>
      <c r="E1077" s="70" t="s">
        <v>62</v>
      </c>
      <c r="F1077" s="71">
        <v>150</v>
      </c>
      <c r="G1077" s="71">
        <v>1</v>
      </c>
      <c r="H1077" s="72">
        <v>0.12847222222222221</v>
      </c>
      <c r="I1077" s="71" t="b">
        <v>1</v>
      </c>
      <c r="J1077" s="71">
        <v>78</v>
      </c>
      <c r="K1077" s="71">
        <v>74</v>
      </c>
      <c r="L1077" s="71">
        <v>80</v>
      </c>
      <c r="M1077" s="71">
        <v>10</v>
      </c>
      <c r="N1077" s="71">
        <v>15</v>
      </c>
      <c r="O1077" s="71">
        <v>0</v>
      </c>
      <c r="P1077" s="71">
        <v>12</v>
      </c>
      <c r="Q1077" s="71">
        <v>58</v>
      </c>
      <c r="R1077" s="71">
        <v>108</v>
      </c>
      <c r="S1077" s="71" t="s">
        <v>61</v>
      </c>
      <c r="T1077" s="73">
        <v>45765</v>
      </c>
      <c r="U1077" s="71" t="s">
        <v>3961</v>
      </c>
      <c r="V1077" s="71" t="b">
        <v>0</v>
      </c>
    </row>
    <row r="1078" spans="1:22" ht="17.25">
      <c r="A1078" s="70">
        <v>779</v>
      </c>
      <c r="B1078" s="70" t="s">
        <v>1622</v>
      </c>
      <c r="C1078" s="70" t="s">
        <v>1063</v>
      </c>
      <c r="D1078" s="70" t="s">
        <v>295</v>
      </c>
      <c r="E1078" s="70" t="s">
        <v>294</v>
      </c>
      <c r="F1078" s="71">
        <v>13</v>
      </c>
      <c r="G1078" s="71">
        <v>3</v>
      </c>
      <c r="H1078" s="72">
        <v>0.12847222222222221</v>
      </c>
      <c r="I1078" s="71" t="b">
        <v>1</v>
      </c>
      <c r="J1078" s="71">
        <v>69</v>
      </c>
      <c r="K1078" s="71">
        <v>78</v>
      </c>
      <c r="L1078" s="71">
        <v>92</v>
      </c>
      <c r="M1078" s="71">
        <v>4</v>
      </c>
      <c r="N1078" s="71">
        <v>7</v>
      </c>
      <c r="O1078" s="71">
        <v>0</v>
      </c>
      <c r="P1078" s="71">
        <v>8</v>
      </c>
      <c r="Q1078" s="71">
        <v>37</v>
      </c>
      <c r="R1078" s="71">
        <v>115</v>
      </c>
      <c r="S1078" s="71" t="s">
        <v>115</v>
      </c>
      <c r="T1078" s="73">
        <v>45695</v>
      </c>
      <c r="U1078" s="71" t="s">
        <v>3962</v>
      </c>
      <c r="V1078" s="71" t="b">
        <v>0</v>
      </c>
    </row>
    <row r="1079" spans="1:22" ht="17.25">
      <c r="A1079" s="70">
        <v>779</v>
      </c>
      <c r="B1079" s="70" t="s">
        <v>1622</v>
      </c>
      <c r="C1079" s="70" t="s">
        <v>2771</v>
      </c>
      <c r="D1079" s="70" t="s">
        <v>295</v>
      </c>
      <c r="E1079" s="70" t="s">
        <v>294</v>
      </c>
      <c r="F1079" s="71">
        <v>13</v>
      </c>
      <c r="G1079" s="71">
        <v>3</v>
      </c>
      <c r="H1079" s="72">
        <v>0.12847222222222221</v>
      </c>
      <c r="I1079" s="71" t="b">
        <v>1</v>
      </c>
      <c r="J1079" s="71">
        <v>69</v>
      </c>
      <c r="K1079" s="71">
        <v>78</v>
      </c>
      <c r="L1079" s="71">
        <v>92</v>
      </c>
      <c r="M1079" s="71">
        <v>4</v>
      </c>
      <c r="N1079" s="71">
        <v>7</v>
      </c>
      <c r="O1079" s="71">
        <v>0</v>
      </c>
      <c r="P1079" s="71">
        <v>8</v>
      </c>
      <c r="Q1079" s="71">
        <v>37</v>
      </c>
      <c r="R1079" s="71">
        <v>115</v>
      </c>
      <c r="S1079" s="71" t="s">
        <v>115</v>
      </c>
      <c r="T1079" s="73">
        <v>45695</v>
      </c>
      <c r="U1079" s="71" t="s">
        <v>3962</v>
      </c>
      <c r="V1079" s="71" t="b">
        <v>0</v>
      </c>
    </row>
    <row r="1080" spans="1:22" ht="17.25">
      <c r="A1080" s="70">
        <v>779</v>
      </c>
      <c r="B1080" s="70" t="s">
        <v>1622</v>
      </c>
      <c r="C1080" s="70" t="s">
        <v>241</v>
      </c>
      <c r="D1080" s="70" t="s">
        <v>295</v>
      </c>
      <c r="E1080" s="70" t="s">
        <v>294</v>
      </c>
      <c r="F1080" s="71">
        <v>13</v>
      </c>
      <c r="G1080" s="71">
        <v>3</v>
      </c>
      <c r="H1080" s="72">
        <v>0.12847222222222221</v>
      </c>
      <c r="I1080" s="71" t="b">
        <v>1</v>
      </c>
      <c r="J1080" s="71">
        <v>69</v>
      </c>
      <c r="K1080" s="71">
        <v>78</v>
      </c>
      <c r="L1080" s="71">
        <v>92</v>
      </c>
      <c r="M1080" s="71">
        <v>4</v>
      </c>
      <c r="N1080" s="71">
        <v>7</v>
      </c>
      <c r="O1080" s="71">
        <v>0</v>
      </c>
      <c r="P1080" s="71">
        <v>8</v>
      </c>
      <c r="Q1080" s="71">
        <v>37</v>
      </c>
      <c r="R1080" s="71">
        <v>115</v>
      </c>
      <c r="S1080" s="71" t="s">
        <v>115</v>
      </c>
      <c r="T1080" s="73">
        <v>45695</v>
      </c>
      <c r="U1080" s="71" t="s">
        <v>3962</v>
      </c>
      <c r="V1080" s="71" t="b">
        <v>0</v>
      </c>
    </row>
    <row r="1081" spans="1:22" ht="17.25">
      <c r="A1081" s="70">
        <v>780</v>
      </c>
      <c r="B1081" s="70" t="s">
        <v>1621</v>
      </c>
      <c r="C1081" s="70" t="s">
        <v>4501</v>
      </c>
      <c r="D1081" s="70" t="s">
        <v>1620</v>
      </c>
      <c r="E1081" s="70" t="s">
        <v>1619</v>
      </c>
      <c r="F1081" s="71">
        <v>36</v>
      </c>
      <c r="G1081" s="71">
        <v>43</v>
      </c>
      <c r="H1081" s="72">
        <v>0.11666666666666667</v>
      </c>
      <c r="I1081" s="71" t="b">
        <v>0</v>
      </c>
      <c r="J1081" s="71">
        <v>87</v>
      </c>
      <c r="K1081" s="71">
        <v>61</v>
      </c>
      <c r="L1081" s="71">
        <v>91</v>
      </c>
      <c r="M1081" s="71">
        <v>18</v>
      </c>
      <c r="N1081" s="71">
        <v>8</v>
      </c>
      <c r="O1081" s="71">
        <v>0</v>
      </c>
      <c r="P1081" s="71">
        <v>14</v>
      </c>
      <c r="Q1081" s="71">
        <v>78</v>
      </c>
      <c r="R1081" s="71">
        <v>127</v>
      </c>
      <c r="S1081" s="71" t="s">
        <v>1618</v>
      </c>
      <c r="T1081" s="73">
        <v>45730</v>
      </c>
      <c r="U1081" s="71" t="s">
        <v>3963</v>
      </c>
      <c r="V1081" s="71" t="b">
        <v>0</v>
      </c>
    </row>
    <row r="1082" spans="1:22" ht="17.25">
      <c r="A1082" s="70">
        <v>780</v>
      </c>
      <c r="B1082" s="70" t="s">
        <v>1621</v>
      </c>
      <c r="C1082" s="70" t="s">
        <v>4751</v>
      </c>
      <c r="D1082" s="70" t="s">
        <v>1620</v>
      </c>
      <c r="E1082" s="70" t="s">
        <v>1619</v>
      </c>
      <c r="F1082" s="71">
        <v>36</v>
      </c>
      <c r="G1082" s="71">
        <v>43</v>
      </c>
      <c r="H1082" s="72">
        <v>0.11666666666666667</v>
      </c>
      <c r="I1082" s="71" t="b">
        <v>0</v>
      </c>
      <c r="J1082" s="71">
        <v>87</v>
      </c>
      <c r="K1082" s="71">
        <v>61</v>
      </c>
      <c r="L1082" s="71">
        <v>91</v>
      </c>
      <c r="M1082" s="71">
        <v>18</v>
      </c>
      <c r="N1082" s="71">
        <v>8</v>
      </c>
      <c r="O1082" s="71">
        <v>0</v>
      </c>
      <c r="P1082" s="71">
        <v>14</v>
      </c>
      <c r="Q1082" s="71">
        <v>78</v>
      </c>
      <c r="R1082" s="71">
        <v>127</v>
      </c>
      <c r="S1082" s="71" t="s">
        <v>1618</v>
      </c>
      <c r="T1082" s="73">
        <v>45730</v>
      </c>
      <c r="U1082" s="71" t="s">
        <v>3963</v>
      </c>
      <c r="V1082" s="71" t="b">
        <v>0</v>
      </c>
    </row>
    <row r="1083" spans="1:22" ht="17.25">
      <c r="A1083" s="70">
        <v>781</v>
      </c>
      <c r="B1083" s="70" t="s">
        <v>1617</v>
      </c>
      <c r="C1083" s="70" t="s">
        <v>151</v>
      </c>
      <c r="D1083" s="70" t="s">
        <v>1616</v>
      </c>
      <c r="E1083" s="70" t="s">
        <v>44</v>
      </c>
      <c r="F1083" s="71">
        <v>1</v>
      </c>
      <c r="G1083" s="71">
        <v>228</v>
      </c>
      <c r="H1083" s="72">
        <v>0.11597222222222223</v>
      </c>
      <c r="I1083" s="71" t="b">
        <v>0</v>
      </c>
      <c r="J1083" s="71">
        <v>52</v>
      </c>
      <c r="K1083" s="71">
        <v>73</v>
      </c>
      <c r="L1083" s="71">
        <v>91</v>
      </c>
      <c r="M1083" s="71">
        <v>6</v>
      </c>
      <c r="N1083" s="71">
        <v>34</v>
      </c>
      <c r="O1083" s="71">
        <v>0</v>
      </c>
      <c r="P1083" s="71">
        <v>31</v>
      </c>
      <c r="Q1083" s="71">
        <v>66</v>
      </c>
      <c r="R1083" s="71">
        <v>174</v>
      </c>
      <c r="S1083" s="71" t="s">
        <v>96</v>
      </c>
      <c r="T1083" s="73">
        <v>44652</v>
      </c>
      <c r="U1083" s="71" t="s">
        <v>3964</v>
      </c>
      <c r="V1083" s="71" t="b">
        <v>0</v>
      </c>
    </row>
    <row r="1084" spans="1:22" ht="17.25">
      <c r="A1084" s="70">
        <v>782</v>
      </c>
      <c r="B1084" s="70" t="s">
        <v>1615</v>
      </c>
      <c r="C1084" s="70" t="s">
        <v>1982</v>
      </c>
      <c r="D1084" s="70" t="s">
        <v>387</v>
      </c>
      <c r="E1084" s="70" t="s">
        <v>386</v>
      </c>
      <c r="F1084" s="71">
        <v>26</v>
      </c>
      <c r="G1084" s="71">
        <v>11</v>
      </c>
      <c r="H1084" s="72">
        <v>0.11666666666666667</v>
      </c>
      <c r="I1084" s="71" t="b">
        <v>1</v>
      </c>
      <c r="J1084" s="71">
        <v>76</v>
      </c>
      <c r="K1084" s="71">
        <v>73</v>
      </c>
      <c r="L1084" s="71">
        <v>89</v>
      </c>
      <c r="M1084" s="71">
        <v>10</v>
      </c>
      <c r="N1084" s="71">
        <v>2</v>
      </c>
      <c r="O1084" s="71">
        <v>0</v>
      </c>
      <c r="P1084" s="71">
        <v>19</v>
      </c>
      <c r="Q1084" s="71">
        <v>70</v>
      </c>
      <c r="R1084" s="71">
        <v>140</v>
      </c>
      <c r="S1084" s="71" t="s">
        <v>115</v>
      </c>
      <c r="T1084" s="73">
        <v>45723</v>
      </c>
      <c r="U1084" s="71" t="s">
        <v>3497</v>
      </c>
      <c r="V1084" s="71" t="b">
        <v>0</v>
      </c>
    </row>
    <row r="1085" spans="1:22" ht="17.25">
      <c r="A1085" s="70">
        <v>782</v>
      </c>
      <c r="B1085" s="70" t="s">
        <v>1615</v>
      </c>
      <c r="C1085" s="70" t="s">
        <v>678</v>
      </c>
      <c r="D1085" s="70" t="s">
        <v>387</v>
      </c>
      <c r="E1085" s="70" t="s">
        <v>386</v>
      </c>
      <c r="F1085" s="71">
        <v>26</v>
      </c>
      <c r="G1085" s="71">
        <v>11</v>
      </c>
      <c r="H1085" s="72">
        <v>0.11666666666666667</v>
      </c>
      <c r="I1085" s="71" t="b">
        <v>1</v>
      </c>
      <c r="J1085" s="71">
        <v>76</v>
      </c>
      <c r="K1085" s="71">
        <v>73</v>
      </c>
      <c r="L1085" s="71">
        <v>89</v>
      </c>
      <c r="M1085" s="71">
        <v>10</v>
      </c>
      <c r="N1085" s="71">
        <v>2</v>
      </c>
      <c r="O1085" s="71">
        <v>0</v>
      </c>
      <c r="P1085" s="71">
        <v>19</v>
      </c>
      <c r="Q1085" s="71">
        <v>70</v>
      </c>
      <c r="R1085" s="71">
        <v>140</v>
      </c>
      <c r="S1085" s="71" t="s">
        <v>115</v>
      </c>
      <c r="T1085" s="73">
        <v>45723</v>
      </c>
      <c r="U1085" s="71" t="s">
        <v>3497</v>
      </c>
      <c r="V1085" s="71" t="b">
        <v>0</v>
      </c>
    </row>
    <row r="1086" spans="1:22" ht="17.25">
      <c r="A1086" s="70">
        <v>783</v>
      </c>
      <c r="B1086" s="70" t="s">
        <v>1614</v>
      </c>
      <c r="C1086" s="70" t="s">
        <v>1613</v>
      </c>
      <c r="D1086" s="70" t="s">
        <v>1612</v>
      </c>
      <c r="E1086" s="70" t="s">
        <v>1054</v>
      </c>
      <c r="F1086" s="71">
        <v>76</v>
      </c>
      <c r="G1086" s="71">
        <v>45</v>
      </c>
      <c r="H1086" s="72">
        <v>0.14652777777777778</v>
      </c>
      <c r="I1086" s="71" t="b">
        <v>0</v>
      </c>
      <c r="J1086" s="71">
        <v>79</v>
      </c>
      <c r="K1086" s="71">
        <v>65</v>
      </c>
      <c r="L1086" s="71">
        <v>90</v>
      </c>
      <c r="M1086" s="71">
        <v>14</v>
      </c>
      <c r="N1086" s="71">
        <v>5</v>
      </c>
      <c r="O1086" s="71">
        <v>0</v>
      </c>
      <c r="P1086" s="71">
        <v>25</v>
      </c>
      <c r="Q1086" s="71">
        <v>65</v>
      </c>
      <c r="R1086" s="71">
        <v>88</v>
      </c>
      <c r="S1086" s="71" t="s">
        <v>48</v>
      </c>
      <c r="T1086" s="73">
        <v>39749</v>
      </c>
      <c r="U1086" s="71" t="s">
        <v>3965</v>
      </c>
      <c r="V1086" s="71" t="b">
        <v>0</v>
      </c>
    </row>
    <row r="1087" spans="1:22" ht="17.25">
      <c r="A1087" s="70">
        <v>784</v>
      </c>
      <c r="B1087" s="70" t="s">
        <v>1611</v>
      </c>
      <c r="C1087" s="70" t="s">
        <v>1042</v>
      </c>
      <c r="D1087" s="70" t="s">
        <v>1610</v>
      </c>
      <c r="E1087" s="70" t="s">
        <v>104</v>
      </c>
      <c r="F1087" s="71">
        <v>91</v>
      </c>
      <c r="G1087" s="71">
        <v>5</v>
      </c>
      <c r="H1087" s="72">
        <v>0.13750000000000001</v>
      </c>
      <c r="I1087" s="71" t="b">
        <v>0</v>
      </c>
      <c r="J1087" s="71">
        <v>52</v>
      </c>
      <c r="K1087" s="71">
        <v>48</v>
      </c>
      <c r="L1087" s="71">
        <v>72</v>
      </c>
      <c r="M1087" s="71">
        <v>3</v>
      </c>
      <c r="N1087" s="71">
        <v>55</v>
      </c>
      <c r="O1087" s="71">
        <v>0</v>
      </c>
      <c r="P1087" s="71">
        <v>15</v>
      </c>
      <c r="Q1087" s="71">
        <v>72</v>
      </c>
      <c r="R1087" s="71">
        <v>120</v>
      </c>
      <c r="S1087" s="71" t="s">
        <v>29</v>
      </c>
      <c r="T1087" s="73">
        <v>22951</v>
      </c>
      <c r="U1087" s="71" t="s">
        <v>3966</v>
      </c>
      <c r="V1087" s="71" t="b">
        <v>1</v>
      </c>
    </row>
    <row r="1088" spans="1:22" ht="17.25">
      <c r="A1088" s="70">
        <v>785</v>
      </c>
      <c r="B1088" s="70" t="s">
        <v>1609</v>
      </c>
      <c r="C1088" s="70" t="s">
        <v>318</v>
      </c>
      <c r="D1088" s="70" t="s">
        <v>1254</v>
      </c>
      <c r="E1088" s="70" t="s">
        <v>316</v>
      </c>
      <c r="F1088" s="71">
        <v>3</v>
      </c>
      <c r="G1088" s="71">
        <v>3</v>
      </c>
      <c r="H1088" s="72" t="s">
        <v>4315</v>
      </c>
      <c r="I1088" s="71" t="b">
        <v>0</v>
      </c>
      <c r="J1088" s="71">
        <v>66</v>
      </c>
      <c r="K1088" s="71">
        <v>55</v>
      </c>
      <c r="L1088" s="71">
        <v>72</v>
      </c>
      <c r="M1088" s="71">
        <v>5</v>
      </c>
      <c r="N1088" s="71">
        <v>42</v>
      </c>
      <c r="O1088" s="71">
        <v>0</v>
      </c>
      <c r="P1088" s="71">
        <v>13</v>
      </c>
      <c r="Q1088" s="71">
        <v>44</v>
      </c>
      <c r="R1088" s="71">
        <v>144</v>
      </c>
      <c r="S1088" s="71" t="s">
        <v>96</v>
      </c>
      <c r="T1088" s="73" t="s">
        <v>4327</v>
      </c>
      <c r="U1088" s="71" t="s">
        <v>3967</v>
      </c>
      <c r="V1088" s="71" t="b">
        <v>0</v>
      </c>
    </row>
    <row r="1089" spans="1:22" ht="17.25">
      <c r="A1089" s="70">
        <v>786</v>
      </c>
      <c r="B1089" s="70" t="s">
        <v>1608</v>
      </c>
      <c r="C1089" s="70" t="s">
        <v>2061</v>
      </c>
      <c r="D1089" s="70" t="s">
        <v>1607</v>
      </c>
      <c r="E1089" s="70" t="s">
        <v>1485</v>
      </c>
      <c r="F1089" s="71">
        <v>124</v>
      </c>
      <c r="G1089" s="71">
        <v>1</v>
      </c>
      <c r="H1089" s="72">
        <v>0.12847222222222221</v>
      </c>
      <c r="I1089" s="71" t="b">
        <v>1</v>
      </c>
      <c r="J1089" s="71">
        <v>72</v>
      </c>
      <c r="K1089" s="71">
        <v>78</v>
      </c>
      <c r="L1089" s="71">
        <v>81</v>
      </c>
      <c r="M1089" s="71">
        <v>16</v>
      </c>
      <c r="N1089" s="71">
        <v>5</v>
      </c>
      <c r="O1089" s="71">
        <v>0</v>
      </c>
      <c r="P1089" s="71">
        <v>12</v>
      </c>
      <c r="Q1089" s="71">
        <v>48</v>
      </c>
      <c r="R1089" s="71">
        <v>130</v>
      </c>
      <c r="S1089" s="71" t="s">
        <v>48</v>
      </c>
      <c r="T1089" s="73">
        <v>45793</v>
      </c>
      <c r="U1089" s="71" t="s">
        <v>3396</v>
      </c>
      <c r="V1089" s="71" t="b">
        <v>0</v>
      </c>
    </row>
    <row r="1090" spans="1:22" ht="17.25">
      <c r="A1090" s="70">
        <v>786</v>
      </c>
      <c r="B1090" s="70" t="s">
        <v>1608</v>
      </c>
      <c r="C1090" s="70" t="s">
        <v>51</v>
      </c>
      <c r="D1090" s="70" t="s">
        <v>1607</v>
      </c>
      <c r="E1090" s="70" t="s">
        <v>1485</v>
      </c>
      <c r="F1090" s="71">
        <v>124</v>
      </c>
      <c r="G1090" s="71">
        <v>1</v>
      </c>
      <c r="H1090" s="72">
        <v>0.12847222222222221</v>
      </c>
      <c r="I1090" s="71" t="b">
        <v>1</v>
      </c>
      <c r="J1090" s="71">
        <v>72</v>
      </c>
      <c r="K1090" s="71">
        <v>78</v>
      </c>
      <c r="L1090" s="71">
        <v>81</v>
      </c>
      <c r="M1090" s="71">
        <v>16</v>
      </c>
      <c r="N1090" s="71">
        <v>5</v>
      </c>
      <c r="O1090" s="71">
        <v>0</v>
      </c>
      <c r="P1090" s="71">
        <v>12</v>
      </c>
      <c r="Q1090" s="71">
        <v>48</v>
      </c>
      <c r="R1090" s="71">
        <v>130</v>
      </c>
      <c r="S1090" s="71" t="s">
        <v>48</v>
      </c>
      <c r="T1090" s="73">
        <v>45793</v>
      </c>
      <c r="U1090" s="71" t="s">
        <v>3396</v>
      </c>
      <c r="V1090" s="71" t="b">
        <v>0</v>
      </c>
    </row>
    <row r="1091" spans="1:22" ht="17.25">
      <c r="A1091" s="70">
        <v>787</v>
      </c>
      <c r="B1091" s="70" t="s">
        <v>1606</v>
      </c>
      <c r="C1091" s="70" t="s">
        <v>4754</v>
      </c>
      <c r="D1091" s="70" t="s">
        <v>1605</v>
      </c>
      <c r="E1091" s="70" t="s">
        <v>1523</v>
      </c>
      <c r="F1091" s="71">
        <v>11</v>
      </c>
      <c r="G1091" s="71">
        <v>20</v>
      </c>
      <c r="H1091" s="72">
        <v>0.10277777777777777</v>
      </c>
      <c r="I1091" s="71" t="b">
        <v>1</v>
      </c>
      <c r="J1091" s="71">
        <v>85</v>
      </c>
      <c r="K1091" s="71">
        <v>82</v>
      </c>
      <c r="L1091" s="71">
        <v>82</v>
      </c>
      <c r="M1091" s="71">
        <v>14</v>
      </c>
      <c r="N1091" s="71">
        <v>5</v>
      </c>
      <c r="O1091" s="71">
        <v>0</v>
      </c>
      <c r="P1091" s="71">
        <v>15</v>
      </c>
      <c r="Q1091" s="71">
        <v>72</v>
      </c>
      <c r="R1091" s="71">
        <v>130</v>
      </c>
      <c r="S1091" s="71" t="s">
        <v>534</v>
      </c>
      <c r="T1091" s="73">
        <v>45772</v>
      </c>
      <c r="U1091" s="71" t="s">
        <v>3968</v>
      </c>
      <c r="V1091" s="71" t="b">
        <v>0</v>
      </c>
    </row>
    <row r="1092" spans="1:22" ht="17.25">
      <c r="A1092" s="70">
        <v>787</v>
      </c>
      <c r="B1092" s="70" t="s">
        <v>1606</v>
      </c>
      <c r="C1092" s="70" t="s">
        <v>4502</v>
      </c>
      <c r="D1092" s="70" t="s">
        <v>1605</v>
      </c>
      <c r="E1092" s="70" t="s">
        <v>1523</v>
      </c>
      <c r="F1092" s="71">
        <v>11</v>
      </c>
      <c r="G1092" s="71">
        <v>20</v>
      </c>
      <c r="H1092" s="72">
        <v>0.10277777777777777</v>
      </c>
      <c r="I1092" s="71" t="b">
        <v>1</v>
      </c>
      <c r="J1092" s="71">
        <v>85</v>
      </c>
      <c r="K1092" s="71">
        <v>82</v>
      </c>
      <c r="L1092" s="71">
        <v>82</v>
      </c>
      <c r="M1092" s="71">
        <v>14</v>
      </c>
      <c r="N1092" s="71">
        <v>5</v>
      </c>
      <c r="O1092" s="71">
        <v>0</v>
      </c>
      <c r="P1092" s="71">
        <v>15</v>
      </c>
      <c r="Q1092" s="71">
        <v>72</v>
      </c>
      <c r="R1092" s="71">
        <v>130</v>
      </c>
      <c r="S1092" s="71" t="s">
        <v>534</v>
      </c>
      <c r="T1092" s="73">
        <v>45772</v>
      </c>
      <c r="U1092" s="71" t="s">
        <v>3968</v>
      </c>
      <c r="V1092" s="71" t="b">
        <v>0</v>
      </c>
    </row>
    <row r="1093" spans="1:22" ht="17.25">
      <c r="A1093" s="70">
        <v>787</v>
      </c>
      <c r="B1093" s="70" t="s">
        <v>1606</v>
      </c>
      <c r="C1093" s="70" t="s">
        <v>4753</v>
      </c>
      <c r="D1093" s="70" t="s">
        <v>1605</v>
      </c>
      <c r="E1093" s="70" t="s">
        <v>1523</v>
      </c>
      <c r="F1093" s="71">
        <v>11</v>
      </c>
      <c r="G1093" s="71">
        <v>20</v>
      </c>
      <c r="H1093" s="72">
        <v>0.10277777777777777</v>
      </c>
      <c r="I1093" s="71" t="b">
        <v>1</v>
      </c>
      <c r="J1093" s="71">
        <v>85</v>
      </c>
      <c r="K1093" s="71">
        <v>82</v>
      </c>
      <c r="L1093" s="71">
        <v>82</v>
      </c>
      <c r="M1093" s="71">
        <v>14</v>
      </c>
      <c r="N1093" s="71">
        <v>5</v>
      </c>
      <c r="O1093" s="71">
        <v>0</v>
      </c>
      <c r="P1093" s="71">
        <v>15</v>
      </c>
      <c r="Q1093" s="71">
        <v>72</v>
      </c>
      <c r="R1093" s="71">
        <v>130</v>
      </c>
      <c r="S1093" s="71" t="s">
        <v>534</v>
      </c>
      <c r="T1093" s="73">
        <v>45772</v>
      </c>
      <c r="U1093" s="71" t="s">
        <v>3968</v>
      </c>
      <c r="V1093" s="71" t="b">
        <v>0</v>
      </c>
    </row>
    <row r="1094" spans="1:22" ht="17.25">
      <c r="A1094" s="70">
        <v>787</v>
      </c>
      <c r="B1094" s="70" t="s">
        <v>1606</v>
      </c>
      <c r="C1094" s="70" t="s">
        <v>4730</v>
      </c>
      <c r="D1094" s="70" t="s">
        <v>1605</v>
      </c>
      <c r="E1094" s="70" t="s">
        <v>1523</v>
      </c>
      <c r="F1094" s="71">
        <v>11</v>
      </c>
      <c r="G1094" s="71">
        <v>20</v>
      </c>
      <c r="H1094" s="72">
        <v>0.10277777777777777</v>
      </c>
      <c r="I1094" s="71" t="b">
        <v>1</v>
      </c>
      <c r="J1094" s="71">
        <v>85</v>
      </c>
      <c r="K1094" s="71">
        <v>82</v>
      </c>
      <c r="L1094" s="71">
        <v>82</v>
      </c>
      <c r="M1094" s="71">
        <v>14</v>
      </c>
      <c r="N1094" s="71">
        <v>5</v>
      </c>
      <c r="O1094" s="71">
        <v>0</v>
      </c>
      <c r="P1094" s="71">
        <v>15</v>
      </c>
      <c r="Q1094" s="71">
        <v>72</v>
      </c>
      <c r="R1094" s="71">
        <v>130</v>
      </c>
      <c r="S1094" s="71" t="s">
        <v>534</v>
      </c>
      <c r="T1094" s="73">
        <v>45772</v>
      </c>
      <c r="U1094" s="71" t="s">
        <v>3968</v>
      </c>
      <c r="V1094" s="71" t="b">
        <v>0</v>
      </c>
    </row>
    <row r="1095" spans="1:22" ht="17.25">
      <c r="A1095" s="70">
        <v>787</v>
      </c>
      <c r="B1095" s="70" t="s">
        <v>1606</v>
      </c>
      <c r="C1095" s="70" t="s">
        <v>4752</v>
      </c>
      <c r="D1095" s="70" t="s">
        <v>1605</v>
      </c>
      <c r="E1095" s="70" t="s">
        <v>1523</v>
      </c>
      <c r="F1095" s="71">
        <v>11</v>
      </c>
      <c r="G1095" s="71">
        <v>20</v>
      </c>
      <c r="H1095" s="72">
        <v>0.10277777777777777</v>
      </c>
      <c r="I1095" s="71" t="b">
        <v>1</v>
      </c>
      <c r="J1095" s="71">
        <v>85</v>
      </c>
      <c r="K1095" s="71">
        <v>82</v>
      </c>
      <c r="L1095" s="71">
        <v>82</v>
      </c>
      <c r="M1095" s="71">
        <v>14</v>
      </c>
      <c r="N1095" s="71">
        <v>5</v>
      </c>
      <c r="O1095" s="71">
        <v>0</v>
      </c>
      <c r="P1095" s="71">
        <v>15</v>
      </c>
      <c r="Q1095" s="71">
        <v>72</v>
      </c>
      <c r="R1095" s="71">
        <v>130</v>
      </c>
      <c r="S1095" s="71" t="s">
        <v>534</v>
      </c>
      <c r="T1095" s="73">
        <v>45772</v>
      </c>
      <c r="U1095" s="71" t="s">
        <v>3968</v>
      </c>
      <c r="V1095" s="71" t="b">
        <v>0</v>
      </c>
    </row>
    <row r="1096" spans="1:22" ht="17.25">
      <c r="A1096" s="70">
        <v>788</v>
      </c>
      <c r="B1096" s="70" t="s">
        <v>1604</v>
      </c>
      <c r="C1096" s="70" t="s">
        <v>1603</v>
      </c>
      <c r="D1096" s="70" t="s">
        <v>1602</v>
      </c>
      <c r="E1096" s="70" t="s">
        <v>153</v>
      </c>
      <c r="F1096" s="71">
        <v>171</v>
      </c>
      <c r="G1096" s="71">
        <v>2</v>
      </c>
      <c r="H1096" s="72">
        <v>0.11666666666666667</v>
      </c>
      <c r="I1096" s="71" t="b">
        <v>0</v>
      </c>
      <c r="J1096" s="71">
        <v>76</v>
      </c>
      <c r="K1096" s="71">
        <v>72</v>
      </c>
      <c r="L1096" s="71">
        <v>93</v>
      </c>
      <c r="M1096" s="71">
        <v>19</v>
      </c>
      <c r="N1096" s="71">
        <v>36</v>
      </c>
      <c r="O1096" s="71">
        <v>0</v>
      </c>
      <c r="P1096" s="71">
        <v>8</v>
      </c>
      <c r="Q1096" s="71">
        <v>72</v>
      </c>
      <c r="R1096" s="71">
        <v>112</v>
      </c>
      <c r="S1096" s="71" t="s">
        <v>128</v>
      </c>
      <c r="T1096" s="73">
        <v>45702</v>
      </c>
      <c r="U1096" s="71" t="s">
        <v>3969</v>
      </c>
      <c r="V1096" s="71" t="b">
        <v>0</v>
      </c>
    </row>
    <row r="1097" spans="1:22" ht="17.25">
      <c r="A1097" s="70">
        <v>789</v>
      </c>
      <c r="B1097" s="70" t="s">
        <v>1601</v>
      </c>
      <c r="C1097" s="70" t="s">
        <v>182</v>
      </c>
      <c r="D1097" s="70" t="s">
        <v>1600</v>
      </c>
      <c r="E1097" s="70" t="s">
        <v>349</v>
      </c>
      <c r="F1097" s="71">
        <v>157</v>
      </c>
      <c r="G1097" s="71">
        <v>1</v>
      </c>
      <c r="H1097" s="72" t="s">
        <v>4320</v>
      </c>
      <c r="I1097" s="71" t="b">
        <v>1</v>
      </c>
      <c r="J1097" s="71">
        <v>75</v>
      </c>
      <c r="K1097" s="71">
        <v>58</v>
      </c>
      <c r="L1097" s="71">
        <v>72</v>
      </c>
      <c r="M1097" s="71">
        <v>11</v>
      </c>
      <c r="N1097" s="71">
        <v>29</v>
      </c>
      <c r="O1097" s="71">
        <v>0</v>
      </c>
      <c r="P1097" s="71">
        <v>13</v>
      </c>
      <c r="Q1097" s="71">
        <v>49</v>
      </c>
      <c r="R1097" s="71">
        <v>122</v>
      </c>
      <c r="S1097" s="71" t="s">
        <v>26</v>
      </c>
      <c r="T1097" s="73" t="s">
        <v>4385</v>
      </c>
      <c r="U1097" s="71" t="s">
        <v>3586</v>
      </c>
      <c r="V1097" s="71" t="b">
        <v>0</v>
      </c>
    </row>
    <row r="1098" spans="1:22" ht="17.25">
      <c r="A1098" s="70">
        <v>789</v>
      </c>
      <c r="B1098" s="70" t="s">
        <v>1601</v>
      </c>
      <c r="C1098" s="70" t="s">
        <v>1260</v>
      </c>
      <c r="D1098" s="70" t="s">
        <v>1600</v>
      </c>
      <c r="E1098" s="70" t="s">
        <v>349</v>
      </c>
      <c r="F1098" s="71">
        <v>157</v>
      </c>
      <c r="G1098" s="71">
        <v>1</v>
      </c>
      <c r="H1098" s="72" t="s">
        <v>4320</v>
      </c>
      <c r="I1098" s="71" t="b">
        <v>1</v>
      </c>
      <c r="J1098" s="71">
        <v>75</v>
      </c>
      <c r="K1098" s="71">
        <v>58</v>
      </c>
      <c r="L1098" s="71">
        <v>72</v>
      </c>
      <c r="M1098" s="71">
        <v>11</v>
      </c>
      <c r="N1098" s="71">
        <v>29</v>
      </c>
      <c r="O1098" s="71">
        <v>0</v>
      </c>
      <c r="P1098" s="71">
        <v>13</v>
      </c>
      <c r="Q1098" s="71">
        <v>49</v>
      </c>
      <c r="R1098" s="71">
        <v>122</v>
      </c>
      <c r="S1098" s="71" t="s">
        <v>26</v>
      </c>
      <c r="T1098" s="73" t="s">
        <v>4385</v>
      </c>
      <c r="U1098" s="71" t="s">
        <v>3586</v>
      </c>
      <c r="V1098" s="71" t="b">
        <v>0</v>
      </c>
    </row>
    <row r="1099" spans="1:22" ht="17.25">
      <c r="A1099" s="70">
        <v>790</v>
      </c>
      <c r="B1099" s="70" t="s">
        <v>1599</v>
      </c>
      <c r="C1099" s="70" t="s">
        <v>1598</v>
      </c>
      <c r="D1099" s="70" t="s">
        <v>1597</v>
      </c>
      <c r="E1099" s="70" t="s">
        <v>104</v>
      </c>
      <c r="F1099" s="71">
        <v>38</v>
      </c>
      <c r="G1099" s="71">
        <v>21</v>
      </c>
      <c r="H1099" s="72">
        <v>8.3333333333333329E-2</v>
      </c>
      <c r="I1099" s="71" t="b">
        <v>0</v>
      </c>
      <c r="J1099" s="71">
        <v>52</v>
      </c>
      <c r="K1099" s="71">
        <v>50</v>
      </c>
      <c r="L1099" s="71">
        <v>72</v>
      </c>
      <c r="M1099" s="71">
        <v>3</v>
      </c>
      <c r="N1099" s="71">
        <v>55</v>
      </c>
      <c r="O1099" s="71">
        <v>0</v>
      </c>
      <c r="P1099" s="71">
        <v>15</v>
      </c>
      <c r="Q1099" s="71">
        <v>75</v>
      </c>
      <c r="R1099" s="71">
        <v>120</v>
      </c>
      <c r="S1099" s="71" t="s">
        <v>29</v>
      </c>
      <c r="T1099" s="73">
        <v>21125</v>
      </c>
      <c r="U1099" s="71" t="s">
        <v>3724</v>
      </c>
      <c r="V1099" s="71" t="b">
        <v>1</v>
      </c>
    </row>
    <row r="1100" spans="1:22" ht="17.25">
      <c r="A1100" s="70">
        <v>791</v>
      </c>
      <c r="B1100" s="70" t="s">
        <v>1596</v>
      </c>
      <c r="C1100" s="70" t="s">
        <v>4503</v>
      </c>
      <c r="D1100" s="70" t="s">
        <v>1595</v>
      </c>
      <c r="E1100" s="70" t="s">
        <v>1594</v>
      </c>
      <c r="F1100" s="71">
        <v>67</v>
      </c>
      <c r="G1100" s="71">
        <v>5</v>
      </c>
      <c r="H1100" s="72">
        <v>0.11666666666666667</v>
      </c>
      <c r="I1100" s="71" t="b">
        <v>0</v>
      </c>
      <c r="J1100" s="71">
        <v>74</v>
      </c>
      <c r="K1100" s="71">
        <v>88</v>
      </c>
      <c r="L1100" s="71">
        <v>95</v>
      </c>
      <c r="M1100" s="71">
        <v>3</v>
      </c>
      <c r="N1100" s="71">
        <v>19</v>
      </c>
      <c r="O1100" s="71">
        <v>0</v>
      </c>
      <c r="P1100" s="71">
        <v>6</v>
      </c>
      <c r="Q1100" s="71">
        <v>97</v>
      </c>
      <c r="R1100" s="71">
        <v>140</v>
      </c>
      <c r="S1100" s="71" t="s">
        <v>534</v>
      </c>
      <c r="T1100" s="73">
        <v>45786</v>
      </c>
      <c r="U1100" s="71" t="s">
        <v>3970</v>
      </c>
      <c r="V1100" s="71" t="b">
        <v>0</v>
      </c>
    </row>
    <row r="1101" spans="1:22" ht="17.25">
      <c r="A1101" s="70">
        <v>791</v>
      </c>
      <c r="B1101" s="70" t="s">
        <v>1596</v>
      </c>
      <c r="C1101" s="70" t="s">
        <v>4413</v>
      </c>
      <c r="D1101" s="70" t="s">
        <v>1595</v>
      </c>
      <c r="E1101" s="70" t="s">
        <v>1594</v>
      </c>
      <c r="F1101" s="71">
        <v>67</v>
      </c>
      <c r="G1101" s="71">
        <v>5</v>
      </c>
      <c r="H1101" s="72">
        <v>0.11666666666666667</v>
      </c>
      <c r="I1101" s="71" t="b">
        <v>0</v>
      </c>
      <c r="J1101" s="71">
        <v>74</v>
      </c>
      <c r="K1101" s="71">
        <v>88</v>
      </c>
      <c r="L1101" s="71">
        <v>95</v>
      </c>
      <c r="M1101" s="71">
        <v>3</v>
      </c>
      <c r="N1101" s="71">
        <v>19</v>
      </c>
      <c r="O1101" s="71">
        <v>0</v>
      </c>
      <c r="P1101" s="71">
        <v>6</v>
      </c>
      <c r="Q1101" s="71">
        <v>97</v>
      </c>
      <c r="R1101" s="71">
        <v>140</v>
      </c>
      <c r="S1101" s="71" t="s">
        <v>534</v>
      </c>
      <c r="T1101" s="73">
        <v>45786</v>
      </c>
      <c r="U1101" s="71" t="s">
        <v>3970</v>
      </c>
      <c r="V1101" s="71" t="b">
        <v>0</v>
      </c>
    </row>
    <row r="1102" spans="1:22" ht="17.25">
      <c r="A1102" s="70">
        <v>791</v>
      </c>
      <c r="B1102" s="70" t="s">
        <v>1596</v>
      </c>
      <c r="C1102" s="70" t="s">
        <v>4755</v>
      </c>
      <c r="D1102" s="70" t="s">
        <v>1595</v>
      </c>
      <c r="E1102" s="70" t="s">
        <v>1594</v>
      </c>
      <c r="F1102" s="71">
        <v>67</v>
      </c>
      <c r="G1102" s="71">
        <v>5</v>
      </c>
      <c r="H1102" s="72">
        <v>0.11666666666666667</v>
      </c>
      <c r="I1102" s="71" t="b">
        <v>0</v>
      </c>
      <c r="J1102" s="71">
        <v>74</v>
      </c>
      <c r="K1102" s="71">
        <v>88</v>
      </c>
      <c r="L1102" s="71">
        <v>95</v>
      </c>
      <c r="M1102" s="71">
        <v>3</v>
      </c>
      <c r="N1102" s="71">
        <v>19</v>
      </c>
      <c r="O1102" s="71">
        <v>0</v>
      </c>
      <c r="P1102" s="71">
        <v>6</v>
      </c>
      <c r="Q1102" s="71">
        <v>97</v>
      </c>
      <c r="R1102" s="71">
        <v>140</v>
      </c>
      <c r="S1102" s="71" t="s">
        <v>534</v>
      </c>
      <c r="T1102" s="73">
        <v>45786</v>
      </c>
      <c r="U1102" s="71" t="s">
        <v>3970</v>
      </c>
      <c r="V1102" s="71" t="b">
        <v>0</v>
      </c>
    </row>
    <row r="1103" spans="1:22" ht="17.25">
      <c r="A1103" s="70">
        <v>791</v>
      </c>
      <c r="B1103" s="70" t="s">
        <v>1596</v>
      </c>
      <c r="C1103" s="70" t="s">
        <v>4756</v>
      </c>
      <c r="D1103" s="70" t="s">
        <v>1595</v>
      </c>
      <c r="E1103" s="70" t="s">
        <v>1594</v>
      </c>
      <c r="F1103" s="71">
        <v>67</v>
      </c>
      <c r="G1103" s="71">
        <v>5</v>
      </c>
      <c r="H1103" s="72">
        <v>0.11666666666666667</v>
      </c>
      <c r="I1103" s="71" t="b">
        <v>0</v>
      </c>
      <c r="J1103" s="71">
        <v>74</v>
      </c>
      <c r="K1103" s="71">
        <v>88</v>
      </c>
      <c r="L1103" s="71">
        <v>95</v>
      </c>
      <c r="M1103" s="71">
        <v>3</v>
      </c>
      <c r="N1103" s="71">
        <v>19</v>
      </c>
      <c r="O1103" s="71">
        <v>0</v>
      </c>
      <c r="P1103" s="71">
        <v>6</v>
      </c>
      <c r="Q1103" s="71">
        <v>97</v>
      </c>
      <c r="R1103" s="71">
        <v>140</v>
      </c>
      <c r="S1103" s="71" t="s">
        <v>534</v>
      </c>
      <c r="T1103" s="73">
        <v>45786</v>
      </c>
      <c r="U1103" s="71" t="s">
        <v>3970</v>
      </c>
      <c r="V1103" s="71" t="b">
        <v>0</v>
      </c>
    </row>
    <row r="1104" spans="1:22" ht="17.25">
      <c r="A1104" s="70">
        <v>792</v>
      </c>
      <c r="B1104" s="70" t="s">
        <v>1593</v>
      </c>
      <c r="C1104" s="70" t="s">
        <v>1112</v>
      </c>
      <c r="D1104" s="70" t="s">
        <v>1592</v>
      </c>
      <c r="E1104" s="70" t="s">
        <v>1110</v>
      </c>
      <c r="F1104" s="71">
        <v>150</v>
      </c>
      <c r="G1104" s="71">
        <v>1</v>
      </c>
      <c r="H1104" s="72" t="s">
        <v>4361</v>
      </c>
      <c r="I1104" s="71" t="b">
        <v>0</v>
      </c>
      <c r="J1104" s="71">
        <v>52</v>
      </c>
      <c r="K1104" s="71">
        <v>50</v>
      </c>
      <c r="L1104" s="71">
        <v>70</v>
      </c>
      <c r="M1104" s="71">
        <v>4</v>
      </c>
      <c r="N1104" s="71">
        <v>61</v>
      </c>
      <c r="O1104" s="71">
        <v>3</v>
      </c>
      <c r="P1104" s="71">
        <v>10</v>
      </c>
      <c r="Q1104" s="71">
        <v>30</v>
      </c>
      <c r="R1104" s="71">
        <v>115</v>
      </c>
      <c r="S1104" s="71" t="s">
        <v>1109</v>
      </c>
      <c r="T1104" s="73" t="s">
        <v>4392</v>
      </c>
      <c r="U1104" s="71" t="s">
        <v>3971</v>
      </c>
      <c r="V1104" s="71" t="b">
        <v>0</v>
      </c>
    </row>
    <row r="1105" spans="1:22" ht="17.25">
      <c r="A1105" s="70">
        <v>793</v>
      </c>
      <c r="B1105" s="70" t="s">
        <v>1591</v>
      </c>
      <c r="C1105" s="70" t="s">
        <v>318</v>
      </c>
      <c r="D1105" s="70" t="s">
        <v>1590</v>
      </c>
      <c r="E1105" s="70" t="s">
        <v>316</v>
      </c>
      <c r="F1105" s="71">
        <v>11</v>
      </c>
      <c r="G1105" s="71">
        <v>5</v>
      </c>
      <c r="H1105" s="72" t="s">
        <v>4317</v>
      </c>
      <c r="I1105" s="71" t="b">
        <v>0</v>
      </c>
      <c r="J1105" s="71">
        <v>68</v>
      </c>
      <c r="K1105" s="71">
        <v>61</v>
      </c>
      <c r="L1105" s="71">
        <v>73</v>
      </c>
      <c r="M1105" s="71">
        <v>5</v>
      </c>
      <c r="N1105" s="71">
        <v>33</v>
      </c>
      <c r="O1105" s="71">
        <v>0</v>
      </c>
      <c r="P1105" s="71">
        <v>12</v>
      </c>
      <c r="Q1105" s="71">
        <v>52</v>
      </c>
      <c r="R1105" s="71">
        <v>144</v>
      </c>
      <c r="S1105" s="71" t="s">
        <v>74</v>
      </c>
      <c r="T1105" s="73" t="s">
        <v>4327</v>
      </c>
      <c r="U1105" s="71" t="s">
        <v>3972</v>
      </c>
      <c r="V1105" s="71" t="b">
        <v>0</v>
      </c>
    </row>
    <row r="1106" spans="1:22" ht="17.25">
      <c r="A1106" s="70">
        <v>794</v>
      </c>
      <c r="B1106" s="70" t="s">
        <v>1589</v>
      </c>
      <c r="C1106" s="70" t="s">
        <v>1260</v>
      </c>
      <c r="D1106" s="70" t="s">
        <v>1588</v>
      </c>
      <c r="E1106" s="70" t="s">
        <v>349</v>
      </c>
      <c r="F1106" s="71">
        <v>124</v>
      </c>
      <c r="G1106" s="71">
        <v>1</v>
      </c>
      <c r="H1106" s="72" t="s">
        <v>4320</v>
      </c>
      <c r="I1106" s="71" t="b">
        <v>1</v>
      </c>
      <c r="J1106" s="71">
        <v>68</v>
      </c>
      <c r="K1106" s="71">
        <v>49</v>
      </c>
      <c r="L1106" s="71">
        <v>71</v>
      </c>
      <c r="M1106" s="71">
        <v>8</v>
      </c>
      <c r="N1106" s="71">
        <v>45</v>
      </c>
      <c r="O1106" s="71">
        <v>0</v>
      </c>
      <c r="P1106" s="71">
        <v>10</v>
      </c>
      <c r="Q1106" s="71">
        <v>36</v>
      </c>
      <c r="R1106" s="71">
        <v>88</v>
      </c>
      <c r="S1106" s="71" t="s">
        <v>26</v>
      </c>
      <c r="T1106" s="73" t="s">
        <v>4385</v>
      </c>
      <c r="U1106" s="71" t="s">
        <v>3586</v>
      </c>
      <c r="V1106" s="71" t="b">
        <v>0</v>
      </c>
    </row>
    <row r="1107" spans="1:22" ht="17.25">
      <c r="A1107" s="70">
        <v>796</v>
      </c>
      <c r="B1107" s="70" t="s">
        <v>1584</v>
      </c>
      <c r="C1107" s="70" t="s">
        <v>570</v>
      </c>
      <c r="D1107" s="70" t="s">
        <v>1583</v>
      </c>
      <c r="E1107" s="70" t="s">
        <v>568</v>
      </c>
      <c r="F1107" s="71">
        <v>18</v>
      </c>
      <c r="G1107" s="71">
        <v>12</v>
      </c>
      <c r="H1107" s="72" t="s">
        <v>4317</v>
      </c>
      <c r="I1107" s="71" t="b">
        <v>0</v>
      </c>
      <c r="J1107" s="71">
        <v>82</v>
      </c>
      <c r="K1107" s="71">
        <v>76</v>
      </c>
      <c r="L1107" s="71">
        <v>75</v>
      </c>
      <c r="M1107" s="71">
        <v>7</v>
      </c>
      <c r="N1107" s="71">
        <v>14</v>
      </c>
      <c r="O1107" s="71">
        <v>0</v>
      </c>
      <c r="P1107" s="71">
        <v>12</v>
      </c>
      <c r="Q1107" s="71">
        <v>74</v>
      </c>
      <c r="R1107" s="71">
        <v>120</v>
      </c>
      <c r="S1107" s="71" t="s">
        <v>115</v>
      </c>
      <c r="T1107" s="73" t="s">
        <v>4354</v>
      </c>
      <c r="U1107" s="71" t="s">
        <v>3973</v>
      </c>
      <c r="V1107" s="71" t="b">
        <v>0</v>
      </c>
    </row>
    <row r="1108" spans="1:22" ht="17.25">
      <c r="A1108" s="70">
        <v>797</v>
      </c>
      <c r="B1108" s="70" t="s">
        <v>1582</v>
      </c>
      <c r="C1108" s="70" t="s">
        <v>1580</v>
      </c>
      <c r="D1108" s="70" t="s">
        <v>1581</v>
      </c>
      <c r="E1108" s="70" t="s">
        <v>1580</v>
      </c>
      <c r="F1108" s="71">
        <v>151</v>
      </c>
      <c r="G1108" s="71">
        <v>3</v>
      </c>
      <c r="H1108" s="72" t="s">
        <v>4320</v>
      </c>
      <c r="I1108" s="71" t="b">
        <v>0</v>
      </c>
      <c r="J1108" s="71">
        <v>62</v>
      </c>
      <c r="K1108" s="71">
        <v>46</v>
      </c>
      <c r="L1108" s="71">
        <v>70</v>
      </c>
      <c r="M1108" s="71">
        <v>4</v>
      </c>
      <c r="N1108" s="71">
        <v>64</v>
      </c>
      <c r="O1108" s="71">
        <v>0</v>
      </c>
      <c r="P1108" s="71">
        <v>12</v>
      </c>
      <c r="Q1108" s="71">
        <v>44</v>
      </c>
      <c r="R1108" s="71">
        <v>92</v>
      </c>
      <c r="S1108" s="71" t="s">
        <v>1497</v>
      </c>
      <c r="T1108" s="73" t="s">
        <v>4388</v>
      </c>
      <c r="U1108" s="71" t="s">
        <v>3974</v>
      </c>
      <c r="V1108" s="71" t="b">
        <v>0</v>
      </c>
    </row>
    <row r="1109" spans="1:22" ht="17.25">
      <c r="A1109" s="70">
        <v>797</v>
      </c>
      <c r="B1109" s="70" t="s">
        <v>1582</v>
      </c>
      <c r="C1109" s="70" t="s">
        <v>4757</v>
      </c>
      <c r="D1109" s="70" t="s">
        <v>1581</v>
      </c>
      <c r="E1109" s="70" t="s">
        <v>1580</v>
      </c>
      <c r="F1109" s="71">
        <v>151</v>
      </c>
      <c r="G1109" s="71">
        <v>3</v>
      </c>
      <c r="H1109" s="72" t="s">
        <v>4320</v>
      </c>
      <c r="I1109" s="71" t="b">
        <v>0</v>
      </c>
      <c r="J1109" s="71">
        <v>62</v>
      </c>
      <c r="K1109" s="71">
        <v>46</v>
      </c>
      <c r="L1109" s="71">
        <v>70</v>
      </c>
      <c r="M1109" s="71">
        <v>4</v>
      </c>
      <c r="N1109" s="71">
        <v>64</v>
      </c>
      <c r="O1109" s="71">
        <v>0</v>
      </c>
      <c r="P1109" s="71">
        <v>12</v>
      </c>
      <c r="Q1109" s="71">
        <v>44</v>
      </c>
      <c r="R1109" s="71">
        <v>92</v>
      </c>
      <c r="S1109" s="71" t="s">
        <v>1497</v>
      </c>
      <c r="T1109" s="73" t="s">
        <v>4388</v>
      </c>
      <c r="U1109" s="71" t="s">
        <v>3974</v>
      </c>
      <c r="V1109" s="71" t="b">
        <v>0</v>
      </c>
    </row>
    <row r="1110" spans="1:22" ht="17.25">
      <c r="A1110" s="70">
        <v>798</v>
      </c>
      <c r="B1110" s="70" t="s">
        <v>1579</v>
      </c>
      <c r="C1110" s="70" t="s">
        <v>1613</v>
      </c>
      <c r="D1110" s="70" t="s">
        <v>1578</v>
      </c>
      <c r="E1110" s="70" t="s">
        <v>327</v>
      </c>
      <c r="F1110" s="71">
        <v>94</v>
      </c>
      <c r="G1110" s="71">
        <v>1</v>
      </c>
      <c r="H1110" s="72" t="s">
        <v>4320</v>
      </c>
      <c r="I1110" s="71" t="b">
        <v>1</v>
      </c>
      <c r="J1110" s="71">
        <v>65</v>
      </c>
      <c r="K1110" s="71">
        <v>71</v>
      </c>
      <c r="L1110" s="71">
        <v>74</v>
      </c>
      <c r="M1110" s="71">
        <v>10</v>
      </c>
      <c r="N1110" s="71">
        <v>12</v>
      </c>
      <c r="O1110" s="71">
        <v>0</v>
      </c>
      <c r="P1110" s="71">
        <v>19</v>
      </c>
      <c r="Q1110" s="71">
        <v>48</v>
      </c>
      <c r="R1110" s="71">
        <v>140</v>
      </c>
      <c r="S1110" s="71" t="s">
        <v>48</v>
      </c>
      <c r="T1110" s="73" t="s">
        <v>4337</v>
      </c>
      <c r="U1110" s="71" t="s">
        <v>3760</v>
      </c>
      <c r="V1110" s="71" t="b">
        <v>0</v>
      </c>
    </row>
    <row r="1111" spans="1:22" ht="17.25">
      <c r="A1111" s="70">
        <v>798</v>
      </c>
      <c r="B1111" s="70" t="s">
        <v>1579</v>
      </c>
      <c r="C1111" s="70" t="s">
        <v>4678</v>
      </c>
      <c r="D1111" s="70" t="s">
        <v>1578</v>
      </c>
      <c r="E1111" s="70" t="s">
        <v>327</v>
      </c>
      <c r="F1111" s="71">
        <v>94</v>
      </c>
      <c r="G1111" s="71">
        <v>1</v>
      </c>
      <c r="H1111" s="72" t="s">
        <v>4320</v>
      </c>
      <c r="I1111" s="71" t="b">
        <v>1</v>
      </c>
      <c r="J1111" s="71">
        <v>65</v>
      </c>
      <c r="K1111" s="71">
        <v>71</v>
      </c>
      <c r="L1111" s="71">
        <v>74</v>
      </c>
      <c r="M1111" s="71">
        <v>10</v>
      </c>
      <c r="N1111" s="71">
        <v>12</v>
      </c>
      <c r="O1111" s="71">
        <v>0</v>
      </c>
      <c r="P1111" s="71">
        <v>19</v>
      </c>
      <c r="Q1111" s="71">
        <v>48</v>
      </c>
      <c r="R1111" s="71">
        <v>140</v>
      </c>
      <c r="S1111" s="71" t="s">
        <v>48</v>
      </c>
      <c r="T1111" s="73" t="s">
        <v>4337</v>
      </c>
      <c r="U1111" s="71" t="s">
        <v>3760</v>
      </c>
      <c r="V1111" s="71" t="b">
        <v>0</v>
      </c>
    </row>
    <row r="1112" spans="1:22" ht="17.25">
      <c r="A1112" s="70">
        <v>799</v>
      </c>
      <c r="B1112" s="70" t="s">
        <v>1577</v>
      </c>
      <c r="C1112" s="70" t="s">
        <v>1112</v>
      </c>
      <c r="D1112" s="70" t="s">
        <v>1576</v>
      </c>
      <c r="E1112" s="70" t="s">
        <v>1110</v>
      </c>
      <c r="F1112" s="71">
        <v>169</v>
      </c>
      <c r="G1112" s="71">
        <v>1</v>
      </c>
      <c r="H1112" s="72" t="s">
        <v>4373</v>
      </c>
      <c r="I1112" s="71" t="b">
        <v>0</v>
      </c>
      <c r="J1112" s="71">
        <v>58</v>
      </c>
      <c r="K1112" s="71">
        <v>54</v>
      </c>
      <c r="L1112" s="71">
        <v>71</v>
      </c>
      <c r="M1112" s="71">
        <v>4</v>
      </c>
      <c r="N1112" s="71">
        <v>54</v>
      </c>
      <c r="O1112" s="71">
        <v>2</v>
      </c>
      <c r="P1112" s="71">
        <v>13</v>
      </c>
      <c r="Q1112" s="71">
        <v>38</v>
      </c>
      <c r="R1112" s="71">
        <v>94</v>
      </c>
      <c r="S1112" s="71" t="s">
        <v>1109</v>
      </c>
      <c r="T1112" s="73" t="s">
        <v>4392</v>
      </c>
      <c r="U1112" s="71" t="s">
        <v>3971</v>
      </c>
      <c r="V1112" s="71" t="b">
        <v>0</v>
      </c>
    </row>
    <row r="1113" spans="1:22" ht="17.25">
      <c r="A1113" s="70">
        <v>801</v>
      </c>
      <c r="B1113" s="70" t="s">
        <v>1575</v>
      </c>
      <c r="C1113" s="70" t="s">
        <v>131</v>
      </c>
      <c r="D1113" s="70" t="s">
        <v>1574</v>
      </c>
      <c r="E1113" s="70" t="s">
        <v>129</v>
      </c>
      <c r="F1113" s="71">
        <v>19</v>
      </c>
      <c r="G1113" s="71">
        <v>29</v>
      </c>
      <c r="H1113" s="72">
        <v>0.11666666666666667</v>
      </c>
      <c r="I1113" s="71" t="b">
        <v>1</v>
      </c>
      <c r="J1113" s="71">
        <v>33</v>
      </c>
      <c r="K1113" s="71">
        <v>12</v>
      </c>
      <c r="L1113" s="71">
        <v>46</v>
      </c>
      <c r="M1113" s="71">
        <v>15</v>
      </c>
      <c r="N1113" s="71">
        <v>70</v>
      </c>
      <c r="O1113" s="71">
        <v>71</v>
      </c>
      <c r="P1113" s="71">
        <v>18</v>
      </c>
      <c r="Q1113" s="71">
        <v>31</v>
      </c>
      <c r="R1113" s="71">
        <v>107</v>
      </c>
      <c r="S1113" s="71" t="s">
        <v>128</v>
      </c>
      <c r="T1113" s="73">
        <v>45662</v>
      </c>
      <c r="U1113" s="71" t="s">
        <v>3505</v>
      </c>
      <c r="V1113" s="71" t="b">
        <v>0</v>
      </c>
    </row>
    <row r="1114" spans="1:22" ht="17.25">
      <c r="A1114" s="70">
        <v>802</v>
      </c>
      <c r="B1114" s="70" t="s">
        <v>1573</v>
      </c>
      <c r="C1114" s="70" t="s">
        <v>570</v>
      </c>
      <c r="D1114" s="70" t="s">
        <v>569</v>
      </c>
      <c r="E1114" s="70" t="s">
        <v>568</v>
      </c>
      <c r="F1114" s="71">
        <v>18</v>
      </c>
      <c r="G1114" s="71">
        <v>7</v>
      </c>
      <c r="H1114" s="72" t="s">
        <v>4317</v>
      </c>
      <c r="I1114" s="71" t="b">
        <v>0</v>
      </c>
      <c r="J1114" s="71">
        <v>82</v>
      </c>
      <c r="K1114" s="71">
        <v>74</v>
      </c>
      <c r="L1114" s="71">
        <v>75</v>
      </c>
      <c r="M1114" s="71">
        <v>8</v>
      </c>
      <c r="N1114" s="71">
        <v>12</v>
      </c>
      <c r="O1114" s="71">
        <v>0</v>
      </c>
      <c r="P1114" s="71">
        <v>15</v>
      </c>
      <c r="Q1114" s="71">
        <v>78</v>
      </c>
      <c r="R1114" s="71">
        <v>122</v>
      </c>
      <c r="S1114" s="71" t="s">
        <v>115</v>
      </c>
      <c r="T1114" s="73" t="s">
        <v>4372</v>
      </c>
      <c r="U1114" s="71" t="s">
        <v>3975</v>
      </c>
      <c r="V1114" s="71" t="b">
        <v>0</v>
      </c>
    </row>
    <row r="1115" spans="1:22" ht="17.25">
      <c r="A1115" s="70">
        <v>803</v>
      </c>
      <c r="B1115" s="70" t="s">
        <v>1572</v>
      </c>
      <c r="C1115" s="70" t="s">
        <v>1570</v>
      </c>
      <c r="D1115" s="70" t="s">
        <v>1571</v>
      </c>
      <c r="E1115" s="70" t="s">
        <v>1570</v>
      </c>
      <c r="F1115" s="71">
        <v>29</v>
      </c>
      <c r="G1115" s="71">
        <v>163</v>
      </c>
      <c r="H1115" s="72">
        <v>0.13680555555555557</v>
      </c>
      <c r="I1115" s="71" t="b">
        <v>0</v>
      </c>
      <c r="J1115" s="71">
        <v>75</v>
      </c>
      <c r="K1115" s="71">
        <v>50</v>
      </c>
      <c r="L1115" s="71">
        <v>87</v>
      </c>
      <c r="M1115" s="71">
        <v>26</v>
      </c>
      <c r="N1115" s="71">
        <v>53</v>
      </c>
      <c r="O1115" s="71">
        <v>0</v>
      </c>
      <c r="P1115" s="71">
        <v>10</v>
      </c>
      <c r="Q1115" s="71">
        <v>42</v>
      </c>
      <c r="R1115" s="71">
        <v>92</v>
      </c>
      <c r="S1115" s="71" t="s">
        <v>96</v>
      </c>
      <c r="T1115" s="73">
        <v>42874</v>
      </c>
      <c r="U1115" s="71" t="s">
        <v>3976</v>
      </c>
      <c r="V1115" s="71" t="b">
        <v>0</v>
      </c>
    </row>
    <row r="1116" spans="1:22" ht="17.25">
      <c r="A1116" s="70">
        <v>804</v>
      </c>
      <c r="B1116" s="70" t="s">
        <v>1569</v>
      </c>
      <c r="C1116" s="70" t="s">
        <v>131</v>
      </c>
      <c r="D1116" s="70" t="s">
        <v>1568</v>
      </c>
      <c r="E1116" s="70" t="s">
        <v>129</v>
      </c>
      <c r="F1116" s="71">
        <v>1</v>
      </c>
      <c r="G1116" s="71">
        <v>25</v>
      </c>
      <c r="H1116" s="72">
        <v>0.17847222222222223</v>
      </c>
      <c r="I1116" s="71" t="b">
        <v>1</v>
      </c>
      <c r="J1116" s="71">
        <v>79</v>
      </c>
      <c r="K1116" s="71">
        <v>62</v>
      </c>
      <c r="L1116" s="71">
        <v>92</v>
      </c>
      <c r="M1116" s="71">
        <v>7</v>
      </c>
      <c r="N1116" s="71">
        <v>15</v>
      </c>
      <c r="O1116" s="71">
        <v>0</v>
      </c>
      <c r="P1116" s="71">
        <v>58</v>
      </c>
      <c r="Q1116" s="71">
        <v>13</v>
      </c>
      <c r="R1116" s="71">
        <v>139</v>
      </c>
      <c r="S1116" s="71" t="s">
        <v>128</v>
      </c>
      <c r="T1116" s="73">
        <v>45212</v>
      </c>
      <c r="U1116" s="71" t="s">
        <v>3977</v>
      </c>
      <c r="V1116" s="71" t="b">
        <v>0</v>
      </c>
    </row>
    <row r="1117" spans="1:22" ht="17.25">
      <c r="A1117" s="70">
        <v>805</v>
      </c>
      <c r="B1117" s="70" t="s">
        <v>1567</v>
      </c>
      <c r="C1117" s="70" t="s">
        <v>1566</v>
      </c>
      <c r="D1117" s="70" t="s">
        <v>1565</v>
      </c>
      <c r="E1117" s="70" t="s">
        <v>104</v>
      </c>
      <c r="F1117" s="71">
        <v>98</v>
      </c>
      <c r="G1117" s="71">
        <v>9</v>
      </c>
      <c r="H1117" s="72">
        <v>9.8611111111111108E-2</v>
      </c>
      <c r="I1117" s="71" t="b">
        <v>0</v>
      </c>
      <c r="J1117" s="71">
        <v>52</v>
      </c>
      <c r="K1117" s="71">
        <v>48</v>
      </c>
      <c r="L1117" s="71">
        <v>72</v>
      </c>
      <c r="M1117" s="71">
        <v>3</v>
      </c>
      <c r="N1117" s="71">
        <v>55</v>
      </c>
      <c r="O1117" s="71">
        <v>0</v>
      </c>
      <c r="P1117" s="71">
        <v>15</v>
      </c>
      <c r="Q1117" s="71">
        <v>68</v>
      </c>
      <c r="R1117" s="71">
        <v>115</v>
      </c>
      <c r="S1117" s="71" t="s">
        <v>29</v>
      </c>
      <c r="T1117" s="73">
        <v>21855</v>
      </c>
      <c r="U1117" s="71" t="s">
        <v>3741</v>
      </c>
      <c r="V1117" s="71" t="b">
        <v>1</v>
      </c>
    </row>
    <row r="1118" spans="1:22" ht="17.25">
      <c r="A1118" s="70">
        <v>806</v>
      </c>
      <c r="B1118" s="70" t="s">
        <v>1564</v>
      </c>
      <c r="C1118" s="70" t="s">
        <v>131</v>
      </c>
      <c r="D1118" s="70" t="s">
        <v>1563</v>
      </c>
      <c r="E1118" s="70" t="s">
        <v>129</v>
      </c>
      <c r="F1118" s="71">
        <v>1</v>
      </c>
      <c r="G1118" s="71">
        <v>109</v>
      </c>
      <c r="H1118" s="72">
        <v>0.1423611111111111</v>
      </c>
      <c r="I1118" s="71" t="b">
        <v>1</v>
      </c>
      <c r="J1118" s="71">
        <v>73</v>
      </c>
      <c r="K1118" s="71">
        <v>57</v>
      </c>
      <c r="L1118" s="71">
        <v>83</v>
      </c>
      <c r="M1118" s="71">
        <v>5</v>
      </c>
      <c r="N1118" s="71">
        <v>40</v>
      </c>
      <c r="O1118" s="71">
        <v>0</v>
      </c>
      <c r="P1118" s="71">
        <v>11</v>
      </c>
      <c r="Q1118" s="71">
        <v>14</v>
      </c>
      <c r="R1118" s="71">
        <v>110</v>
      </c>
      <c r="S1118" s="71" t="s">
        <v>128</v>
      </c>
      <c r="T1118" s="73">
        <v>44161</v>
      </c>
      <c r="U1118" s="71" t="s">
        <v>3978</v>
      </c>
      <c r="V1118" s="71" t="b">
        <v>0</v>
      </c>
    </row>
    <row r="1119" spans="1:22" ht="17.25">
      <c r="A1119" s="70">
        <v>806</v>
      </c>
      <c r="B1119" s="70" t="s">
        <v>1564</v>
      </c>
      <c r="C1119" s="70" t="s">
        <v>4758</v>
      </c>
      <c r="D1119" s="70" t="s">
        <v>1563</v>
      </c>
      <c r="E1119" s="70" t="s">
        <v>129</v>
      </c>
      <c r="F1119" s="71">
        <v>1</v>
      </c>
      <c r="G1119" s="71">
        <v>109</v>
      </c>
      <c r="H1119" s="72">
        <v>0.1423611111111111</v>
      </c>
      <c r="I1119" s="71" t="b">
        <v>1</v>
      </c>
      <c r="J1119" s="71">
        <v>73</v>
      </c>
      <c r="K1119" s="71">
        <v>57</v>
      </c>
      <c r="L1119" s="71">
        <v>83</v>
      </c>
      <c r="M1119" s="71">
        <v>5</v>
      </c>
      <c r="N1119" s="71">
        <v>40</v>
      </c>
      <c r="O1119" s="71">
        <v>0</v>
      </c>
      <c r="P1119" s="71">
        <v>11</v>
      </c>
      <c r="Q1119" s="71">
        <v>14</v>
      </c>
      <c r="R1119" s="71">
        <v>110</v>
      </c>
      <c r="S1119" s="71" t="s">
        <v>128</v>
      </c>
      <c r="T1119" s="73">
        <v>44161</v>
      </c>
      <c r="U1119" s="71" t="s">
        <v>3978</v>
      </c>
      <c r="V1119" s="71" t="b">
        <v>0</v>
      </c>
    </row>
    <row r="1120" spans="1:22" ht="17.25">
      <c r="A1120" s="70">
        <v>807</v>
      </c>
      <c r="B1120" s="70" t="s">
        <v>1562</v>
      </c>
      <c r="C1120" s="70" t="s">
        <v>4410</v>
      </c>
      <c r="D1120" s="70" t="s">
        <v>1561</v>
      </c>
      <c r="E1120" s="70" t="s">
        <v>188</v>
      </c>
      <c r="F1120" s="71">
        <v>59</v>
      </c>
      <c r="G1120" s="71">
        <v>13</v>
      </c>
      <c r="H1120" s="72">
        <v>0.12847222222222221</v>
      </c>
      <c r="I1120" s="71" t="b">
        <v>1</v>
      </c>
      <c r="J1120" s="71">
        <v>77</v>
      </c>
      <c r="K1120" s="71">
        <v>77</v>
      </c>
      <c r="L1120" s="71">
        <v>92</v>
      </c>
      <c r="M1120" s="71">
        <v>5</v>
      </c>
      <c r="N1120" s="71">
        <v>15</v>
      </c>
      <c r="O1120" s="71">
        <v>0</v>
      </c>
      <c r="P1120" s="71">
        <v>7</v>
      </c>
      <c r="Q1120" s="71">
        <v>80</v>
      </c>
      <c r="R1120" s="71">
        <v>133</v>
      </c>
      <c r="S1120" s="71" t="s">
        <v>61</v>
      </c>
      <c r="T1120" s="73">
        <v>45793</v>
      </c>
      <c r="U1120" s="71" t="s">
        <v>3436</v>
      </c>
      <c r="V1120" s="71" t="b">
        <v>0</v>
      </c>
    </row>
    <row r="1121" spans="1:22" ht="17.25">
      <c r="A1121" s="70">
        <v>807</v>
      </c>
      <c r="B1121" s="70" t="s">
        <v>1562</v>
      </c>
      <c r="C1121" s="70" t="s">
        <v>419</v>
      </c>
      <c r="D1121" s="70" t="s">
        <v>1561</v>
      </c>
      <c r="E1121" s="70" t="s">
        <v>188</v>
      </c>
      <c r="F1121" s="71">
        <v>59</v>
      </c>
      <c r="G1121" s="71">
        <v>13</v>
      </c>
      <c r="H1121" s="72">
        <v>0.12847222222222221</v>
      </c>
      <c r="I1121" s="71" t="b">
        <v>1</v>
      </c>
      <c r="J1121" s="71">
        <v>77</v>
      </c>
      <c r="K1121" s="71">
        <v>77</v>
      </c>
      <c r="L1121" s="71">
        <v>92</v>
      </c>
      <c r="M1121" s="71">
        <v>5</v>
      </c>
      <c r="N1121" s="71">
        <v>15</v>
      </c>
      <c r="O1121" s="71">
        <v>0</v>
      </c>
      <c r="P1121" s="71">
        <v>7</v>
      </c>
      <c r="Q1121" s="71">
        <v>80</v>
      </c>
      <c r="R1121" s="71">
        <v>133</v>
      </c>
      <c r="S1121" s="71" t="s">
        <v>61</v>
      </c>
      <c r="T1121" s="73">
        <v>45793</v>
      </c>
      <c r="U1121" s="71" t="s">
        <v>3436</v>
      </c>
      <c r="V1121" s="71" t="b">
        <v>0</v>
      </c>
    </row>
    <row r="1122" spans="1:22" ht="17.25">
      <c r="A1122" s="70">
        <v>808</v>
      </c>
      <c r="B1122" s="70" t="s">
        <v>1560</v>
      </c>
      <c r="C1122" s="70" t="s">
        <v>4504</v>
      </c>
      <c r="D1122" s="70" t="s">
        <v>1559</v>
      </c>
      <c r="E1122" s="70" t="s">
        <v>1558</v>
      </c>
      <c r="F1122" s="71">
        <v>127</v>
      </c>
      <c r="G1122" s="71">
        <v>2</v>
      </c>
      <c r="H1122" s="72">
        <v>0.12847222222222221</v>
      </c>
      <c r="I1122" s="71" t="b">
        <v>1</v>
      </c>
      <c r="J1122" s="71">
        <v>75</v>
      </c>
      <c r="K1122" s="71">
        <v>74</v>
      </c>
      <c r="L1122" s="71">
        <v>94</v>
      </c>
      <c r="M1122" s="71">
        <v>4</v>
      </c>
      <c r="N1122" s="71">
        <v>3</v>
      </c>
      <c r="O1122" s="71">
        <v>0</v>
      </c>
      <c r="P1122" s="71">
        <v>9</v>
      </c>
      <c r="Q1122" s="71">
        <v>62</v>
      </c>
      <c r="R1122" s="71">
        <v>118</v>
      </c>
      <c r="S1122" s="71" t="s">
        <v>61</v>
      </c>
      <c r="T1122" s="73">
        <v>45772</v>
      </c>
      <c r="U1122" s="71" t="s">
        <v>3979</v>
      </c>
      <c r="V1122" s="71" t="b">
        <v>0</v>
      </c>
    </row>
    <row r="1123" spans="1:22" ht="17.25">
      <c r="A1123" s="70">
        <v>808</v>
      </c>
      <c r="B1123" s="70" t="s">
        <v>1560</v>
      </c>
      <c r="C1123" s="70" t="s">
        <v>4505</v>
      </c>
      <c r="D1123" s="70" t="s">
        <v>1559</v>
      </c>
      <c r="E1123" s="70" t="s">
        <v>1558</v>
      </c>
      <c r="F1123" s="71">
        <v>127</v>
      </c>
      <c r="G1123" s="71">
        <v>2</v>
      </c>
      <c r="H1123" s="72">
        <v>0.12847222222222221</v>
      </c>
      <c r="I1123" s="71" t="b">
        <v>1</v>
      </c>
      <c r="J1123" s="71">
        <v>75</v>
      </c>
      <c r="K1123" s="71">
        <v>74</v>
      </c>
      <c r="L1123" s="71">
        <v>94</v>
      </c>
      <c r="M1123" s="71">
        <v>4</v>
      </c>
      <c r="N1123" s="71">
        <v>3</v>
      </c>
      <c r="O1123" s="71">
        <v>0</v>
      </c>
      <c r="P1123" s="71">
        <v>9</v>
      </c>
      <c r="Q1123" s="71">
        <v>62</v>
      </c>
      <c r="R1123" s="71">
        <v>118</v>
      </c>
      <c r="S1123" s="71" t="s">
        <v>61</v>
      </c>
      <c r="T1123" s="73">
        <v>45772</v>
      </c>
      <c r="U1123" s="71" t="s">
        <v>3979</v>
      </c>
      <c r="V1123" s="71" t="b">
        <v>0</v>
      </c>
    </row>
    <row r="1124" spans="1:22" ht="17.25">
      <c r="A1124" s="70">
        <v>809</v>
      </c>
      <c r="B1124" s="70" t="s">
        <v>1557</v>
      </c>
      <c r="C1124" s="70" t="s">
        <v>1556</v>
      </c>
      <c r="D1124" s="70" t="s">
        <v>1555</v>
      </c>
      <c r="E1124" s="70" t="s">
        <v>1554</v>
      </c>
      <c r="F1124" s="71">
        <v>66</v>
      </c>
      <c r="G1124" s="71">
        <v>21</v>
      </c>
      <c r="H1124" s="72">
        <v>0.12847222222222221</v>
      </c>
      <c r="I1124" s="71" t="b">
        <v>1</v>
      </c>
      <c r="J1124" s="71">
        <v>80</v>
      </c>
      <c r="K1124" s="71">
        <v>75</v>
      </c>
      <c r="L1124" s="71">
        <v>80</v>
      </c>
      <c r="M1124" s="71">
        <v>10</v>
      </c>
      <c r="N1124" s="71">
        <v>12</v>
      </c>
      <c r="O1124" s="71">
        <v>0</v>
      </c>
      <c r="P1124" s="71">
        <v>12</v>
      </c>
      <c r="Q1124" s="71">
        <v>60</v>
      </c>
      <c r="R1124" s="71">
        <v>108</v>
      </c>
      <c r="S1124" s="71" t="s">
        <v>61</v>
      </c>
      <c r="T1124" s="73">
        <v>45730</v>
      </c>
      <c r="U1124" s="71" t="s">
        <v>3980</v>
      </c>
      <c r="V1124" s="71" t="b">
        <v>0</v>
      </c>
    </row>
    <row r="1125" spans="1:22" ht="17.25">
      <c r="A1125" s="70">
        <v>810</v>
      </c>
      <c r="B1125" s="70" t="s">
        <v>1553</v>
      </c>
      <c r="C1125" s="70" t="s">
        <v>4505</v>
      </c>
      <c r="D1125" s="70" t="s">
        <v>1552</v>
      </c>
      <c r="E1125" s="70" t="s">
        <v>1020</v>
      </c>
      <c r="F1125" s="71">
        <v>44</v>
      </c>
      <c r="G1125" s="71">
        <v>21</v>
      </c>
      <c r="H1125" s="72">
        <v>0.12847222222222221</v>
      </c>
      <c r="I1125" s="71" t="b">
        <v>1</v>
      </c>
      <c r="J1125" s="71">
        <v>73</v>
      </c>
      <c r="K1125" s="71">
        <v>83</v>
      </c>
      <c r="L1125" s="71">
        <v>93</v>
      </c>
      <c r="M1125" s="71">
        <v>6</v>
      </c>
      <c r="N1125" s="71">
        <v>12</v>
      </c>
      <c r="O1125" s="71">
        <v>0</v>
      </c>
      <c r="P1125" s="71">
        <v>12</v>
      </c>
      <c r="Q1125" s="71">
        <v>58</v>
      </c>
      <c r="R1125" s="71">
        <v>105</v>
      </c>
      <c r="S1125" s="71" t="s">
        <v>61</v>
      </c>
      <c r="T1125" s="73">
        <v>45779</v>
      </c>
      <c r="U1125" s="71" t="s">
        <v>3981</v>
      </c>
      <c r="V1125" s="71" t="b">
        <v>0</v>
      </c>
    </row>
    <row r="1126" spans="1:22" ht="17.25">
      <c r="A1126" s="70">
        <v>810</v>
      </c>
      <c r="B1126" s="70" t="s">
        <v>1553</v>
      </c>
      <c r="C1126" s="70" t="s">
        <v>4435</v>
      </c>
      <c r="D1126" s="70" t="s">
        <v>1552</v>
      </c>
      <c r="E1126" s="70" t="s">
        <v>1020</v>
      </c>
      <c r="F1126" s="71">
        <v>44</v>
      </c>
      <c r="G1126" s="71">
        <v>21</v>
      </c>
      <c r="H1126" s="72">
        <v>0.12847222222222221</v>
      </c>
      <c r="I1126" s="71" t="b">
        <v>1</v>
      </c>
      <c r="J1126" s="71">
        <v>73</v>
      </c>
      <c r="K1126" s="71">
        <v>83</v>
      </c>
      <c r="L1126" s="71">
        <v>93</v>
      </c>
      <c r="M1126" s="71">
        <v>6</v>
      </c>
      <c r="N1126" s="71">
        <v>12</v>
      </c>
      <c r="O1126" s="71">
        <v>0</v>
      </c>
      <c r="P1126" s="71">
        <v>12</v>
      </c>
      <c r="Q1126" s="71">
        <v>58</v>
      </c>
      <c r="R1126" s="71">
        <v>105</v>
      </c>
      <c r="S1126" s="71" t="s">
        <v>61</v>
      </c>
      <c r="T1126" s="73">
        <v>45779</v>
      </c>
      <c r="U1126" s="71" t="s">
        <v>3981</v>
      </c>
      <c r="V1126" s="71" t="b">
        <v>0</v>
      </c>
    </row>
    <row r="1127" spans="1:22" ht="17.25">
      <c r="A1127" s="70">
        <v>810</v>
      </c>
      <c r="B1127" s="70" t="s">
        <v>1553</v>
      </c>
      <c r="C1127" s="70" t="s">
        <v>2055</v>
      </c>
      <c r="D1127" s="70" t="s">
        <v>1552</v>
      </c>
      <c r="E1127" s="70" t="s">
        <v>1020</v>
      </c>
      <c r="F1127" s="71">
        <v>44</v>
      </c>
      <c r="G1127" s="71">
        <v>21</v>
      </c>
      <c r="H1127" s="72">
        <v>0.12847222222222221</v>
      </c>
      <c r="I1127" s="71" t="b">
        <v>1</v>
      </c>
      <c r="J1127" s="71">
        <v>73</v>
      </c>
      <c r="K1127" s="71">
        <v>83</v>
      </c>
      <c r="L1127" s="71">
        <v>93</v>
      </c>
      <c r="M1127" s="71">
        <v>6</v>
      </c>
      <c r="N1127" s="71">
        <v>12</v>
      </c>
      <c r="O1127" s="71">
        <v>0</v>
      </c>
      <c r="P1127" s="71">
        <v>12</v>
      </c>
      <c r="Q1127" s="71">
        <v>58</v>
      </c>
      <c r="R1127" s="71">
        <v>105</v>
      </c>
      <c r="S1127" s="71" t="s">
        <v>61</v>
      </c>
      <c r="T1127" s="73">
        <v>45779</v>
      </c>
      <c r="U1127" s="71" t="s">
        <v>3981</v>
      </c>
      <c r="V1127" s="71" t="b">
        <v>0</v>
      </c>
    </row>
    <row r="1128" spans="1:22" ht="17.25">
      <c r="A1128" s="70">
        <v>810</v>
      </c>
      <c r="B1128" s="70" t="s">
        <v>1553</v>
      </c>
      <c r="C1128" s="70" t="s">
        <v>485</v>
      </c>
      <c r="D1128" s="70" t="s">
        <v>1552</v>
      </c>
      <c r="E1128" s="70" t="s">
        <v>1020</v>
      </c>
      <c r="F1128" s="71">
        <v>44</v>
      </c>
      <c r="G1128" s="71">
        <v>21</v>
      </c>
      <c r="H1128" s="72">
        <v>0.12847222222222221</v>
      </c>
      <c r="I1128" s="71" t="b">
        <v>1</v>
      </c>
      <c r="J1128" s="71">
        <v>73</v>
      </c>
      <c r="K1128" s="71">
        <v>83</v>
      </c>
      <c r="L1128" s="71">
        <v>93</v>
      </c>
      <c r="M1128" s="71">
        <v>6</v>
      </c>
      <c r="N1128" s="71">
        <v>12</v>
      </c>
      <c r="O1128" s="71">
        <v>0</v>
      </c>
      <c r="P1128" s="71">
        <v>12</v>
      </c>
      <c r="Q1128" s="71">
        <v>58</v>
      </c>
      <c r="R1128" s="71">
        <v>105</v>
      </c>
      <c r="S1128" s="71" t="s">
        <v>61</v>
      </c>
      <c r="T1128" s="73">
        <v>45779</v>
      </c>
      <c r="U1128" s="71" t="s">
        <v>3981</v>
      </c>
      <c r="V1128" s="71" t="b">
        <v>0</v>
      </c>
    </row>
    <row r="1129" spans="1:22" ht="17.25">
      <c r="A1129" s="70">
        <v>811</v>
      </c>
      <c r="B1129" s="70" t="s">
        <v>1551</v>
      </c>
      <c r="C1129" s="70" t="s">
        <v>301</v>
      </c>
      <c r="D1129" s="70" t="s">
        <v>1550</v>
      </c>
      <c r="E1129" s="70" t="s">
        <v>44</v>
      </c>
      <c r="F1129" s="71">
        <v>21</v>
      </c>
      <c r="G1129" s="71">
        <v>2</v>
      </c>
      <c r="H1129" s="72" t="s">
        <v>4315</v>
      </c>
      <c r="I1129" s="71" t="b">
        <v>0</v>
      </c>
      <c r="J1129" s="71">
        <v>59</v>
      </c>
      <c r="K1129" s="71">
        <v>45</v>
      </c>
      <c r="L1129" s="71">
        <v>69</v>
      </c>
      <c r="M1129" s="71">
        <v>6</v>
      </c>
      <c r="N1129" s="71">
        <v>68</v>
      </c>
      <c r="O1129" s="71">
        <v>0</v>
      </c>
      <c r="P1129" s="71">
        <v>13</v>
      </c>
      <c r="Q1129" s="71">
        <v>31</v>
      </c>
      <c r="R1129" s="71">
        <v>88</v>
      </c>
      <c r="S1129" s="71" t="s">
        <v>183</v>
      </c>
      <c r="T1129" s="73" t="s">
        <v>4359</v>
      </c>
      <c r="U1129" s="71" t="s">
        <v>3501</v>
      </c>
      <c r="V1129" s="71" t="b">
        <v>0</v>
      </c>
    </row>
    <row r="1130" spans="1:22" ht="17.25">
      <c r="A1130" s="70">
        <v>813</v>
      </c>
      <c r="B1130" s="70" t="s">
        <v>1548</v>
      </c>
      <c r="C1130" s="70" t="s">
        <v>1026</v>
      </c>
      <c r="D1130" s="70" t="s">
        <v>1547</v>
      </c>
      <c r="E1130" s="70" t="s">
        <v>579</v>
      </c>
      <c r="F1130" s="71">
        <v>5</v>
      </c>
      <c r="G1130" s="71">
        <v>39</v>
      </c>
      <c r="H1130" s="72">
        <v>0.19375000000000001</v>
      </c>
      <c r="I1130" s="71" t="b">
        <v>1</v>
      </c>
      <c r="J1130" s="71">
        <v>46</v>
      </c>
      <c r="K1130" s="71">
        <v>65</v>
      </c>
      <c r="L1130" s="71">
        <v>85</v>
      </c>
      <c r="M1130" s="71">
        <v>6</v>
      </c>
      <c r="N1130" s="71">
        <v>42</v>
      </c>
      <c r="O1130" s="71">
        <v>0</v>
      </c>
      <c r="P1130" s="71">
        <v>78</v>
      </c>
      <c r="Q1130" s="71">
        <v>38</v>
      </c>
      <c r="R1130" s="71">
        <v>121</v>
      </c>
      <c r="S1130" s="71" t="s">
        <v>26</v>
      </c>
      <c r="T1130" s="73">
        <v>44190</v>
      </c>
      <c r="U1130" s="71" t="s">
        <v>3982</v>
      </c>
      <c r="V1130" s="71" t="b">
        <v>0</v>
      </c>
    </row>
    <row r="1131" spans="1:22" ht="17.25">
      <c r="A1131" s="70">
        <v>814</v>
      </c>
      <c r="B1131" s="70" t="s">
        <v>1546</v>
      </c>
      <c r="C1131" s="70" t="s">
        <v>159</v>
      </c>
      <c r="D1131" s="70" t="s">
        <v>320</v>
      </c>
      <c r="E1131" s="70" t="s">
        <v>319</v>
      </c>
      <c r="F1131" s="71">
        <v>19</v>
      </c>
      <c r="G1131" s="71">
        <v>14</v>
      </c>
      <c r="H1131" s="72" t="s">
        <v>4315</v>
      </c>
      <c r="I1131" s="71" t="b">
        <v>0</v>
      </c>
      <c r="J1131" s="71">
        <v>65</v>
      </c>
      <c r="K1131" s="71">
        <v>52</v>
      </c>
      <c r="L1131" s="71">
        <v>71</v>
      </c>
      <c r="M1131" s="71">
        <v>4</v>
      </c>
      <c r="N1131" s="71">
        <v>48</v>
      </c>
      <c r="O1131" s="71">
        <v>0</v>
      </c>
      <c r="P1131" s="71">
        <v>12</v>
      </c>
      <c r="Q1131" s="71">
        <v>51</v>
      </c>
      <c r="R1131" s="71">
        <v>100</v>
      </c>
      <c r="S1131" s="71" t="s">
        <v>96</v>
      </c>
      <c r="T1131" s="73" t="s">
        <v>4385</v>
      </c>
      <c r="U1131" s="71" t="s">
        <v>3983</v>
      </c>
      <c r="V1131" s="71" t="b">
        <v>0</v>
      </c>
    </row>
    <row r="1132" spans="1:22" ht="17.25">
      <c r="A1132" s="70">
        <v>815</v>
      </c>
      <c r="B1132" s="70" t="s">
        <v>1545</v>
      </c>
      <c r="C1132" s="70" t="s">
        <v>383</v>
      </c>
      <c r="D1132" s="70" t="s">
        <v>1544</v>
      </c>
      <c r="E1132" s="70" t="s">
        <v>381</v>
      </c>
      <c r="F1132" s="71">
        <v>73</v>
      </c>
      <c r="G1132" s="71">
        <v>2</v>
      </c>
      <c r="H1132" s="72">
        <v>0.12847222222222221</v>
      </c>
      <c r="I1132" s="71" t="b">
        <v>1</v>
      </c>
      <c r="J1132" s="71">
        <v>78</v>
      </c>
      <c r="K1132" s="71">
        <v>75</v>
      </c>
      <c r="L1132" s="71">
        <v>92</v>
      </c>
      <c r="M1132" s="71">
        <v>4</v>
      </c>
      <c r="N1132" s="71">
        <v>26</v>
      </c>
      <c r="O1132" s="71">
        <v>0</v>
      </c>
      <c r="P1132" s="71">
        <v>10</v>
      </c>
      <c r="Q1132" s="71">
        <v>32</v>
      </c>
      <c r="R1132" s="71">
        <v>102</v>
      </c>
      <c r="S1132" s="71" t="s">
        <v>96</v>
      </c>
      <c r="T1132" s="73">
        <v>45709</v>
      </c>
      <c r="U1132" s="71" t="s">
        <v>3411</v>
      </c>
      <c r="V1132" s="71" t="b">
        <v>0</v>
      </c>
    </row>
    <row r="1133" spans="1:22" ht="17.25">
      <c r="A1133" s="70">
        <v>816</v>
      </c>
      <c r="B1133" s="70" t="s">
        <v>1543</v>
      </c>
      <c r="C1133" s="70" t="s">
        <v>310</v>
      </c>
      <c r="D1133" s="70" t="s">
        <v>1542</v>
      </c>
      <c r="E1133" s="70" t="s">
        <v>308</v>
      </c>
      <c r="F1133" s="71">
        <v>193</v>
      </c>
      <c r="G1133" s="71">
        <v>1</v>
      </c>
      <c r="H1133" s="72">
        <v>0.11666666666666667</v>
      </c>
      <c r="I1133" s="71" t="b">
        <v>0</v>
      </c>
      <c r="J1133" s="71">
        <v>52</v>
      </c>
      <c r="K1133" s="71">
        <v>50</v>
      </c>
      <c r="L1133" s="71">
        <v>73</v>
      </c>
      <c r="M1133" s="71">
        <v>3</v>
      </c>
      <c r="N1133" s="71">
        <v>55</v>
      </c>
      <c r="O1133" s="71">
        <v>0</v>
      </c>
      <c r="P1133" s="71">
        <v>15</v>
      </c>
      <c r="Q1133" s="71">
        <v>72</v>
      </c>
      <c r="R1133" s="71">
        <v>120</v>
      </c>
      <c r="S1133" s="71" t="s">
        <v>29</v>
      </c>
      <c r="T1133" s="73">
        <v>40840</v>
      </c>
      <c r="U1133" s="71" t="s">
        <v>3426</v>
      </c>
      <c r="V1133" s="71" t="b">
        <v>1</v>
      </c>
    </row>
    <row r="1134" spans="1:22" ht="17.25">
      <c r="A1134" s="70">
        <v>817</v>
      </c>
      <c r="B1134" s="70" t="s">
        <v>1541</v>
      </c>
      <c r="C1134" s="70" t="s">
        <v>4759</v>
      </c>
      <c r="D1134" s="70" t="s">
        <v>1540</v>
      </c>
      <c r="E1134" s="70" t="s">
        <v>1539</v>
      </c>
      <c r="F1134" s="71">
        <v>72</v>
      </c>
      <c r="G1134" s="71">
        <v>99</v>
      </c>
      <c r="H1134" s="72">
        <v>0.17499999999999999</v>
      </c>
      <c r="I1134" s="71" t="b">
        <v>0</v>
      </c>
      <c r="J1134" s="71">
        <v>67</v>
      </c>
      <c r="K1134" s="71">
        <v>94</v>
      </c>
      <c r="L1134" s="71">
        <v>95</v>
      </c>
      <c r="M1134" s="71">
        <v>16</v>
      </c>
      <c r="N1134" s="71">
        <v>19</v>
      </c>
      <c r="O1134" s="71">
        <v>0</v>
      </c>
      <c r="P1134" s="71">
        <v>30</v>
      </c>
      <c r="Q1134" s="71">
        <v>53</v>
      </c>
      <c r="R1134" s="71">
        <v>129</v>
      </c>
      <c r="S1134" s="71" t="s">
        <v>34</v>
      </c>
      <c r="T1134" s="73">
        <v>40620</v>
      </c>
      <c r="U1134" s="71" t="s">
        <v>3984</v>
      </c>
      <c r="V1134" s="71" t="b">
        <v>0</v>
      </c>
    </row>
    <row r="1135" spans="1:22" ht="17.25">
      <c r="A1135" s="70">
        <v>817</v>
      </c>
      <c r="B1135" s="70" t="s">
        <v>1541</v>
      </c>
      <c r="C1135" s="70" t="s">
        <v>4761</v>
      </c>
      <c r="D1135" s="70" t="s">
        <v>1540</v>
      </c>
      <c r="E1135" s="70" t="s">
        <v>1539</v>
      </c>
      <c r="F1135" s="71">
        <v>72</v>
      </c>
      <c r="G1135" s="71">
        <v>99</v>
      </c>
      <c r="H1135" s="72">
        <v>0.17499999999999999</v>
      </c>
      <c r="I1135" s="71" t="b">
        <v>0</v>
      </c>
      <c r="J1135" s="71">
        <v>67</v>
      </c>
      <c r="K1135" s="71">
        <v>94</v>
      </c>
      <c r="L1135" s="71">
        <v>95</v>
      </c>
      <c r="M1135" s="71">
        <v>16</v>
      </c>
      <c r="N1135" s="71">
        <v>19</v>
      </c>
      <c r="O1135" s="71">
        <v>0</v>
      </c>
      <c r="P1135" s="71">
        <v>30</v>
      </c>
      <c r="Q1135" s="71">
        <v>53</v>
      </c>
      <c r="R1135" s="71">
        <v>129</v>
      </c>
      <c r="S1135" s="71" t="s">
        <v>34</v>
      </c>
      <c r="T1135" s="73">
        <v>40620</v>
      </c>
      <c r="U1135" s="71" t="s">
        <v>3984</v>
      </c>
      <c r="V1135" s="71" t="b">
        <v>0</v>
      </c>
    </row>
    <row r="1136" spans="1:22" ht="17.25">
      <c r="A1136" s="70">
        <v>817</v>
      </c>
      <c r="B1136" s="70" t="s">
        <v>1541</v>
      </c>
      <c r="C1136" s="70" t="s">
        <v>4760</v>
      </c>
      <c r="D1136" s="70" t="s">
        <v>1540</v>
      </c>
      <c r="E1136" s="70" t="s">
        <v>1539</v>
      </c>
      <c r="F1136" s="71">
        <v>72</v>
      </c>
      <c r="G1136" s="71">
        <v>99</v>
      </c>
      <c r="H1136" s="72">
        <v>0.17499999999999999</v>
      </c>
      <c r="I1136" s="71" t="b">
        <v>0</v>
      </c>
      <c r="J1136" s="71">
        <v>67</v>
      </c>
      <c r="K1136" s="71">
        <v>94</v>
      </c>
      <c r="L1136" s="71">
        <v>95</v>
      </c>
      <c r="M1136" s="71">
        <v>16</v>
      </c>
      <c r="N1136" s="71">
        <v>19</v>
      </c>
      <c r="O1136" s="71">
        <v>0</v>
      </c>
      <c r="P1136" s="71">
        <v>30</v>
      </c>
      <c r="Q1136" s="71">
        <v>53</v>
      </c>
      <c r="R1136" s="71">
        <v>129</v>
      </c>
      <c r="S1136" s="71" t="s">
        <v>34</v>
      </c>
      <c r="T1136" s="73">
        <v>40620</v>
      </c>
      <c r="U1136" s="71" t="s">
        <v>3984</v>
      </c>
      <c r="V1136" s="71" t="b">
        <v>0</v>
      </c>
    </row>
    <row r="1137" spans="1:22" ht="17.25">
      <c r="A1137" s="70">
        <v>817</v>
      </c>
      <c r="B1137" s="70" t="s">
        <v>1541</v>
      </c>
      <c r="C1137" s="70" t="s">
        <v>4490</v>
      </c>
      <c r="D1137" s="70" t="s">
        <v>1540</v>
      </c>
      <c r="E1137" s="70" t="s">
        <v>1539</v>
      </c>
      <c r="F1137" s="71">
        <v>72</v>
      </c>
      <c r="G1137" s="71">
        <v>99</v>
      </c>
      <c r="H1137" s="72">
        <v>0.17499999999999999</v>
      </c>
      <c r="I1137" s="71" t="b">
        <v>0</v>
      </c>
      <c r="J1137" s="71">
        <v>67</v>
      </c>
      <c r="K1137" s="71">
        <v>94</v>
      </c>
      <c r="L1137" s="71">
        <v>95</v>
      </c>
      <c r="M1137" s="71">
        <v>16</v>
      </c>
      <c r="N1137" s="71">
        <v>19</v>
      </c>
      <c r="O1137" s="71">
        <v>0</v>
      </c>
      <c r="P1137" s="71">
        <v>30</v>
      </c>
      <c r="Q1137" s="71">
        <v>53</v>
      </c>
      <c r="R1137" s="71">
        <v>129</v>
      </c>
      <c r="S1137" s="71" t="s">
        <v>34</v>
      </c>
      <c r="T1137" s="73">
        <v>40620</v>
      </c>
      <c r="U1137" s="71" t="s">
        <v>3984</v>
      </c>
      <c r="V1137" s="71" t="b">
        <v>0</v>
      </c>
    </row>
    <row r="1138" spans="1:22" ht="17.25">
      <c r="A1138" s="70">
        <v>818</v>
      </c>
      <c r="B1138" s="70" t="s">
        <v>1538</v>
      </c>
      <c r="C1138" s="70" t="s">
        <v>97</v>
      </c>
      <c r="D1138" s="70" t="s">
        <v>1537</v>
      </c>
      <c r="E1138" s="70" t="s">
        <v>97</v>
      </c>
      <c r="F1138" s="71">
        <v>1</v>
      </c>
      <c r="G1138" s="71">
        <v>76</v>
      </c>
      <c r="H1138" s="72">
        <v>0.16597222222222222</v>
      </c>
      <c r="I1138" s="71" t="b">
        <v>0</v>
      </c>
      <c r="J1138" s="71">
        <v>61</v>
      </c>
      <c r="K1138" s="71">
        <v>58</v>
      </c>
      <c r="L1138" s="71">
        <v>86</v>
      </c>
      <c r="M1138" s="71">
        <v>4</v>
      </c>
      <c r="N1138" s="71">
        <v>54</v>
      </c>
      <c r="O1138" s="71">
        <v>0</v>
      </c>
      <c r="P1138" s="71">
        <v>25</v>
      </c>
      <c r="Q1138" s="71">
        <v>55</v>
      </c>
      <c r="R1138" s="71">
        <v>130</v>
      </c>
      <c r="S1138" s="71" t="s">
        <v>195</v>
      </c>
      <c r="T1138" s="73">
        <v>44036</v>
      </c>
      <c r="U1138" s="71" t="s">
        <v>3910</v>
      </c>
      <c r="V1138" s="71" t="b">
        <v>0</v>
      </c>
    </row>
    <row r="1139" spans="1:22" ht="17.25">
      <c r="A1139" s="70">
        <v>819</v>
      </c>
      <c r="B1139" s="70" t="s">
        <v>1536</v>
      </c>
      <c r="C1139" s="70" t="s">
        <v>1535</v>
      </c>
      <c r="D1139" s="70" t="s">
        <v>1534</v>
      </c>
      <c r="E1139" s="70" t="s">
        <v>1533</v>
      </c>
      <c r="F1139" s="71">
        <v>28</v>
      </c>
      <c r="G1139" s="71">
        <v>13</v>
      </c>
      <c r="H1139" s="72">
        <v>0.15833333333333333</v>
      </c>
      <c r="I1139" s="71" t="b">
        <v>0</v>
      </c>
      <c r="J1139" s="71">
        <v>55</v>
      </c>
      <c r="K1139" s="71">
        <v>55</v>
      </c>
      <c r="L1139" s="71">
        <v>74</v>
      </c>
      <c r="M1139" s="71">
        <v>5</v>
      </c>
      <c r="N1139" s="71">
        <v>45</v>
      </c>
      <c r="O1139" s="71">
        <v>0</v>
      </c>
      <c r="P1139" s="71">
        <v>10</v>
      </c>
      <c r="Q1139" s="71">
        <v>48</v>
      </c>
      <c r="R1139" s="71">
        <v>90</v>
      </c>
      <c r="S1139" s="71" t="s">
        <v>74</v>
      </c>
      <c r="T1139" s="73">
        <v>45513</v>
      </c>
      <c r="U1139" s="71" t="s">
        <v>3985</v>
      </c>
      <c r="V1139" s="71" t="b">
        <v>0</v>
      </c>
    </row>
    <row r="1140" spans="1:22" ht="17.25">
      <c r="A1140" s="70">
        <v>820</v>
      </c>
      <c r="B1140" s="70" t="s">
        <v>1532</v>
      </c>
      <c r="C1140" s="70" t="s">
        <v>1531</v>
      </c>
      <c r="D1140" s="70" t="s">
        <v>1530</v>
      </c>
      <c r="E1140" s="70" t="s">
        <v>1529</v>
      </c>
      <c r="F1140" s="71">
        <v>166</v>
      </c>
      <c r="G1140" s="71">
        <v>4</v>
      </c>
      <c r="H1140" s="72">
        <v>0.16111111111111112</v>
      </c>
      <c r="I1140" s="71" t="b">
        <v>0</v>
      </c>
      <c r="J1140" s="71">
        <v>66</v>
      </c>
      <c r="K1140" s="71">
        <v>29</v>
      </c>
      <c r="L1140" s="71">
        <v>82</v>
      </c>
      <c r="M1140" s="71">
        <v>3</v>
      </c>
      <c r="N1140" s="71">
        <v>87</v>
      </c>
      <c r="O1140" s="71">
        <v>0</v>
      </c>
      <c r="P1140" s="71">
        <v>11</v>
      </c>
      <c r="Q1140" s="71">
        <v>30</v>
      </c>
      <c r="R1140" s="71">
        <v>104</v>
      </c>
      <c r="S1140" s="71" t="s">
        <v>1526</v>
      </c>
      <c r="T1140" s="73">
        <v>38481</v>
      </c>
      <c r="U1140" s="71" t="s">
        <v>3986</v>
      </c>
      <c r="V1140" s="71" t="b">
        <v>0</v>
      </c>
    </row>
    <row r="1141" spans="1:22" ht="17.25">
      <c r="A1141" s="70">
        <v>822</v>
      </c>
      <c r="B1141" s="70" t="s">
        <v>1525</v>
      </c>
      <c r="C1141" s="70" t="s">
        <v>4502</v>
      </c>
      <c r="D1141" s="70" t="s">
        <v>1524</v>
      </c>
      <c r="E1141" s="70" t="s">
        <v>1523</v>
      </c>
      <c r="F1141" s="71">
        <v>195</v>
      </c>
      <c r="G1141" s="71">
        <v>2</v>
      </c>
      <c r="H1141" s="72" t="s">
        <v>4347</v>
      </c>
      <c r="I1141" s="71" t="b">
        <v>1</v>
      </c>
      <c r="J1141" s="71">
        <v>85</v>
      </c>
      <c r="K1141" s="71">
        <v>74</v>
      </c>
      <c r="L1141" s="71">
        <v>75</v>
      </c>
      <c r="M1141" s="71">
        <v>14</v>
      </c>
      <c r="N1141" s="71">
        <v>16</v>
      </c>
      <c r="O1141" s="71">
        <v>0</v>
      </c>
      <c r="P1141" s="71">
        <v>21</v>
      </c>
      <c r="Q1141" s="71">
        <v>81</v>
      </c>
      <c r="R1141" s="71">
        <v>130</v>
      </c>
      <c r="S1141" s="71" t="s">
        <v>534</v>
      </c>
      <c r="T1141" s="73" t="s">
        <v>4354</v>
      </c>
      <c r="U1141" s="71" t="s">
        <v>3987</v>
      </c>
      <c r="V1141" s="71" t="b">
        <v>0</v>
      </c>
    </row>
    <row r="1142" spans="1:22" ht="17.25">
      <c r="A1142" s="70">
        <v>822</v>
      </c>
      <c r="B1142" s="70" t="s">
        <v>1525</v>
      </c>
      <c r="C1142" s="70" t="s">
        <v>4730</v>
      </c>
      <c r="D1142" s="70" t="s">
        <v>1524</v>
      </c>
      <c r="E1142" s="70" t="s">
        <v>1523</v>
      </c>
      <c r="F1142" s="71">
        <v>195</v>
      </c>
      <c r="G1142" s="71">
        <v>2</v>
      </c>
      <c r="H1142" s="72" t="s">
        <v>4347</v>
      </c>
      <c r="I1142" s="71" t="b">
        <v>1</v>
      </c>
      <c r="J1142" s="71">
        <v>85</v>
      </c>
      <c r="K1142" s="71">
        <v>74</v>
      </c>
      <c r="L1142" s="71">
        <v>75</v>
      </c>
      <c r="M1142" s="71">
        <v>14</v>
      </c>
      <c r="N1142" s="71">
        <v>16</v>
      </c>
      <c r="O1142" s="71">
        <v>0</v>
      </c>
      <c r="P1142" s="71">
        <v>21</v>
      </c>
      <c r="Q1142" s="71">
        <v>81</v>
      </c>
      <c r="R1142" s="71">
        <v>130</v>
      </c>
      <c r="S1142" s="71" t="s">
        <v>534</v>
      </c>
      <c r="T1142" s="73" t="s">
        <v>4354</v>
      </c>
      <c r="U1142" s="71" t="s">
        <v>3987</v>
      </c>
      <c r="V1142" s="71" t="b">
        <v>0</v>
      </c>
    </row>
    <row r="1143" spans="1:22" ht="17.25">
      <c r="A1143" s="70">
        <v>823</v>
      </c>
      <c r="B1143" s="70" t="s">
        <v>1522</v>
      </c>
      <c r="C1143" s="70" t="s">
        <v>32</v>
      </c>
      <c r="D1143" s="70" t="s">
        <v>1521</v>
      </c>
      <c r="E1143" s="70" t="s">
        <v>30</v>
      </c>
      <c r="F1143" s="71">
        <v>10</v>
      </c>
      <c r="G1143" s="71">
        <v>10</v>
      </c>
      <c r="H1143" s="72" t="s">
        <v>4315</v>
      </c>
      <c r="I1143" s="71" t="b">
        <v>0</v>
      </c>
      <c r="J1143" s="71">
        <v>61</v>
      </c>
      <c r="K1143" s="71">
        <v>48</v>
      </c>
      <c r="L1143" s="71">
        <v>70</v>
      </c>
      <c r="M1143" s="71">
        <v>4</v>
      </c>
      <c r="N1143" s="71">
        <v>56</v>
      </c>
      <c r="O1143" s="71">
        <v>0</v>
      </c>
      <c r="P1143" s="71">
        <v>12</v>
      </c>
      <c r="Q1143" s="71">
        <v>41</v>
      </c>
      <c r="R1143" s="71">
        <v>128</v>
      </c>
      <c r="S1143" s="71" t="s">
        <v>96</v>
      </c>
      <c r="T1143" s="73" t="s">
        <v>4372</v>
      </c>
      <c r="U1143" s="71" t="s">
        <v>3703</v>
      </c>
      <c r="V1143" s="71" t="b">
        <v>0</v>
      </c>
    </row>
    <row r="1144" spans="1:22" ht="17.25">
      <c r="A1144" s="70">
        <v>824</v>
      </c>
      <c r="B1144" s="70" t="s">
        <v>1520</v>
      </c>
      <c r="C1144" s="70" t="s">
        <v>1518</v>
      </c>
      <c r="D1144" s="70" t="s">
        <v>1519</v>
      </c>
      <c r="E1144" s="70" t="s">
        <v>1518</v>
      </c>
      <c r="F1144" s="71">
        <v>98</v>
      </c>
      <c r="G1144" s="71">
        <v>2</v>
      </c>
      <c r="H1144" s="72" t="s">
        <v>4317</v>
      </c>
      <c r="I1144" s="71" t="b">
        <v>1</v>
      </c>
      <c r="J1144" s="71">
        <v>82</v>
      </c>
      <c r="K1144" s="71">
        <v>76</v>
      </c>
      <c r="L1144" s="71">
        <v>73</v>
      </c>
      <c r="M1144" s="71">
        <v>7</v>
      </c>
      <c r="N1144" s="71">
        <v>28</v>
      </c>
      <c r="O1144" s="71">
        <v>0</v>
      </c>
      <c r="P1144" s="71">
        <v>14</v>
      </c>
      <c r="Q1144" s="71">
        <v>85</v>
      </c>
      <c r="R1144" s="71">
        <v>135</v>
      </c>
      <c r="S1144" s="71" t="s">
        <v>312</v>
      </c>
      <c r="T1144" s="73" t="s">
        <v>4356</v>
      </c>
      <c r="U1144" s="71" t="s">
        <v>3988</v>
      </c>
      <c r="V1144" s="71" t="b">
        <v>0</v>
      </c>
    </row>
    <row r="1145" spans="1:22" ht="17.25">
      <c r="A1145" s="70">
        <v>825</v>
      </c>
      <c r="B1145" s="70" t="s">
        <v>1517</v>
      </c>
      <c r="C1145" s="70" t="s">
        <v>1516</v>
      </c>
      <c r="D1145" s="70" t="s">
        <v>1515</v>
      </c>
      <c r="E1145" s="70" t="s">
        <v>120</v>
      </c>
      <c r="F1145" s="71">
        <v>21</v>
      </c>
      <c r="G1145" s="71">
        <v>177</v>
      </c>
      <c r="H1145" s="72">
        <v>0.11666666666666667</v>
      </c>
      <c r="I1145" s="71" t="b">
        <v>0</v>
      </c>
      <c r="J1145" s="71">
        <v>57</v>
      </c>
      <c r="K1145" s="71">
        <v>65</v>
      </c>
      <c r="L1145" s="71">
        <v>92</v>
      </c>
      <c r="M1145" s="71">
        <v>4</v>
      </c>
      <c r="N1145" s="71">
        <v>58</v>
      </c>
      <c r="O1145" s="71">
        <v>0</v>
      </c>
      <c r="P1145" s="71">
        <v>12</v>
      </c>
      <c r="Q1145" s="71">
        <v>47</v>
      </c>
      <c r="R1145" s="71">
        <v>76</v>
      </c>
      <c r="S1145" s="71" t="s">
        <v>74</v>
      </c>
      <c r="T1145" s="73">
        <v>41757</v>
      </c>
      <c r="U1145" s="71" t="s">
        <v>3989</v>
      </c>
      <c r="V1145" s="71" t="b">
        <v>0</v>
      </c>
    </row>
    <row r="1146" spans="1:22" ht="17.25">
      <c r="A1146" s="70">
        <v>826</v>
      </c>
      <c r="B1146" s="70" t="s">
        <v>1514</v>
      </c>
      <c r="C1146" s="70" t="s">
        <v>4762</v>
      </c>
      <c r="D1146" s="70" t="s">
        <v>1513</v>
      </c>
      <c r="E1146" s="70" t="s">
        <v>313</v>
      </c>
      <c r="F1146" s="71">
        <v>152</v>
      </c>
      <c r="G1146" s="71">
        <v>7</v>
      </c>
      <c r="H1146" s="72" t="s">
        <v>4317</v>
      </c>
      <c r="I1146" s="71" t="b">
        <v>1</v>
      </c>
      <c r="J1146" s="71">
        <v>62</v>
      </c>
      <c r="K1146" s="71">
        <v>70</v>
      </c>
      <c r="L1146" s="71">
        <v>73</v>
      </c>
      <c r="M1146" s="71">
        <v>5</v>
      </c>
      <c r="N1146" s="71">
        <v>45</v>
      </c>
      <c r="O1146" s="71">
        <v>0</v>
      </c>
      <c r="P1146" s="71">
        <v>70</v>
      </c>
      <c r="Q1146" s="71">
        <v>58</v>
      </c>
      <c r="R1146" s="71">
        <v>140</v>
      </c>
      <c r="S1146" s="71" t="s">
        <v>312</v>
      </c>
      <c r="T1146" s="73" t="s">
        <v>4333</v>
      </c>
      <c r="U1146" s="71" t="s">
        <v>3990</v>
      </c>
      <c r="V1146" s="71" t="b">
        <v>0</v>
      </c>
    </row>
    <row r="1147" spans="1:22" ht="17.25">
      <c r="A1147" s="70">
        <v>826</v>
      </c>
      <c r="B1147" s="70" t="s">
        <v>1514</v>
      </c>
      <c r="C1147" s="70" t="s">
        <v>4506</v>
      </c>
      <c r="D1147" s="70" t="s">
        <v>1513</v>
      </c>
      <c r="E1147" s="70" t="s">
        <v>313</v>
      </c>
      <c r="F1147" s="71">
        <v>152</v>
      </c>
      <c r="G1147" s="71">
        <v>7</v>
      </c>
      <c r="H1147" s="72" t="s">
        <v>4317</v>
      </c>
      <c r="I1147" s="71" t="b">
        <v>1</v>
      </c>
      <c r="J1147" s="71">
        <v>62</v>
      </c>
      <c r="K1147" s="71">
        <v>70</v>
      </c>
      <c r="L1147" s="71">
        <v>73</v>
      </c>
      <c r="M1147" s="71">
        <v>5</v>
      </c>
      <c r="N1147" s="71">
        <v>45</v>
      </c>
      <c r="O1147" s="71">
        <v>0</v>
      </c>
      <c r="P1147" s="71">
        <v>70</v>
      </c>
      <c r="Q1147" s="71">
        <v>58</v>
      </c>
      <c r="R1147" s="71">
        <v>140</v>
      </c>
      <c r="S1147" s="71" t="s">
        <v>312</v>
      </c>
      <c r="T1147" s="73" t="s">
        <v>4333</v>
      </c>
      <c r="U1147" s="71" t="s">
        <v>3990</v>
      </c>
      <c r="V1147" s="71" t="b">
        <v>0</v>
      </c>
    </row>
    <row r="1148" spans="1:22" ht="17.25">
      <c r="A1148" s="70">
        <v>827</v>
      </c>
      <c r="B1148" s="70" t="s">
        <v>1512</v>
      </c>
      <c r="C1148" s="70" t="s">
        <v>1015</v>
      </c>
      <c r="D1148" s="70" t="s">
        <v>1511</v>
      </c>
      <c r="E1148" s="70" t="s">
        <v>84</v>
      </c>
      <c r="F1148" s="71">
        <v>9</v>
      </c>
      <c r="G1148" s="71">
        <v>18</v>
      </c>
      <c r="H1148" s="72">
        <v>0.11666666666666667</v>
      </c>
      <c r="I1148" s="71" t="b">
        <v>0</v>
      </c>
      <c r="J1148" s="71">
        <v>82</v>
      </c>
      <c r="K1148" s="71">
        <v>78</v>
      </c>
      <c r="L1148" s="71">
        <v>81</v>
      </c>
      <c r="M1148" s="71">
        <v>8</v>
      </c>
      <c r="N1148" s="71">
        <v>8</v>
      </c>
      <c r="O1148" s="71">
        <v>0</v>
      </c>
      <c r="P1148" s="71">
        <v>12</v>
      </c>
      <c r="Q1148" s="71">
        <v>72</v>
      </c>
      <c r="R1148" s="71">
        <v>112</v>
      </c>
      <c r="S1148" s="71" t="s">
        <v>1012</v>
      </c>
      <c r="T1148" s="73">
        <v>45744</v>
      </c>
      <c r="U1148" s="71" t="s">
        <v>3991</v>
      </c>
      <c r="V1148" s="71" t="b">
        <v>0</v>
      </c>
    </row>
    <row r="1149" spans="1:22" ht="17.25">
      <c r="A1149" s="70">
        <v>828</v>
      </c>
      <c r="B1149" s="70" t="s">
        <v>1510</v>
      </c>
      <c r="C1149" s="70" t="s">
        <v>2975</v>
      </c>
      <c r="D1149" s="70" t="s">
        <v>1509</v>
      </c>
      <c r="E1149" s="70" t="s">
        <v>120</v>
      </c>
      <c r="F1149" s="71">
        <v>28</v>
      </c>
      <c r="G1149" s="71">
        <v>4</v>
      </c>
      <c r="H1149" s="72">
        <v>0.11666666666666667</v>
      </c>
      <c r="I1149" s="71" t="b">
        <v>0</v>
      </c>
      <c r="J1149" s="71">
        <v>78</v>
      </c>
      <c r="K1149" s="71">
        <v>78</v>
      </c>
      <c r="L1149" s="71">
        <v>81</v>
      </c>
      <c r="M1149" s="71">
        <v>10</v>
      </c>
      <c r="N1149" s="71">
        <v>8</v>
      </c>
      <c r="O1149" s="71">
        <v>0</v>
      </c>
      <c r="P1149" s="71">
        <v>13</v>
      </c>
      <c r="Q1149" s="71">
        <v>62</v>
      </c>
      <c r="R1149" s="71">
        <v>120</v>
      </c>
      <c r="S1149" s="71" t="s">
        <v>115</v>
      </c>
      <c r="T1149" s="73">
        <v>45702</v>
      </c>
      <c r="U1149" s="71" t="s">
        <v>3992</v>
      </c>
      <c r="V1149" s="71" t="b">
        <v>0</v>
      </c>
    </row>
    <row r="1150" spans="1:22" ht="17.25">
      <c r="A1150" s="70">
        <v>828</v>
      </c>
      <c r="B1150" s="70" t="s">
        <v>1510</v>
      </c>
      <c r="C1150" s="70" t="s">
        <v>4763</v>
      </c>
      <c r="D1150" s="70" t="s">
        <v>1509</v>
      </c>
      <c r="E1150" s="70" t="s">
        <v>120</v>
      </c>
      <c r="F1150" s="71">
        <v>28</v>
      </c>
      <c r="G1150" s="71">
        <v>4</v>
      </c>
      <c r="H1150" s="72">
        <v>0.11666666666666667</v>
      </c>
      <c r="I1150" s="71" t="b">
        <v>0</v>
      </c>
      <c r="J1150" s="71">
        <v>78</v>
      </c>
      <c r="K1150" s="71">
        <v>78</v>
      </c>
      <c r="L1150" s="71">
        <v>81</v>
      </c>
      <c r="M1150" s="71">
        <v>10</v>
      </c>
      <c r="N1150" s="71">
        <v>8</v>
      </c>
      <c r="O1150" s="71">
        <v>0</v>
      </c>
      <c r="P1150" s="71">
        <v>13</v>
      </c>
      <c r="Q1150" s="71">
        <v>62</v>
      </c>
      <c r="R1150" s="71">
        <v>120</v>
      </c>
      <c r="S1150" s="71" t="s">
        <v>115</v>
      </c>
      <c r="T1150" s="73">
        <v>45702</v>
      </c>
      <c r="U1150" s="71" t="s">
        <v>3992</v>
      </c>
      <c r="V1150" s="71" t="b">
        <v>0</v>
      </c>
    </row>
    <row r="1151" spans="1:22" ht="17.25">
      <c r="A1151" s="70">
        <v>829</v>
      </c>
      <c r="B1151" s="70" t="s">
        <v>1508</v>
      </c>
      <c r="C1151" s="70" t="s">
        <v>288</v>
      </c>
      <c r="D1151" s="70" t="s">
        <v>1507</v>
      </c>
      <c r="E1151" s="70" t="s">
        <v>171</v>
      </c>
      <c r="F1151" s="71">
        <v>8</v>
      </c>
      <c r="G1151" s="71">
        <v>80</v>
      </c>
      <c r="H1151" s="72">
        <v>0.13333333333333333</v>
      </c>
      <c r="I1151" s="71" t="b">
        <v>0</v>
      </c>
      <c r="J1151" s="71">
        <v>79</v>
      </c>
      <c r="K1151" s="71">
        <v>74</v>
      </c>
      <c r="L1151" s="71">
        <v>90</v>
      </c>
      <c r="M1151" s="71">
        <v>3</v>
      </c>
      <c r="N1151" s="71">
        <v>29</v>
      </c>
      <c r="O1151" s="71">
        <v>0</v>
      </c>
      <c r="P1151" s="71">
        <v>13</v>
      </c>
      <c r="Q1151" s="71">
        <v>82</v>
      </c>
      <c r="R1151" s="71">
        <v>114</v>
      </c>
      <c r="S1151" s="71" t="s">
        <v>26</v>
      </c>
      <c r="T1151" s="73">
        <v>45513</v>
      </c>
      <c r="U1151" s="71" t="s">
        <v>3993</v>
      </c>
      <c r="V1151" s="71" t="b">
        <v>0</v>
      </c>
    </row>
    <row r="1152" spans="1:22" ht="17.25">
      <c r="A1152" s="70">
        <v>830</v>
      </c>
      <c r="B1152" s="70" t="s">
        <v>1506</v>
      </c>
      <c r="C1152" s="70" t="s">
        <v>4428</v>
      </c>
      <c r="D1152" s="70" t="s">
        <v>1505</v>
      </c>
      <c r="E1152" s="70" t="s">
        <v>1504</v>
      </c>
      <c r="F1152" s="71">
        <v>99</v>
      </c>
      <c r="G1152" s="71">
        <v>34</v>
      </c>
      <c r="H1152" s="72">
        <v>0.12222222222222222</v>
      </c>
      <c r="I1152" s="71" t="b">
        <v>0</v>
      </c>
      <c r="J1152" s="71">
        <v>72</v>
      </c>
      <c r="K1152" s="71">
        <v>81</v>
      </c>
      <c r="L1152" s="71">
        <v>95</v>
      </c>
      <c r="M1152" s="71">
        <v>6</v>
      </c>
      <c r="N1152" s="71">
        <v>0</v>
      </c>
      <c r="O1152" s="71">
        <v>0</v>
      </c>
      <c r="P1152" s="71">
        <v>56</v>
      </c>
      <c r="Q1152" s="71">
        <v>27</v>
      </c>
      <c r="R1152" s="71">
        <v>98</v>
      </c>
      <c r="S1152" s="71" t="s">
        <v>274</v>
      </c>
      <c r="T1152" s="73">
        <v>42065</v>
      </c>
      <c r="U1152" s="71" t="s">
        <v>3994</v>
      </c>
      <c r="V1152" s="71" t="b">
        <v>0</v>
      </c>
    </row>
    <row r="1153" spans="1:22" ht="17.25">
      <c r="A1153" s="70">
        <v>830</v>
      </c>
      <c r="B1153" s="70" t="s">
        <v>1506</v>
      </c>
      <c r="C1153" s="70" t="s">
        <v>4507</v>
      </c>
      <c r="D1153" s="70" t="s">
        <v>1505</v>
      </c>
      <c r="E1153" s="70" t="s">
        <v>1504</v>
      </c>
      <c r="F1153" s="71">
        <v>99</v>
      </c>
      <c r="G1153" s="71">
        <v>34</v>
      </c>
      <c r="H1153" s="72">
        <v>0.12222222222222222</v>
      </c>
      <c r="I1153" s="71" t="b">
        <v>0</v>
      </c>
      <c r="J1153" s="71">
        <v>72</v>
      </c>
      <c r="K1153" s="71">
        <v>81</v>
      </c>
      <c r="L1153" s="71">
        <v>95</v>
      </c>
      <c r="M1153" s="71">
        <v>6</v>
      </c>
      <c r="N1153" s="71">
        <v>0</v>
      </c>
      <c r="O1153" s="71">
        <v>0</v>
      </c>
      <c r="P1153" s="71">
        <v>56</v>
      </c>
      <c r="Q1153" s="71">
        <v>27</v>
      </c>
      <c r="R1153" s="71">
        <v>98</v>
      </c>
      <c r="S1153" s="71" t="s">
        <v>274</v>
      </c>
      <c r="T1153" s="73">
        <v>42065</v>
      </c>
      <c r="U1153" s="71" t="s">
        <v>3994</v>
      </c>
      <c r="V1153" s="71" t="b">
        <v>0</v>
      </c>
    </row>
    <row r="1154" spans="1:22" ht="17.25">
      <c r="A1154" s="70">
        <v>830</v>
      </c>
      <c r="B1154" s="70" t="s">
        <v>1506</v>
      </c>
      <c r="C1154" s="70" t="s">
        <v>4764</v>
      </c>
      <c r="D1154" s="70" t="s">
        <v>1505</v>
      </c>
      <c r="E1154" s="70" t="s">
        <v>1504</v>
      </c>
      <c r="F1154" s="71">
        <v>99</v>
      </c>
      <c r="G1154" s="71">
        <v>34</v>
      </c>
      <c r="H1154" s="72">
        <v>0.12222222222222222</v>
      </c>
      <c r="I1154" s="71" t="b">
        <v>0</v>
      </c>
      <c r="J1154" s="71">
        <v>72</v>
      </c>
      <c r="K1154" s="71">
        <v>81</v>
      </c>
      <c r="L1154" s="71">
        <v>95</v>
      </c>
      <c r="M1154" s="71">
        <v>6</v>
      </c>
      <c r="N1154" s="71">
        <v>0</v>
      </c>
      <c r="O1154" s="71">
        <v>0</v>
      </c>
      <c r="P1154" s="71">
        <v>56</v>
      </c>
      <c r="Q1154" s="71">
        <v>27</v>
      </c>
      <c r="R1154" s="71">
        <v>98</v>
      </c>
      <c r="S1154" s="71" t="s">
        <v>274</v>
      </c>
      <c r="T1154" s="73">
        <v>42065</v>
      </c>
      <c r="U1154" s="71" t="s">
        <v>3994</v>
      </c>
      <c r="V1154" s="71" t="b">
        <v>0</v>
      </c>
    </row>
    <row r="1155" spans="1:22" ht="17.25">
      <c r="A1155" s="70">
        <v>831</v>
      </c>
      <c r="B1155" s="70" t="s">
        <v>1503</v>
      </c>
      <c r="C1155" s="70" t="s">
        <v>1502</v>
      </c>
      <c r="D1155" s="70" t="s">
        <v>1501</v>
      </c>
      <c r="E1155" s="70" t="s">
        <v>1033</v>
      </c>
      <c r="F1155" s="71">
        <v>180</v>
      </c>
      <c r="G1155" s="71">
        <v>3</v>
      </c>
      <c r="H1155" s="72">
        <v>0.1701388888888889</v>
      </c>
      <c r="I1155" s="71" t="b">
        <v>0</v>
      </c>
      <c r="J1155" s="71">
        <v>58</v>
      </c>
      <c r="K1155" s="71">
        <v>74</v>
      </c>
      <c r="L1155" s="71">
        <v>92</v>
      </c>
      <c r="M1155" s="71">
        <v>4</v>
      </c>
      <c r="N1155" s="71">
        <v>2</v>
      </c>
      <c r="O1155" s="71">
        <v>2</v>
      </c>
      <c r="P1155" s="71">
        <v>11</v>
      </c>
      <c r="Q1155" s="71">
        <v>47</v>
      </c>
      <c r="R1155" s="71">
        <v>115</v>
      </c>
      <c r="S1155" s="71" t="s">
        <v>1028</v>
      </c>
      <c r="T1155" s="73">
        <v>45702</v>
      </c>
      <c r="U1155" s="71" t="s">
        <v>3995</v>
      </c>
      <c r="V1155" s="71" t="b">
        <v>0</v>
      </c>
    </row>
    <row r="1156" spans="1:22" ht="17.25">
      <c r="A1156" s="70">
        <v>832</v>
      </c>
      <c r="B1156" s="70" t="s">
        <v>1500</v>
      </c>
      <c r="C1156" s="70" t="s">
        <v>4765</v>
      </c>
      <c r="D1156" s="70" t="s">
        <v>1499</v>
      </c>
      <c r="E1156" s="70" t="s">
        <v>1498</v>
      </c>
      <c r="F1156" s="71">
        <v>83</v>
      </c>
      <c r="G1156" s="71">
        <v>6</v>
      </c>
      <c r="H1156" s="72">
        <v>0.13750000000000001</v>
      </c>
      <c r="I1156" s="71" t="b">
        <v>0</v>
      </c>
      <c r="J1156" s="71">
        <v>48</v>
      </c>
      <c r="K1156" s="71">
        <v>48</v>
      </c>
      <c r="L1156" s="71">
        <v>86</v>
      </c>
      <c r="M1156" s="71">
        <v>9</v>
      </c>
      <c r="N1156" s="71">
        <v>60</v>
      </c>
      <c r="O1156" s="71">
        <v>0</v>
      </c>
      <c r="P1156" s="71">
        <v>34</v>
      </c>
      <c r="Q1156" s="71">
        <v>30</v>
      </c>
      <c r="R1156" s="71">
        <v>155</v>
      </c>
      <c r="S1156" s="71" t="s">
        <v>1497</v>
      </c>
      <c r="T1156" s="73">
        <v>45520</v>
      </c>
      <c r="U1156" s="71" t="s">
        <v>3996</v>
      </c>
      <c r="V1156" s="71" t="b">
        <v>0</v>
      </c>
    </row>
    <row r="1157" spans="1:22" ht="17.25">
      <c r="A1157" s="70">
        <v>832</v>
      </c>
      <c r="B1157" s="70" t="s">
        <v>1500</v>
      </c>
      <c r="C1157" s="70" t="s">
        <v>4508</v>
      </c>
      <c r="D1157" s="70" t="s">
        <v>1499</v>
      </c>
      <c r="E1157" s="70" t="s">
        <v>1498</v>
      </c>
      <c r="F1157" s="71">
        <v>83</v>
      </c>
      <c r="G1157" s="71">
        <v>6</v>
      </c>
      <c r="H1157" s="72">
        <v>0.13750000000000001</v>
      </c>
      <c r="I1157" s="71" t="b">
        <v>0</v>
      </c>
      <c r="J1157" s="71">
        <v>48</v>
      </c>
      <c r="K1157" s="71">
        <v>48</v>
      </c>
      <c r="L1157" s="71">
        <v>86</v>
      </c>
      <c r="M1157" s="71">
        <v>9</v>
      </c>
      <c r="N1157" s="71">
        <v>60</v>
      </c>
      <c r="O1157" s="71">
        <v>0</v>
      </c>
      <c r="P1157" s="71">
        <v>34</v>
      </c>
      <c r="Q1157" s="71">
        <v>30</v>
      </c>
      <c r="R1157" s="71">
        <v>155</v>
      </c>
      <c r="S1157" s="71" t="s">
        <v>1497</v>
      </c>
      <c r="T1157" s="73">
        <v>45520</v>
      </c>
      <c r="U1157" s="71" t="s">
        <v>3996</v>
      </c>
      <c r="V1157" s="71" t="b">
        <v>0</v>
      </c>
    </row>
    <row r="1158" spans="1:22" ht="17.25">
      <c r="A1158" s="70">
        <v>833</v>
      </c>
      <c r="B1158" s="70" t="s">
        <v>1496</v>
      </c>
      <c r="C1158" s="70" t="s">
        <v>67</v>
      </c>
      <c r="D1158" s="70" t="s">
        <v>1495</v>
      </c>
      <c r="E1158" s="70" t="s">
        <v>65</v>
      </c>
      <c r="F1158" s="71">
        <v>89</v>
      </c>
      <c r="G1158" s="71">
        <v>1</v>
      </c>
      <c r="H1158" s="72">
        <v>0.13750000000000001</v>
      </c>
      <c r="I1158" s="71" t="b">
        <v>1</v>
      </c>
      <c r="J1158" s="71">
        <v>76</v>
      </c>
      <c r="K1158" s="71">
        <v>71</v>
      </c>
      <c r="L1158" s="71">
        <v>93</v>
      </c>
      <c r="M1158" s="71">
        <v>30</v>
      </c>
      <c r="N1158" s="71">
        <v>1</v>
      </c>
      <c r="O1158" s="71">
        <v>0</v>
      </c>
      <c r="P1158" s="71">
        <v>14</v>
      </c>
      <c r="Q1158" s="71">
        <v>53</v>
      </c>
      <c r="R1158" s="71">
        <v>180</v>
      </c>
      <c r="S1158" s="71" t="s">
        <v>48</v>
      </c>
      <c r="T1158" s="73">
        <v>45730</v>
      </c>
      <c r="U1158" s="71" t="s">
        <v>3386</v>
      </c>
      <c r="V1158" s="71" t="b">
        <v>0</v>
      </c>
    </row>
    <row r="1159" spans="1:22" ht="17.25">
      <c r="A1159" s="70">
        <v>833</v>
      </c>
      <c r="B1159" s="70" t="s">
        <v>1496</v>
      </c>
      <c r="C1159" s="70" t="s">
        <v>4700</v>
      </c>
      <c r="D1159" s="70" t="s">
        <v>1495</v>
      </c>
      <c r="E1159" s="70" t="s">
        <v>65</v>
      </c>
      <c r="F1159" s="71">
        <v>89</v>
      </c>
      <c r="G1159" s="71">
        <v>1</v>
      </c>
      <c r="H1159" s="72">
        <v>0.13750000000000001</v>
      </c>
      <c r="I1159" s="71" t="b">
        <v>1</v>
      </c>
      <c r="J1159" s="71">
        <v>76</v>
      </c>
      <c r="K1159" s="71">
        <v>71</v>
      </c>
      <c r="L1159" s="71">
        <v>93</v>
      </c>
      <c r="M1159" s="71">
        <v>30</v>
      </c>
      <c r="N1159" s="71">
        <v>1</v>
      </c>
      <c r="O1159" s="71">
        <v>0</v>
      </c>
      <c r="P1159" s="71">
        <v>14</v>
      </c>
      <c r="Q1159" s="71">
        <v>53</v>
      </c>
      <c r="R1159" s="71">
        <v>180</v>
      </c>
      <c r="S1159" s="71" t="s">
        <v>48</v>
      </c>
      <c r="T1159" s="73">
        <v>45730</v>
      </c>
      <c r="U1159" s="71" t="s">
        <v>3386</v>
      </c>
      <c r="V1159" s="71" t="b">
        <v>0</v>
      </c>
    </row>
    <row r="1160" spans="1:22" ht="17.25">
      <c r="A1160" s="70">
        <v>833</v>
      </c>
      <c r="B1160" s="70" t="s">
        <v>1496</v>
      </c>
      <c r="C1160" s="70" t="s">
        <v>4714</v>
      </c>
      <c r="D1160" s="70" t="s">
        <v>1495</v>
      </c>
      <c r="E1160" s="70" t="s">
        <v>65</v>
      </c>
      <c r="F1160" s="71">
        <v>89</v>
      </c>
      <c r="G1160" s="71">
        <v>1</v>
      </c>
      <c r="H1160" s="72">
        <v>0.13750000000000001</v>
      </c>
      <c r="I1160" s="71" t="b">
        <v>1</v>
      </c>
      <c r="J1160" s="71">
        <v>76</v>
      </c>
      <c r="K1160" s="71">
        <v>71</v>
      </c>
      <c r="L1160" s="71">
        <v>93</v>
      </c>
      <c r="M1160" s="71">
        <v>30</v>
      </c>
      <c r="N1160" s="71">
        <v>1</v>
      </c>
      <c r="O1160" s="71">
        <v>0</v>
      </c>
      <c r="P1160" s="71">
        <v>14</v>
      </c>
      <c r="Q1160" s="71">
        <v>53</v>
      </c>
      <c r="R1160" s="71">
        <v>180</v>
      </c>
      <c r="S1160" s="71" t="s">
        <v>48</v>
      </c>
      <c r="T1160" s="73">
        <v>45730</v>
      </c>
      <c r="U1160" s="71" t="s">
        <v>3386</v>
      </c>
      <c r="V1160" s="71" t="b">
        <v>0</v>
      </c>
    </row>
    <row r="1161" spans="1:22" ht="17.25">
      <c r="A1161" s="70">
        <v>834</v>
      </c>
      <c r="B1161" s="70" t="s">
        <v>1494</v>
      </c>
      <c r="C1161" s="70" t="s">
        <v>193</v>
      </c>
      <c r="D1161" s="70" t="s">
        <v>824</v>
      </c>
      <c r="E1161" s="70" t="s">
        <v>191</v>
      </c>
      <c r="F1161" s="71">
        <v>194</v>
      </c>
      <c r="G1161" s="71">
        <v>2</v>
      </c>
      <c r="H1161" s="72" t="s">
        <v>4320</v>
      </c>
      <c r="I1161" s="71" t="b">
        <v>0</v>
      </c>
      <c r="J1161" s="71">
        <v>62</v>
      </c>
      <c r="K1161" s="71">
        <v>45</v>
      </c>
      <c r="L1161" s="71">
        <v>72</v>
      </c>
      <c r="M1161" s="71">
        <v>5</v>
      </c>
      <c r="N1161" s="71">
        <v>59</v>
      </c>
      <c r="O1161" s="71">
        <v>0</v>
      </c>
      <c r="P1161" s="71">
        <v>13</v>
      </c>
      <c r="Q1161" s="71">
        <v>42</v>
      </c>
      <c r="R1161" s="71">
        <v>120</v>
      </c>
      <c r="S1161" s="71" t="s">
        <v>74</v>
      </c>
      <c r="T1161" s="73" t="s">
        <v>4323</v>
      </c>
      <c r="U1161" s="71" t="s">
        <v>3997</v>
      </c>
      <c r="V1161" s="71" t="b">
        <v>0</v>
      </c>
    </row>
    <row r="1162" spans="1:22" ht="17.25">
      <c r="A1162" s="70">
        <v>835</v>
      </c>
      <c r="B1162" s="70" t="s">
        <v>1493</v>
      </c>
      <c r="C1162" s="70" t="s">
        <v>1492</v>
      </c>
      <c r="D1162" s="70" t="s">
        <v>1491</v>
      </c>
      <c r="E1162" s="70" t="s">
        <v>1490</v>
      </c>
      <c r="F1162" s="71">
        <v>12</v>
      </c>
      <c r="G1162" s="71">
        <v>42</v>
      </c>
      <c r="H1162" s="72">
        <v>0.15833333333333333</v>
      </c>
      <c r="I1162" s="71" t="b">
        <v>0</v>
      </c>
      <c r="J1162" s="71">
        <v>55</v>
      </c>
      <c r="K1162" s="71">
        <v>55</v>
      </c>
      <c r="L1162" s="71">
        <v>74</v>
      </c>
      <c r="M1162" s="71">
        <v>4</v>
      </c>
      <c r="N1162" s="71">
        <v>45</v>
      </c>
      <c r="O1162" s="71">
        <v>0</v>
      </c>
      <c r="P1162" s="71">
        <v>14</v>
      </c>
      <c r="Q1162" s="71">
        <v>72</v>
      </c>
      <c r="R1162" s="71">
        <v>120</v>
      </c>
      <c r="S1162" s="71" t="s">
        <v>29</v>
      </c>
      <c r="T1162" s="73">
        <v>31015</v>
      </c>
      <c r="U1162" s="71" t="s">
        <v>3998</v>
      </c>
      <c r="V1162" s="71" t="b">
        <v>1</v>
      </c>
    </row>
    <row r="1163" spans="1:22" ht="17.25">
      <c r="A1163" s="70">
        <v>836</v>
      </c>
      <c r="B1163" s="70" t="s">
        <v>1489</v>
      </c>
      <c r="C1163" s="70" t="s">
        <v>54</v>
      </c>
      <c r="D1163" s="70" t="s">
        <v>1488</v>
      </c>
      <c r="E1163" s="70" t="s">
        <v>324</v>
      </c>
      <c r="F1163" s="71">
        <v>183</v>
      </c>
      <c r="G1163" s="71">
        <v>1</v>
      </c>
      <c r="H1163" s="72" t="s">
        <v>4320</v>
      </c>
      <c r="I1163" s="71" t="b">
        <v>1</v>
      </c>
      <c r="J1163" s="71">
        <v>78</v>
      </c>
      <c r="K1163" s="71">
        <v>74</v>
      </c>
      <c r="L1163" s="71">
        <v>75</v>
      </c>
      <c r="M1163" s="71">
        <v>8</v>
      </c>
      <c r="N1163" s="71">
        <v>11</v>
      </c>
      <c r="O1163" s="71">
        <v>0</v>
      </c>
      <c r="P1163" s="71">
        <v>15</v>
      </c>
      <c r="Q1163" s="71">
        <v>71</v>
      </c>
      <c r="R1163" s="71">
        <v>128</v>
      </c>
      <c r="S1163" s="71" t="s">
        <v>48</v>
      </c>
      <c r="T1163" s="73" t="s">
        <v>4368</v>
      </c>
      <c r="U1163" s="71" t="s">
        <v>3999</v>
      </c>
      <c r="V1163" s="71" t="b">
        <v>0</v>
      </c>
    </row>
    <row r="1164" spans="1:22" ht="17.25">
      <c r="A1164" s="70">
        <v>837</v>
      </c>
      <c r="B1164" s="70" t="s">
        <v>1487</v>
      </c>
      <c r="C1164" s="70" t="s">
        <v>2061</v>
      </c>
      <c r="D1164" s="70" t="s">
        <v>1486</v>
      </c>
      <c r="E1164" s="70" t="s">
        <v>1485</v>
      </c>
      <c r="F1164" s="71">
        <v>68</v>
      </c>
      <c r="G1164" s="71">
        <v>3</v>
      </c>
      <c r="H1164" s="72">
        <v>0.13750000000000001</v>
      </c>
      <c r="I1164" s="71" t="b">
        <v>1</v>
      </c>
      <c r="J1164" s="71">
        <v>75</v>
      </c>
      <c r="K1164" s="71">
        <v>75</v>
      </c>
      <c r="L1164" s="71">
        <v>79</v>
      </c>
      <c r="M1164" s="71">
        <v>12</v>
      </c>
      <c r="N1164" s="71">
        <v>10</v>
      </c>
      <c r="O1164" s="71">
        <v>0</v>
      </c>
      <c r="P1164" s="71">
        <v>12</v>
      </c>
      <c r="Q1164" s="71">
        <v>58</v>
      </c>
      <c r="R1164" s="71">
        <v>125</v>
      </c>
      <c r="S1164" s="71" t="s">
        <v>1012</v>
      </c>
      <c r="T1164" s="73">
        <v>45793</v>
      </c>
      <c r="U1164" s="71" t="s">
        <v>3396</v>
      </c>
      <c r="V1164" s="71" t="b">
        <v>0</v>
      </c>
    </row>
    <row r="1165" spans="1:22" ht="17.25">
      <c r="A1165" s="70">
        <v>837</v>
      </c>
      <c r="B1165" s="70" t="s">
        <v>1487</v>
      </c>
      <c r="C1165" s="70" t="s">
        <v>4766</v>
      </c>
      <c r="D1165" s="70" t="s">
        <v>1486</v>
      </c>
      <c r="E1165" s="70" t="s">
        <v>1485</v>
      </c>
      <c r="F1165" s="71">
        <v>68</v>
      </c>
      <c r="G1165" s="71">
        <v>3</v>
      </c>
      <c r="H1165" s="72">
        <v>0.13750000000000001</v>
      </c>
      <c r="I1165" s="71" t="b">
        <v>1</v>
      </c>
      <c r="J1165" s="71">
        <v>75</v>
      </c>
      <c r="K1165" s="71">
        <v>75</v>
      </c>
      <c r="L1165" s="71">
        <v>79</v>
      </c>
      <c r="M1165" s="71">
        <v>12</v>
      </c>
      <c r="N1165" s="71">
        <v>10</v>
      </c>
      <c r="O1165" s="71">
        <v>0</v>
      </c>
      <c r="P1165" s="71">
        <v>12</v>
      </c>
      <c r="Q1165" s="71">
        <v>58</v>
      </c>
      <c r="R1165" s="71">
        <v>125</v>
      </c>
      <c r="S1165" s="71" t="s">
        <v>1012</v>
      </c>
      <c r="T1165" s="73">
        <v>45793</v>
      </c>
      <c r="U1165" s="71" t="s">
        <v>3396</v>
      </c>
      <c r="V1165" s="71" t="b">
        <v>0</v>
      </c>
    </row>
    <row r="1166" spans="1:22" ht="17.25">
      <c r="A1166" s="70">
        <v>838</v>
      </c>
      <c r="B1166" s="70" t="s">
        <v>1484</v>
      </c>
      <c r="C1166" s="70" t="s">
        <v>1483</v>
      </c>
      <c r="D1166" s="70" t="s">
        <v>1482</v>
      </c>
      <c r="E1166" s="70" t="s">
        <v>1077</v>
      </c>
      <c r="F1166" s="71">
        <v>193</v>
      </c>
      <c r="G1166" s="71">
        <v>1</v>
      </c>
      <c r="H1166" s="72" t="s">
        <v>4320</v>
      </c>
      <c r="I1166" s="71" t="b">
        <v>0</v>
      </c>
      <c r="J1166" s="71">
        <v>85</v>
      </c>
      <c r="K1166" s="71">
        <v>78</v>
      </c>
      <c r="L1166" s="71">
        <v>76</v>
      </c>
      <c r="M1166" s="71">
        <v>14</v>
      </c>
      <c r="N1166" s="71">
        <v>12</v>
      </c>
      <c r="O1166" s="71">
        <v>1</v>
      </c>
      <c r="P1166" s="71">
        <v>18</v>
      </c>
      <c r="Q1166" s="71">
        <v>75</v>
      </c>
      <c r="R1166" s="71">
        <v>128</v>
      </c>
      <c r="S1166" s="71" t="s">
        <v>96</v>
      </c>
      <c r="T1166" s="73" t="s">
        <v>4324</v>
      </c>
      <c r="U1166" s="71" t="s">
        <v>4000</v>
      </c>
      <c r="V1166" s="71" t="b">
        <v>0</v>
      </c>
    </row>
    <row r="1167" spans="1:22" ht="17.25">
      <c r="A1167" s="70">
        <v>839</v>
      </c>
      <c r="B1167" s="70" t="s">
        <v>1481</v>
      </c>
      <c r="C1167" s="70" t="s">
        <v>54</v>
      </c>
      <c r="D1167" s="70" t="s">
        <v>1480</v>
      </c>
      <c r="E1167" s="70" t="s">
        <v>324</v>
      </c>
      <c r="F1167" s="71">
        <v>91</v>
      </c>
      <c r="G1167" s="71">
        <v>1</v>
      </c>
      <c r="H1167" s="72" t="s">
        <v>4320</v>
      </c>
      <c r="I1167" s="71" t="b">
        <v>1</v>
      </c>
      <c r="J1167" s="71">
        <v>70</v>
      </c>
      <c r="K1167" s="71">
        <v>59</v>
      </c>
      <c r="L1167" s="71">
        <v>72</v>
      </c>
      <c r="M1167" s="71">
        <v>5</v>
      </c>
      <c r="N1167" s="71">
        <v>32</v>
      </c>
      <c r="O1167" s="71">
        <v>0</v>
      </c>
      <c r="P1167" s="71">
        <v>11</v>
      </c>
      <c r="Q1167" s="71">
        <v>48</v>
      </c>
      <c r="R1167" s="71">
        <v>115</v>
      </c>
      <c r="S1167" s="71" t="s">
        <v>48</v>
      </c>
      <c r="T1167" s="73" t="s">
        <v>4368</v>
      </c>
      <c r="U1167" s="71" t="s">
        <v>4001</v>
      </c>
      <c r="V1167" s="71" t="b">
        <v>0</v>
      </c>
    </row>
    <row r="1168" spans="1:22" ht="17.25">
      <c r="A1168" s="70">
        <v>840</v>
      </c>
      <c r="B1168" s="70" t="s">
        <v>1479</v>
      </c>
      <c r="C1168" s="70" t="s">
        <v>1478</v>
      </c>
      <c r="D1168" s="70" t="s">
        <v>1477</v>
      </c>
      <c r="E1168" s="70" t="s">
        <v>1412</v>
      </c>
      <c r="F1168" s="71">
        <v>149</v>
      </c>
      <c r="G1168" s="71">
        <v>2</v>
      </c>
      <c r="H1168" s="72">
        <v>0.14861111111111111</v>
      </c>
      <c r="I1168" s="71" t="b">
        <v>1</v>
      </c>
      <c r="J1168" s="71">
        <v>53</v>
      </c>
      <c r="K1168" s="71">
        <v>83</v>
      </c>
      <c r="L1168" s="71">
        <v>90</v>
      </c>
      <c r="M1168" s="71">
        <v>5</v>
      </c>
      <c r="N1168" s="71">
        <v>4</v>
      </c>
      <c r="O1168" s="71">
        <v>1</v>
      </c>
      <c r="P1168" s="71">
        <v>10</v>
      </c>
      <c r="Q1168" s="71">
        <v>38</v>
      </c>
      <c r="R1168" s="71">
        <v>180</v>
      </c>
      <c r="S1168" s="71" t="s">
        <v>96</v>
      </c>
      <c r="T1168" s="73">
        <v>37509</v>
      </c>
      <c r="U1168" s="71" t="s">
        <v>4002</v>
      </c>
      <c r="V1168" s="71" t="b">
        <v>0</v>
      </c>
    </row>
    <row r="1169" spans="1:22" ht="17.25">
      <c r="A1169" s="70">
        <v>841</v>
      </c>
      <c r="B1169" s="70" t="s">
        <v>1476</v>
      </c>
      <c r="C1169" s="70" t="s">
        <v>1613</v>
      </c>
      <c r="D1169" s="70" t="s">
        <v>1475</v>
      </c>
      <c r="E1169" s="70" t="s">
        <v>327</v>
      </c>
      <c r="F1169" s="71">
        <v>114</v>
      </c>
      <c r="G1169" s="71">
        <v>1</v>
      </c>
      <c r="H1169" s="72" t="s">
        <v>4320</v>
      </c>
      <c r="I1169" s="71" t="b">
        <v>1</v>
      </c>
      <c r="J1169" s="71">
        <v>78</v>
      </c>
      <c r="K1169" s="71">
        <v>63</v>
      </c>
      <c r="L1169" s="71">
        <v>72</v>
      </c>
      <c r="M1169" s="71">
        <v>11</v>
      </c>
      <c r="N1169" s="71">
        <v>22</v>
      </c>
      <c r="O1169" s="71">
        <v>0</v>
      </c>
      <c r="P1169" s="71">
        <v>13</v>
      </c>
      <c r="Q1169" s="71">
        <v>61</v>
      </c>
      <c r="R1169" s="71">
        <v>116</v>
      </c>
      <c r="S1169" s="71" t="s">
        <v>48</v>
      </c>
      <c r="T1169" s="73" t="s">
        <v>4337</v>
      </c>
      <c r="U1169" s="71" t="s">
        <v>3760</v>
      </c>
      <c r="V1169" s="71" t="b">
        <v>0</v>
      </c>
    </row>
    <row r="1170" spans="1:22" ht="17.25">
      <c r="A1170" s="70">
        <v>841</v>
      </c>
      <c r="B1170" s="70" t="s">
        <v>1476</v>
      </c>
      <c r="C1170" s="70" t="s">
        <v>4678</v>
      </c>
      <c r="D1170" s="70" t="s">
        <v>1475</v>
      </c>
      <c r="E1170" s="70" t="s">
        <v>327</v>
      </c>
      <c r="F1170" s="71">
        <v>114</v>
      </c>
      <c r="G1170" s="71">
        <v>1</v>
      </c>
      <c r="H1170" s="72" t="s">
        <v>4320</v>
      </c>
      <c r="I1170" s="71" t="b">
        <v>1</v>
      </c>
      <c r="J1170" s="71">
        <v>78</v>
      </c>
      <c r="K1170" s="71">
        <v>63</v>
      </c>
      <c r="L1170" s="71">
        <v>72</v>
      </c>
      <c r="M1170" s="71">
        <v>11</v>
      </c>
      <c r="N1170" s="71">
        <v>22</v>
      </c>
      <c r="O1170" s="71">
        <v>0</v>
      </c>
      <c r="P1170" s="71">
        <v>13</v>
      </c>
      <c r="Q1170" s="71">
        <v>61</v>
      </c>
      <c r="R1170" s="71">
        <v>116</v>
      </c>
      <c r="S1170" s="71" t="s">
        <v>48</v>
      </c>
      <c r="T1170" s="73" t="s">
        <v>4337</v>
      </c>
      <c r="U1170" s="71" t="s">
        <v>3760</v>
      </c>
      <c r="V1170" s="71" t="b">
        <v>0</v>
      </c>
    </row>
    <row r="1171" spans="1:22" ht="17.25">
      <c r="A1171" s="70">
        <v>842</v>
      </c>
      <c r="B1171" s="70" t="s">
        <v>1474</v>
      </c>
      <c r="C1171" s="70" t="s">
        <v>318</v>
      </c>
      <c r="D1171" s="70" t="s">
        <v>1473</v>
      </c>
      <c r="E1171" s="70" t="s">
        <v>316</v>
      </c>
      <c r="F1171" s="71">
        <v>18</v>
      </c>
      <c r="G1171" s="71">
        <v>7</v>
      </c>
      <c r="H1171" s="72" t="s">
        <v>4317</v>
      </c>
      <c r="I1171" s="71" t="b">
        <v>0</v>
      </c>
      <c r="J1171" s="71">
        <v>63</v>
      </c>
      <c r="K1171" s="71">
        <v>50</v>
      </c>
      <c r="L1171" s="71">
        <v>71</v>
      </c>
      <c r="M1171" s="71">
        <v>4</v>
      </c>
      <c r="N1171" s="71">
        <v>51</v>
      </c>
      <c r="O1171" s="71">
        <v>0</v>
      </c>
      <c r="P1171" s="71">
        <v>10</v>
      </c>
      <c r="Q1171" s="71">
        <v>40</v>
      </c>
      <c r="R1171" s="71">
        <v>133</v>
      </c>
      <c r="S1171" s="71" t="s">
        <v>74</v>
      </c>
      <c r="T1171" s="73" t="s">
        <v>4327</v>
      </c>
      <c r="U1171" s="71" t="s">
        <v>3561</v>
      </c>
      <c r="V1171" s="71" t="b">
        <v>0</v>
      </c>
    </row>
    <row r="1172" spans="1:22" ht="17.25">
      <c r="A1172" s="70">
        <v>843</v>
      </c>
      <c r="B1172" s="70" t="s">
        <v>1472</v>
      </c>
      <c r="C1172" s="70" t="s">
        <v>131</v>
      </c>
      <c r="D1172" s="70" t="s">
        <v>1471</v>
      </c>
      <c r="E1172" s="70" t="s">
        <v>129</v>
      </c>
      <c r="F1172" s="71">
        <v>24</v>
      </c>
      <c r="G1172" s="71">
        <v>5</v>
      </c>
      <c r="H1172" s="72">
        <v>0.12847222222222221</v>
      </c>
      <c r="I1172" s="71" t="b">
        <v>1</v>
      </c>
      <c r="J1172" s="71">
        <v>27</v>
      </c>
      <c r="K1172" s="71">
        <v>28</v>
      </c>
      <c r="L1172" s="71">
        <v>46</v>
      </c>
      <c r="M1172" s="71">
        <v>5</v>
      </c>
      <c r="N1172" s="71">
        <v>2</v>
      </c>
      <c r="O1172" s="71">
        <v>48</v>
      </c>
      <c r="P1172" s="71">
        <v>11</v>
      </c>
      <c r="Q1172" s="71">
        <v>8</v>
      </c>
      <c r="R1172" s="71">
        <v>111</v>
      </c>
      <c r="S1172" s="71" t="s">
        <v>128</v>
      </c>
      <c r="T1172" s="73">
        <v>45662</v>
      </c>
      <c r="U1172" s="71" t="s">
        <v>3593</v>
      </c>
      <c r="V1172" s="71" t="b">
        <v>0</v>
      </c>
    </row>
    <row r="1173" spans="1:22" ht="17.25">
      <c r="A1173" s="70">
        <v>844</v>
      </c>
      <c r="B1173" s="70" t="s">
        <v>1470</v>
      </c>
      <c r="C1173" s="70" t="s">
        <v>780</v>
      </c>
      <c r="D1173" s="70" t="s">
        <v>1469</v>
      </c>
      <c r="E1173" s="70" t="s">
        <v>344</v>
      </c>
      <c r="F1173" s="71">
        <v>67</v>
      </c>
      <c r="G1173" s="71">
        <v>2</v>
      </c>
      <c r="H1173" s="72">
        <v>0.17499999999999999</v>
      </c>
      <c r="I1173" s="71" t="b">
        <v>0</v>
      </c>
      <c r="J1173" s="71">
        <v>19</v>
      </c>
      <c r="K1173" s="71">
        <v>40</v>
      </c>
      <c r="L1173" s="71">
        <v>86</v>
      </c>
      <c r="M1173" s="71">
        <v>3</v>
      </c>
      <c r="N1173" s="71">
        <v>23</v>
      </c>
      <c r="O1173" s="71">
        <v>0</v>
      </c>
      <c r="P1173" s="71">
        <v>18</v>
      </c>
      <c r="Q1173" s="71">
        <v>6</v>
      </c>
      <c r="R1173" s="71">
        <v>85</v>
      </c>
      <c r="S1173" s="71" t="s">
        <v>26</v>
      </c>
      <c r="T1173" s="73">
        <v>45688</v>
      </c>
      <c r="U1173" s="71" t="s">
        <v>3483</v>
      </c>
      <c r="V1173" s="71" t="b">
        <v>0</v>
      </c>
    </row>
    <row r="1174" spans="1:22" ht="17.25">
      <c r="A1174" s="70">
        <v>844</v>
      </c>
      <c r="B1174" s="70" t="s">
        <v>1470</v>
      </c>
      <c r="C1174" s="70" t="s">
        <v>237</v>
      </c>
      <c r="D1174" s="70" t="s">
        <v>1469</v>
      </c>
      <c r="E1174" s="70" t="s">
        <v>344</v>
      </c>
      <c r="F1174" s="71">
        <v>67</v>
      </c>
      <c r="G1174" s="71">
        <v>2</v>
      </c>
      <c r="H1174" s="72">
        <v>0.17499999999999999</v>
      </c>
      <c r="I1174" s="71" t="b">
        <v>0</v>
      </c>
      <c r="J1174" s="71">
        <v>19</v>
      </c>
      <c r="K1174" s="71">
        <v>40</v>
      </c>
      <c r="L1174" s="71">
        <v>86</v>
      </c>
      <c r="M1174" s="71">
        <v>3</v>
      </c>
      <c r="N1174" s="71">
        <v>23</v>
      </c>
      <c r="O1174" s="71">
        <v>0</v>
      </c>
      <c r="P1174" s="71">
        <v>18</v>
      </c>
      <c r="Q1174" s="71">
        <v>6</v>
      </c>
      <c r="R1174" s="71">
        <v>85</v>
      </c>
      <c r="S1174" s="71" t="s">
        <v>26</v>
      </c>
      <c r="T1174" s="73">
        <v>45688</v>
      </c>
      <c r="U1174" s="71" t="s">
        <v>3483</v>
      </c>
      <c r="V1174" s="71" t="b">
        <v>0</v>
      </c>
    </row>
    <row r="1175" spans="1:22" ht="17.25">
      <c r="A1175" s="70">
        <v>845</v>
      </c>
      <c r="B1175" s="70" t="s">
        <v>1468</v>
      </c>
      <c r="C1175" s="70" t="s">
        <v>178</v>
      </c>
      <c r="D1175" s="70" t="s">
        <v>1467</v>
      </c>
      <c r="E1175" s="70" t="s">
        <v>84</v>
      </c>
      <c r="F1175" s="71">
        <v>12</v>
      </c>
      <c r="G1175" s="71">
        <v>16</v>
      </c>
      <c r="H1175" s="72">
        <v>0.17083333333333334</v>
      </c>
      <c r="I1175" s="71" t="b">
        <v>0</v>
      </c>
      <c r="J1175" s="71">
        <v>68</v>
      </c>
      <c r="K1175" s="71">
        <v>68</v>
      </c>
      <c r="L1175" s="71">
        <v>78</v>
      </c>
      <c r="M1175" s="71">
        <v>5</v>
      </c>
      <c r="N1175" s="71">
        <v>20</v>
      </c>
      <c r="O1175" s="71">
        <v>0</v>
      </c>
      <c r="P1175" s="71">
        <v>12</v>
      </c>
      <c r="Q1175" s="71">
        <v>72</v>
      </c>
      <c r="R1175" s="71">
        <v>93</v>
      </c>
      <c r="S1175" s="71" t="s">
        <v>96</v>
      </c>
      <c r="T1175" s="73">
        <v>30285</v>
      </c>
      <c r="U1175" s="71" t="s">
        <v>3647</v>
      </c>
      <c r="V1175" s="71" t="b">
        <v>0</v>
      </c>
    </row>
    <row r="1176" spans="1:22" ht="17.25">
      <c r="A1176" s="70">
        <v>846</v>
      </c>
      <c r="B1176" s="70" t="s">
        <v>1466</v>
      </c>
      <c r="C1176" s="70" t="s">
        <v>198</v>
      </c>
      <c r="D1176" s="70" t="s">
        <v>412</v>
      </c>
      <c r="E1176" s="70" t="s">
        <v>196</v>
      </c>
      <c r="F1176" s="71">
        <v>16</v>
      </c>
      <c r="G1176" s="71">
        <v>6</v>
      </c>
      <c r="H1176" s="72" t="s">
        <v>4334</v>
      </c>
      <c r="I1176" s="71" t="b">
        <v>0</v>
      </c>
      <c r="J1176" s="71">
        <v>54</v>
      </c>
      <c r="K1176" s="71">
        <v>46</v>
      </c>
      <c r="L1176" s="71">
        <v>70</v>
      </c>
      <c r="M1176" s="71">
        <v>4</v>
      </c>
      <c r="N1176" s="71">
        <v>58</v>
      </c>
      <c r="O1176" s="71">
        <v>0</v>
      </c>
      <c r="P1176" s="71">
        <v>11</v>
      </c>
      <c r="Q1176" s="71">
        <v>36</v>
      </c>
      <c r="R1176" s="71">
        <v>112</v>
      </c>
      <c r="S1176" s="71" t="s">
        <v>195</v>
      </c>
      <c r="T1176" s="73" t="s">
        <v>4337</v>
      </c>
      <c r="U1176" s="71" t="s">
        <v>4003</v>
      </c>
      <c r="V1176" s="71" t="b">
        <v>0</v>
      </c>
    </row>
    <row r="1177" spans="1:22" ht="17.25">
      <c r="A1177" s="70">
        <v>847</v>
      </c>
      <c r="B1177" s="70" t="s">
        <v>1465</v>
      </c>
      <c r="C1177" s="70" t="s">
        <v>122</v>
      </c>
      <c r="D1177" s="70" t="s">
        <v>1464</v>
      </c>
      <c r="E1177" s="70" t="s">
        <v>120</v>
      </c>
      <c r="F1177" s="71">
        <v>172</v>
      </c>
      <c r="G1177" s="71">
        <v>1</v>
      </c>
      <c r="H1177" s="72">
        <v>0.13750000000000001</v>
      </c>
      <c r="I1177" s="71" t="b">
        <v>0</v>
      </c>
      <c r="J1177" s="71">
        <v>65</v>
      </c>
      <c r="K1177" s="71">
        <v>62</v>
      </c>
      <c r="L1177" s="71">
        <v>76</v>
      </c>
      <c r="M1177" s="71">
        <v>6</v>
      </c>
      <c r="N1177" s="71">
        <v>35</v>
      </c>
      <c r="O1177" s="71">
        <v>0</v>
      </c>
      <c r="P1177" s="71">
        <v>11</v>
      </c>
      <c r="Q1177" s="71">
        <v>45</v>
      </c>
      <c r="R1177" s="71">
        <v>95</v>
      </c>
      <c r="S1177" s="71" t="s">
        <v>74</v>
      </c>
      <c r="T1177" s="73">
        <v>45513</v>
      </c>
      <c r="U1177" s="71" t="s">
        <v>4004</v>
      </c>
      <c r="V1177" s="71" t="b">
        <v>0</v>
      </c>
    </row>
    <row r="1178" spans="1:22" ht="17.25">
      <c r="A1178" s="70">
        <v>848</v>
      </c>
      <c r="B1178" s="70" t="s">
        <v>1463</v>
      </c>
      <c r="C1178" s="70" t="s">
        <v>182</v>
      </c>
      <c r="D1178" s="70" t="s">
        <v>1462</v>
      </c>
      <c r="E1178" s="70" t="s">
        <v>349</v>
      </c>
      <c r="F1178" s="71">
        <v>170</v>
      </c>
      <c r="G1178" s="71">
        <v>1</v>
      </c>
      <c r="H1178" s="72" t="s">
        <v>4320</v>
      </c>
      <c r="I1178" s="71" t="b">
        <v>0</v>
      </c>
      <c r="J1178" s="71">
        <v>70</v>
      </c>
      <c r="K1178" s="71">
        <v>51</v>
      </c>
      <c r="L1178" s="71">
        <v>70</v>
      </c>
      <c r="M1178" s="71">
        <v>14</v>
      </c>
      <c r="N1178" s="71">
        <v>42</v>
      </c>
      <c r="O1178" s="71">
        <v>0</v>
      </c>
      <c r="P1178" s="71">
        <v>11</v>
      </c>
      <c r="Q1178" s="71">
        <v>43</v>
      </c>
      <c r="R1178" s="71">
        <v>116</v>
      </c>
      <c r="S1178" s="71" t="s">
        <v>26</v>
      </c>
      <c r="T1178" s="73" t="s">
        <v>4385</v>
      </c>
      <c r="U1178" s="71" t="s">
        <v>4005</v>
      </c>
      <c r="V1178" s="71" t="b">
        <v>0</v>
      </c>
    </row>
    <row r="1179" spans="1:22" ht="17.25">
      <c r="A1179" s="70">
        <v>848</v>
      </c>
      <c r="B1179" s="70" t="s">
        <v>1463</v>
      </c>
      <c r="C1179" s="70" t="s">
        <v>1260</v>
      </c>
      <c r="D1179" s="70" t="s">
        <v>1462</v>
      </c>
      <c r="E1179" s="70" t="s">
        <v>349</v>
      </c>
      <c r="F1179" s="71">
        <v>170</v>
      </c>
      <c r="G1179" s="71">
        <v>1</v>
      </c>
      <c r="H1179" s="72" t="s">
        <v>4320</v>
      </c>
      <c r="I1179" s="71" t="b">
        <v>0</v>
      </c>
      <c r="J1179" s="71">
        <v>70</v>
      </c>
      <c r="K1179" s="71">
        <v>51</v>
      </c>
      <c r="L1179" s="71">
        <v>70</v>
      </c>
      <c r="M1179" s="71">
        <v>14</v>
      </c>
      <c r="N1179" s="71">
        <v>42</v>
      </c>
      <c r="O1179" s="71">
        <v>0</v>
      </c>
      <c r="P1179" s="71">
        <v>11</v>
      </c>
      <c r="Q1179" s="71">
        <v>43</v>
      </c>
      <c r="R1179" s="71">
        <v>116</v>
      </c>
      <c r="S1179" s="71" t="s">
        <v>26</v>
      </c>
      <c r="T1179" s="73" t="s">
        <v>4385</v>
      </c>
      <c r="U1179" s="71" t="s">
        <v>4005</v>
      </c>
      <c r="V1179" s="71" t="b">
        <v>0</v>
      </c>
    </row>
    <row r="1180" spans="1:22" ht="17.25">
      <c r="A1180" s="70">
        <v>848</v>
      </c>
      <c r="B1180" s="70" t="s">
        <v>1463</v>
      </c>
      <c r="C1180" s="70" t="s">
        <v>4509</v>
      </c>
      <c r="D1180" s="70" t="s">
        <v>1462</v>
      </c>
      <c r="E1180" s="70" t="s">
        <v>349</v>
      </c>
      <c r="F1180" s="71">
        <v>170</v>
      </c>
      <c r="G1180" s="71">
        <v>1</v>
      </c>
      <c r="H1180" s="72" t="s">
        <v>4320</v>
      </c>
      <c r="I1180" s="71" t="b">
        <v>0</v>
      </c>
      <c r="J1180" s="71">
        <v>70</v>
      </c>
      <c r="K1180" s="71">
        <v>51</v>
      </c>
      <c r="L1180" s="71">
        <v>70</v>
      </c>
      <c r="M1180" s="71">
        <v>14</v>
      </c>
      <c r="N1180" s="71">
        <v>42</v>
      </c>
      <c r="O1180" s="71">
        <v>0</v>
      </c>
      <c r="P1180" s="71">
        <v>11</v>
      </c>
      <c r="Q1180" s="71">
        <v>43</v>
      </c>
      <c r="R1180" s="71">
        <v>116</v>
      </c>
      <c r="S1180" s="71" t="s">
        <v>26</v>
      </c>
      <c r="T1180" s="73" t="s">
        <v>4385</v>
      </c>
      <c r="U1180" s="71" t="s">
        <v>4005</v>
      </c>
      <c r="V1180" s="71" t="b">
        <v>0</v>
      </c>
    </row>
    <row r="1181" spans="1:22" ht="17.25">
      <c r="A1181" s="70">
        <v>849</v>
      </c>
      <c r="B1181" s="70" t="s">
        <v>1461</v>
      </c>
      <c r="C1181" s="70" t="s">
        <v>4435</v>
      </c>
      <c r="D1181" s="70" t="s">
        <v>1460</v>
      </c>
      <c r="E1181" s="70" t="s">
        <v>1459</v>
      </c>
      <c r="F1181" s="71">
        <v>108</v>
      </c>
      <c r="G1181" s="71">
        <v>4</v>
      </c>
      <c r="H1181" s="72">
        <v>0.12847222222222221</v>
      </c>
      <c r="I1181" s="71" t="b">
        <v>1</v>
      </c>
      <c r="J1181" s="71">
        <v>75</v>
      </c>
      <c r="K1181" s="71">
        <v>73</v>
      </c>
      <c r="L1181" s="71">
        <v>90</v>
      </c>
      <c r="M1181" s="71">
        <v>4</v>
      </c>
      <c r="N1181" s="71">
        <v>41</v>
      </c>
      <c r="O1181" s="71">
        <v>0</v>
      </c>
      <c r="P1181" s="71">
        <v>25</v>
      </c>
      <c r="Q1181" s="71">
        <v>68</v>
      </c>
      <c r="R1181" s="71">
        <v>118</v>
      </c>
      <c r="S1181" s="71" t="s">
        <v>61</v>
      </c>
      <c r="T1181" s="73">
        <v>45793</v>
      </c>
      <c r="U1181" s="71" t="s">
        <v>4006</v>
      </c>
      <c r="V1181" s="71" t="b">
        <v>0</v>
      </c>
    </row>
    <row r="1182" spans="1:22" ht="17.25">
      <c r="A1182" s="70">
        <v>849</v>
      </c>
      <c r="B1182" s="70" t="s">
        <v>1461</v>
      </c>
      <c r="C1182" s="70" t="s">
        <v>1987</v>
      </c>
      <c r="D1182" s="70" t="s">
        <v>1460</v>
      </c>
      <c r="E1182" s="70" t="s">
        <v>1459</v>
      </c>
      <c r="F1182" s="71">
        <v>108</v>
      </c>
      <c r="G1182" s="71">
        <v>4</v>
      </c>
      <c r="H1182" s="72">
        <v>0.12847222222222221</v>
      </c>
      <c r="I1182" s="71" t="b">
        <v>1</v>
      </c>
      <c r="J1182" s="71">
        <v>75</v>
      </c>
      <c r="K1182" s="71">
        <v>73</v>
      </c>
      <c r="L1182" s="71">
        <v>90</v>
      </c>
      <c r="M1182" s="71">
        <v>4</v>
      </c>
      <c r="N1182" s="71">
        <v>41</v>
      </c>
      <c r="O1182" s="71">
        <v>0</v>
      </c>
      <c r="P1182" s="71">
        <v>25</v>
      </c>
      <c r="Q1182" s="71">
        <v>68</v>
      </c>
      <c r="R1182" s="71">
        <v>118</v>
      </c>
      <c r="S1182" s="71" t="s">
        <v>61</v>
      </c>
      <c r="T1182" s="73">
        <v>45793</v>
      </c>
      <c r="U1182" s="71" t="s">
        <v>4006</v>
      </c>
      <c r="V1182" s="71" t="b">
        <v>0</v>
      </c>
    </row>
    <row r="1183" spans="1:22" ht="17.25">
      <c r="A1183" s="70">
        <v>851</v>
      </c>
      <c r="B1183" s="70" t="s">
        <v>1454</v>
      </c>
      <c r="C1183" s="70" t="s">
        <v>4767</v>
      </c>
      <c r="D1183" s="70" t="s">
        <v>1453</v>
      </c>
      <c r="E1183" s="70" t="s">
        <v>1452</v>
      </c>
      <c r="F1183" s="71">
        <v>10</v>
      </c>
      <c r="G1183" s="71">
        <v>15</v>
      </c>
      <c r="H1183" s="72">
        <v>0.15833333333333333</v>
      </c>
      <c r="I1183" s="71" t="b">
        <v>0</v>
      </c>
      <c r="J1183" s="71">
        <v>53</v>
      </c>
      <c r="K1183" s="71">
        <v>33</v>
      </c>
      <c r="L1183" s="71">
        <v>87</v>
      </c>
      <c r="M1183" s="71">
        <v>2</v>
      </c>
      <c r="N1183" s="71">
        <v>60</v>
      </c>
      <c r="O1183" s="71">
        <v>0</v>
      </c>
      <c r="P1183" s="71">
        <v>28</v>
      </c>
      <c r="Q1183" s="71">
        <v>18</v>
      </c>
      <c r="R1183" s="71">
        <v>94</v>
      </c>
      <c r="S1183" s="71" t="s">
        <v>74</v>
      </c>
      <c r="T1183" s="73">
        <v>45702</v>
      </c>
      <c r="U1183" s="71" t="s">
        <v>4007</v>
      </c>
      <c r="V1183" s="71" t="b">
        <v>0</v>
      </c>
    </row>
    <row r="1184" spans="1:22" ht="17.25">
      <c r="A1184" s="70">
        <v>851</v>
      </c>
      <c r="B1184" s="70" t="s">
        <v>1454</v>
      </c>
      <c r="C1184" s="70" t="s">
        <v>4510</v>
      </c>
      <c r="D1184" s="70" t="s">
        <v>1453</v>
      </c>
      <c r="E1184" s="70" t="s">
        <v>1452</v>
      </c>
      <c r="F1184" s="71">
        <v>10</v>
      </c>
      <c r="G1184" s="71">
        <v>15</v>
      </c>
      <c r="H1184" s="72">
        <v>0.15833333333333333</v>
      </c>
      <c r="I1184" s="71" t="b">
        <v>0</v>
      </c>
      <c r="J1184" s="71">
        <v>53</v>
      </c>
      <c r="K1184" s="71">
        <v>33</v>
      </c>
      <c r="L1184" s="71">
        <v>87</v>
      </c>
      <c r="M1184" s="71">
        <v>2</v>
      </c>
      <c r="N1184" s="71">
        <v>60</v>
      </c>
      <c r="O1184" s="71">
        <v>0</v>
      </c>
      <c r="P1184" s="71">
        <v>28</v>
      </c>
      <c r="Q1184" s="71">
        <v>18</v>
      </c>
      <c r="R1184" s="71">
        <v>94</v>
      </c>
      <c r="S1184" s="71" t="s">
        <v>74</v>
      </c>
      <c r="T1184" s="73">
        <v>45702</v>
      </c>
      <c r="U1184" s="71" t="s">
        <v>4007</v>
      </c>
      <c r="V1184" s="71" t="b">
        <v>0</v>
      </c>
    </row>
    <row r="1185" spans="1:22" ht="17.25">
      <c r="A1185" s="70">
        <v>852</v>
      </c>
      <c r="B1185" s="70" t="s">
        <v>1451</v>
      </c>
      <c r="C1185" s="70" t="s">
        <v>651</v>
      </c>
      <c r="D1185" s="70" t="s">
        <v>1450</v>
      </c>
      <c r="E1185" s="70" t="s">
        <v>188</v>
      </c>
      <c r="F1185" s="71">
        <v>134</v>
      </c>
      <c r="G1185" s="71">
        <v>17</v>
      </c>
      <c r="H1185" s="72">
        <v>0.12847222222222221</v>
      </c>
      <c r="I1185" s="71" t="b">
        <v>1</v>
      </c>
      <c r="J1185" s="71">
        <v>75</v>
      </c>
      <c r="K1185" s="71">
        <v>64</v>
      </c>
      <c r="L1185" s="71">
        <v>89</v>
      </c>
      <c r="M1185" s="71">
        <v>4</v>
      </c>
      <c r="N1185" s="71">
        <v>25</v>
      </c>
      <c r="O1185" s="71">
        <v>0</v>
      </c>
      <c r="P1185" s="71">
        <v>10</v>
      </c>
      <c r="Q1185" s="71">
        <v>92</v>
      </c>
      <c r="R1185" s="71">
        <v>125</v>
      </c>
      <c r="S1185" s="71" t="s">
        <v>61</v>
      </c>
      <c r="T1185" s="73">
        <v>45730</v>
      </c>
      <c r="U1185" s="71" t="s">
        <v>4008</v>
      </c>
      <c r="V1185" s="71" t="b">
        <v>0</v>
      </c>
    </row>
    <row r="1186" spans="1:22" ht="17.25">
      <c r="A1186" s="70">
        <v>853</v>
      </c>
      <c r="B1186" s="70" t="s">
        <v>1449</v>
      </c>
      <c r="C1186" s="70" t="s">
        <v>182</v>
      </c>
      <c r="D1186" s="70" t="s">
        <v>1448</v>
      </c>
      <c r="E1186" s="70" t="s">
        <v>180</v>
      </c>
      <c r="F1186" s="71">
        <v>12</v>
      </c>
      <c r="G1186" s="71">
        <v>2</v>
      </c>
      <c r="H1186" s="72" t="s">
        <v>4320</v>
      </c>
      <c r="I1186" s="71" t="b">
        <v>1</v>
      </c>
      <c r="J1186" s="71">
        <v>65</v>
      </c>
      <c r="K1186" s="71">
        <v>46</v>
      </c>
      <c r="L1186" s="71">
        <v>69</v>
      </c>
      <c r="M1186" s="71">
        <v>40</v>
      </c>
      <c r="N1186" s="71">
        <v>63</v>
      </c>
      <c r="O1186" s="71">
        <v>0</v>
      </c>
      <c r="P1186" s="71">
        <v>12</v>
      </c>
      <c r="Q1186" s="71">
        <v>21</v>
      </c>
      <c r="R1186" s="71">
        <v>85</v>
      </c>
      <c r="S1186" s="71" t="s">
        <v>48</v>
      </c>
      <c r="T1186" s="73" t="s">
        <v>4330</v>
      </c>
      <c r="U1186" s="71" t="s">
        <v>3683</v>
      </c>
      <c r="V1186" s="71" t="b">
        <v>0</v>
      </c>
    </row>
    <row r="1187" spans="1:22" ht="17.25">
      <c r="A1187" s="70">
        <v>854</v>
      </c>
      <c r="B1187" s="70" t="s">
        <v>1447</v>
      </c>
      <c r="C1187" s="70" t="s">
        <v>485</v>
      </c>
      <c r="D1187" s="70" t="s">
        <v>843</v>
      </c>
      <c r="E1187" s="70" t="s">
        <v>483</v>
      </c>
      <c r="F1187" s="71">
        <v>16</v>
      </c>
      <c r="G1187" s="71">
        <v>26</v>
      </c>
      <c r="H1187" s="72">
        <v>0.12847222222222221</v>
      </c>
      <c r="I1187" s="71" t="b">
        <v>0</v>
      </c>
      <c r="J1187" s="71">
        <v>85</v>
      </c>
      <c r="K1187" s="71">
        <v>71</v>
      </c>
      <c r="L1187" s="71">
        <v>91</v>
      </c>
      <c r="M1187" s="71">
        <v>7</v>
      </c>
      <c r="N1187" s="71">
        <v>7</v>
      </c>
      <c r="O1187" s="71">
        <v>1</v>
      </c>
      <c r="P1187" s="71">
        <v>14</v>
      </c>
      <c r="Q1187" s="71">
        <v>63</v>
      </c>
      <c r="R1187" s="71">
        <v>92</v>
      </c>
      <c r="S1187" s="71" t="s">
        <v>61</v>
      </c>
      <c r="T1187" s="73">
        <v>45730</v>
      </c>
      <c r="U1187" s="71" t="s">
        <v>3405</v>
      </c>
      <c r="V1187" s="71" t="b">
        <v>0</v>
      </c>
    </row>
    <row r="1188" spans="1:22" ht="17.25">
      <c r="A1188" s="70">
        <v>855</v>
      </c>
      <c r="B1188" s="70" t="s">
        <v>1446</v>
      </c>
      <c r="C1188" s="70" t="s">
        <v>1144</v>
      </c>
      <c r="D1188" s="70" t="s">
        <v>1143</v>
      </c>
      <c r="E1188" s="70" t="s">
        <v>1142</v>
      </c>
      <c r="F1188" s="71">
        <v>15</v>
      </c>
      <c r="G1188" s="71">
        <v>23</v>
      </c>
      <c r="H1188" s="72" t="s">
        <v>4317</v>
      </c>
      <c r="I1188" s="71" t="b">
        <v>0</v>
      </c>
      <c r="J1188" s="71">
        <v>66</v>
      </c>
      <c r="K1188" s="71">
        <v>58</v>
      </c>
      <c r="L1188" s="71">
        <v>72</v>
      </c>
      <c r="M1188" s="71">
        <v>6</v>
      </c>
      <c r="N1188" s="71">
        <v>36</v>
      </c>
      <c r="O1188" s="71">
        <v>0</v>
      </c>
      <c r="P1188" s="71">
        <v>14</v>
      </c>
      <c r="Q1188" s="71">
        <v>54</v>
      </c>
      <c r="R1188" s="71">
        <v>124</v>
      </c>
      <c r="S1188" s="71" t="s">
        <v>96</v>
      </c>
      <c r="T1188" s="73" t="s">
        <v>4345</v>
      </c>
      <c r="U1188" s="71" t="s">
        <v>4009</v>
      </c>
      <c r="V1188" s="71" t="b">
        <v>0</v>
      </c>
    </row>
    <row r="1189" spans="1:22" ht="17.25">
      <c r="A1189" s="70">
        <v>856</v>
      </c>
      <c r="B1189" s="70" t="s">
        <v>1445</v>
      </c>
      <c r="C1189" s="70" t="s">
        <v>67</v>
      </c>
      <c r="D1189" s="70" t="s">
        <v>1444</v>
      </c>
      <c r="E1189" s="70" t="s">
        <v>65</v>
      </c>
      <c r="F1189" s="71">
        <v>38</v>
      </c>
      <c r="G1189" s="71">
        <v>1</v>
      </c>
      <c r="H1189" s="72">
        <v>0.11666666666666667</v>
      </c>
      <c r="I1189" s="71" t="b">
        <v>1</v>
      </c>
      <c r="J1189" s="71">
        <v>86</v>
      </c>
      <c r="K1189" s="71">
        <v>64</v>
      </c>
      <c r="L1189" s="71">
        <v>90</v>
      </c>
      <c r="M1189" s="71">
        <v>20</v>
      </c>
      <c r="N1189" s="71">
        <v>0</v>
      </c>
      <c r="O1189" s="71">
        <v>0</v>
      </c>
      <c r="P1189" s="71">
        <v>9</v>
      </c>
      <c r="Q1189" s="71">
        <v>43</v>
      </c>
      <c r="R1189" s="71">
        <v>142</v>
      </c>
      <c r="S1189" s="71" t="s">
        <v>48</v>
      </c>
      <c r="T1189" s="73">
        <v>45730</v>
      </c>
      <c r="U1189" s="71" t="s">
        <v>3912</v>
      </c>
      <c r="V1189" s="71" t="b">
        <v>0</v>
      </c>
    </row>
    <row r="1190" spans="1:22" ht="17.25">
      <c r="A1190" s="70">
        <v>856</v>
      </c>
      <c r="B1190" s="70" t="s">
        <v>1445</v>
      </c>
      <c r="C1190" s="70" t="s">
        <v>4648</v>
      </c>
      <c r="D1190" s="70" t="s">
        <v>1444</v>
      </c>
      <c r="E1190" s="70" t="s">
        <v>65</v>
      </c>
      <c r="F1190" s="71">
        <v>38</v>
      </c>
      <c r="G1190" s="71">
        <v>1</v>
      </c>
      <c r="H1190" s="72">
        <v>0.11666666666666667</v>
      </c>
      <c r="I1190" s="71" t="b">
        <v>1</v>
      </c>
      <c r="J1190" s="71">
        <v>86</v>
      </c>
      <c r="K1190" s="71">
        <v>64</v>
      </c>
      <c r="L1190" s="71">
        <v>90</v>
      </c>
      <c r="M1190" s="71">
        <v>20</v>
      </c>
      <c r="N1190" s="71">
        <v>0</v>
      </c>
      <c r="O1190" s="71">
        <v>0</v>
      </c>
      <c r="P1190" s="71">
        <v>9</v>
      </c>
      <c r="Q1190" s="71">
        <v>43</v>
      </c>
      <c r="R1190" s="71">
        <v>142</v>
      </c>
      <c r="S1190" s="71" t="s">
        <v>48</v>
      </c>
      <c r="T1190" s="73">
        <v>45730</v>
      </c>
      <c r="U1190" s="71" t="s">
        <v>3912</v>
      </c>
      <c r="V1190" s="71" t="b">
        <v>0</v>
      </c>
    </row>
    <row r="1191" spans="1:22" ht="17.25">
      <c r="A1191" s="70">
        <v>857</v>
      </c>
      <c r="B1191" s="70" t="s">
        <v>1443</v>
      </c>
      <c r="C1191" s="70" t="s">
        <v>198</v>
      </c>
      <c r="D1191" s="70" t="s">
        <v>1442</v>
      </c>
      <c r="E1191" s="70" t="s">
        <v>196</v>
      </c>
      <c r="F1191" s="71">
        <v>48</v>
      </c>
      <c r="G1191" s="71">
        <v>2</v>
      </c>
      <c r="H1191" s="72" t="s">
        <v>4334</v>
      </c>
      <c r="I1191" s="71" t="b">
        <v>0</v>
      </c>
      <c r="J1191" s="71">
        <v>52</v>
      </c>
      <c r="K1191" s="71">
        <v>40</v>
      </c>
      <c r="L1191" s="71">
        <v>69</v>
      </c>
      <c r="M1191" s="71">
        <v>5</v>
      </c>
      <c r="N1191" s="71">
        <v>64</v>
      </c>
      <c r="O1191" s="71">
        <v>0</v>
      </c>
      <c r="P1191" s="71">
        <v>14</v>
      </c>
      <c r="Q1191" s="71">
        <v>30</v>
      </c>
      <c r="R1191" s="71">
        <v>94</v>
      </c>
      <c r="S1191" s="71" t="s">
        <v>195</v>
      </c>
      <c r="T1191" s="73" t="s">
        <v>4337</v>
      </c>
      <c r="U1191" s="71" t="s">
        <v>3860</v>
      </c>
      <c r="V1191" s="71" t="b">
        <v>0</v>
      </c>
    </row>
    <row r="1192" spans="1:22" ht="17.25">
      <c r="A1192" s="70">
        <v>858</v>
      </c>
      <c r="B1192" s="70" t="s">
        <v>1441</v>
      </c>
      <c r="C1192" s="70" t="s">
        <v>4768</v>
      </c>
      <c r="D1192" s="70" t="s">
        <v>1440</v>
      </c>
      <c r="E1192" s="70" t="s">
        <v>1439</v>
      </c>
      <c r="F1192" s="71">
        <v>79</v>
      </c>
      <c r="G1192" s="71">
        <v>6</v>
      </c>
      <c r="H1192" s="72" t="s">
        <v>4317</v>
      </c>
      <c r="I1192" s="71" t="b">
        <v>1</v>
      </c>
      <c r="J1192" s="71">
        <v>75</v>
      </c>
      <c r="K1192" s="71">
        <v>78</v>
      </c>
      <c r="L1192" s="71">
        <v>75</v>
      </c>
      <c r="M1192" s="71">
        <v>8</v>
      </c>
      <c r="N1192" s="71">
        <v>12</v>
      </c>
      <c r="O1192" s="71">
        <v>0</v>
      </c>
      <c r="P1192" s="71">
        <v>19</v>
      </c>
      <c r="Q1192" s="71">
        <v>62</v>
      </c>
      <c r="R1192" s="71">
        <v>142</v>
      </c>
      <c r="S1192" s="71" t="s">
        <v>48</v>
      </c>
      <c r="T1192" s="73" t="s">
        <v>4388</v>
      </c>
      <c r="U1192" s="71" t="s">
        <v>4010</v>
      </c>
      <c r="V1192" s="71" t="b">
        <v>0</v>
      </c>
    </row>
    <row r="1193" spans="1:22" ht="17.25">
      <c r="A1193" s="70">
        <v>858</v>
      </c>
      <c r="B1193" s="70" t="s">
        <v>1441</v>
      </c>
      <c r="C1193" s="70" t="s">
        <v>4511</v>
      </c>
      <c r="D1193" s="70" t="s">
        <v>1440</v>
      </c>
      <c r="E1193" s="70" t="s">
        <v>1439</v>
      </c>
      <c r="F1193" s="71">
        <v>79</v>
      </c>
      <c r="G1193" s="71">
        <v>6</v>
      </c>
      <c r="H1193" s="72" t="s">
        <v>4317</v>
      </c>
      <c r="I1193" s="71" t="b">
        <v>1</v>
      </c>
      <c r="J1193" s="71">
        <v>75</v>
      </c>
      <c r="K1193" s="71">
        <v>78</v>
      </c>
      <c r="L1193" s="71">
        <v>75</v>
      </c>
      <c r="M1193" s="71">
        <v>8</v>
      </c>
      <c r="N1193" s="71">
        <v>12</v>
      </c>
      <c r="O1193" s="71">
        <v>0</v>
      </c>
      <c r="P1193" s="71">
        <v>19</v>
      </c>
      <c r="Q1193" s="71">
        <v>62</v>
      </c>
      <c r="R1193" s="71">
        <v>142</v>
      </c>
      <c r="S1193" s="71" t="s">
        <v>48</v>
      </c>
      <c r="T1193" s="73" t="s">
        <v>4388</v>
      </c>
      <c r="U1193" s="71" t="s">
        <v>4010</v>
      </c>
      <c r="V1193" s="71" t="b">
        <v>0</v>
      </c>
    </row>
    <row r="1194" spans="1:22" ht="17.25">
      <c r="A1194" s="70">
        <v>859</v>
      </c>
      <c r="B1194" s="70" t="s">
        <v>1438</v>
      </c>
      <c r="C1194" s="70" t="s">
        <v>356</v>
      </c>
      <c r="D1194" s="70" t="s">
        <v>1437</v>
      </c>
      <c r="E1194" s="70" t="s">
        <v>200</v>
      </c>
      <c r="F1194" s="71">
        <v>61</v>
      </c>
      <c r="G1194" s="71">
        <v>20</v>
      </c>
      <c r="H1194" s="72">
        <v>0.16805555555555557</v>
      </c>
      <c r="I1194" s="71" t="b">
        <v>0</v>
      </c>
      <c r="J1194" s="71">
        <v>55</v>
      </c>
      <c r="K1194" s="71">
        <v>55</v>
      </c>
      <c r="L1194" s="71">
        <v>74</v>
      </c>
      <c r="M1194" s="71">
        <v>4</v>
      </c>
      <c r="N1194" s="71">
        <v>45</v>
      </c>
      <c r="O1194" s="71">
        <v>0</v>
      </c>
      <c r="P1194" s="71">
        <v>14</v>
      </c>
      <c r="Q1194" s="71">
        <v>72</v>
      </c>
      <c r="R1194" s="71">
        <v>120</v>
      </c>
      <c r="S1194" s="71" t="s">
        <v>29</v>
      </c>
      <c r="T1194" s="73">
        <v>40513</v>
      </c>
      <c r="U1194" s="71" t="s">
        <v>4011</v>
      </c>
      <c r="V1194" s="71" t="b">
        <v>1</v>
      </c>
    </row>
    <row r="1195" spans="1:22" ht="17.25">
      <c r="A1195" s="70">
        <v>860</v>
      </c>
      <c r="B1195" s="70" t="s">
        <v>1436</v>
      </c>
      <c r="C1195" s="70" t="s">
        <v>221</v>
      </c>
      <c r="D1195" s="70" t="s">
        <v>1435</v>
      </c>
      <c r="E1195" s="70" t="s">
        <v>219</v>
      </c>
      <c r="F1195" s="71">
        <v>98</v>
      </c>
      <c r="G1195" s="71">
        <v>4</v>
      </c>
      <c r="H1195" s="72">
        <v>0.13750000000000001</v>
      </c>
      <c r="I1195" s="71" t="b">
        <v>0</v>
      </c>
      <c r="J1195" s="71">
        <v>62</v>
      </c>
      <c r="K1195" s="71">
        <v>68</v>
      </c>
      <c r="L1195" s="71">
        <v>78</v>
      </c>
      <c r="M1195" s="71">
        <v>6</v>
      </c>
      <c r="N1195" s="71">
        <v>25</v>
      </c>
      <c r="O1195" s="71">
        <v>0</v>
      </c>
      <c r="P1195" s="71">
        <v>11</v>
      </c>
      <c r="Q1195" s="71">
        <v>50</v>
      </c>
      <c r="R1195" s="71">
        <v>100</v>
      </c>
      <c r="S1195" s="71" t="s">
        <v>143</v>
      </c>
      <c r="T1195" s="73">
        <v>45793</v>
      </c>
      <c r="U1195" s="71" t="s">
        <v>3401</v>
      </c>
      <c r="V1195" s="71" t="b">
        <v>0</v>
      </c>
    </row>
    <row r="1196" spans="1:22" ht="17.25">
      <c r="A1196" s="70">
        <v>861</v>
      </c>
      <c r="B1196" s="70" t="s">
        <v>1434</v>
      </c>
      <c r="C1196" s="70" t="s">
        <v>1433</v>
      </c>
      <c r="D1196" s="70" t="s">
        <v>1432</v>
      </c>
      <c r="E1196" s="70" t="s">
        <v>1431</v>
      </c>
      <c r="F1196" s="71">
        <v>58</v>
      </c>
      <c r="G1196" s="71">
        <v>9</v>
      </c>
      <c r="H1196" s="72">
        <v>0.11666666666666667</v>
      </c>
      <c r="I1196" s="71" t="b">
        <v>0</v>
      </c>
      <c r="J1196" s="71">
        <v>80</v>
      </c>
      <c r="K1196" s="71">
        <v>90</v>
      </c>
      <c r="L1196" s="71">
        <v>96</v>
      </c>
      <c r="M1196" s="71">
        <v>13</v>
      </c>
      <c r="N1196" s="71">
        <v>1</v>
      </c>
      <c r="O1196" s="71">
        <v>0</v>
      </c>
      <c r="P1196" s="71">
        <v>10</v>
      </c>
      <c r="Q1196" s="71">
        <v>53</v>
      </c>
      <c r="R1196" s="71">
        <v>130</v>
      </c>
      <c r="S1196" s="71" t="s">
        <v>115</v>
      </c>
      <c r="T1196" s="73">
        <v>45534</v>
      </c>
      <c r="U1196" s="71" t="s">
        <v>4012</v>
      </c>
      <c r="V1196" s="71" t="b">
        <v>0</v>
      </c>
    </row>
    <row r="1197" spans="1:22" ht="17.25">
      <c r="A1197" s="70">
        <v>862</v>
      </c>
      <c r="B1197" s="70" t="s">
        <v>1430</v>
      </c>
      <c r="C1197" s="70" t="s">
        <v>1938</v>
      </c>
      <c r="D1197" s="70" t="s">
        <v>1429</v>
      </c>
      <c r="E1197" s="70" t="s">
        <v>1077</v>
      </c>
      <c r="F1197" s="71">
        <v>199</v>
      </c>
      <c r="G1197" s="71">
        <v>1</v>
      </c>
      <c r="H1197" s="72">
        <v>0.11666666666666667</v>
      </c>
      <c r="I1197" s="71" t="b">
        <v>0</v>
      </c>
      <c r="J1197" s="71">
        <v>68</v>
      </c>
      <c r="K1197" s="71">
        <v>68</v>
      </c>
      <c r="L1197" s="71">
        <v>78</v>
      </c>
      <c r="M1197" s="71">
        <v>5</v>
      </c>
      <c r="N1197" s="71">
        <v>25</v>
      </c>
      <c r="O1197" s="71">
        <v>0</v>
      </c>
      <c r="P1197" s="71">
        <v>14</v>
      </c>
      <c r="Q1197" s="71">
        <v>82</v>
      </c>
      <c r="R1197" s="71">
        <v>120</v>
      </c>
      <c r="S1197" s="71" t="s">
        <v>29</v>
      </c>
      <c r="T1197" s="73">
        <v>39014</v>
      </c>
      <c r="U1197" s="71" t="s">
        <v>4013</v>
      </c>
      <c r="V1197" s="71" t="b">
        <v>1</v>
      </c>
    </row>
    <row r="1198" spans="1:22" ht="17.25">
      <c r="A1198" s="70">
        <v>862</v>
      </c>
      <c r="B1198" s="70" t="s">
        <v>1430</v>
      </c>
      <c r="C1198" s="70" t="s">
        <v>4769</v>
      </c>
      <c r="D1198" s="70" t="s">
        <v>1429</v>
      </c>
      <c r="E1198" s="70" t="s">
        <v>1077</v>
      </c>
      <c r="F1198" s="71">
        <v>199</v>
      </c>
      <c r="G1198" s="71">
        <v>1</v>
      </c>
      <c r="H1198" s="72">
        <v>0.11666666666666667</v>
      </c>
      <c r="I1198" s="71" t="b">
        <v>0</v>
      </c>
      <c r="J1198" s="71">
        <v>68</v>
      </c>
      <c r="K1198" s="71">
        <v>68</v>
      </c>
      <c r="L1198" s="71">
        <v>78</v>
      </c>
      <c r="M1198" s="71">
        <v>5</v>
      </c>
      <c r="N1198" s="71">
        <v>25</v>
      </c>
      <c r="O1198" s="71">
        <v>0</v>
      </c>
      <c r="P1198" s="71">
        <v>14</v>
      </c>
      <c r="Q1198" s="71">
        <v>82</v>
      </c>
      <c r="R1198" s="71">
        <v>120</v>
      </c>
      <c r="S1198" s="71" t="s">
        <v>29</v>
      </c>
      <c r="T1198" s="73">
        <v>39014</v>
      </c>
      <c r="U1198" s="71" t="s">
        <v>4013</v>
      </c>
      <c r="V1198" s="71" t="b">
        <v>1</v>
      </c>
    </row>
    <row r="1199" spans="1:22" ht="17.25">
      <c r="A1199" s="70">
        <v>863</v>
      </c>
      <c r="B1199" s="70" t="s">
        <v>1428</v>
      </c>
      <c r="C1199" s="70" t="s">
        <v>366</v>
      </c>
      <c r="D1199" s="70" t="s">
        <v>1427</v>
      </c>
      <c r="E1199" s="70" t="s">
        <v>171</v>
      </c>
      <c r="F1199" s="71">
        <v>100</v>
      </c>
      <c r="G1199" s="71">
        <v>1</v>
      </c>
      <c r="H1199" s="72" t="s">
        <v>4315</v>
      </c>
      <c r="I1199" s="71" t="b">
        <v>0</v>
      </c>
      <c r="J1199" s="71">
        <v>68</v>
      </c>
      <c r="K1199" s="71">
        <v>63</v>
      </c>
      <c r="L1199" s="71">
        <v>73</v>
      </c>
      <c r="M1199" s="71">
        <v>5</v>
      </c>
      <c r="N1199" s="71">
        <v>38</v>
      </c>
      <c r="O1199" s="71">
        <v>0</v>
      </c>
      <c r="P1199" s="71">
        <v>13</v>
      </c>
      <c r="Q1199" s="71">
        <v>56</v>
      </c>
      <c r="R1199" s="71">
        <v>100</v>
      </c>
      <c r="S1199" s="71" t="s">
        <v>96</v>
      </c>
      <c r="T1199" s="73" t="s">
        <v>4368</v>
      </c>
      <c r="U1199" s="71" t="s">
        <v>4014</v>
      </c>
      <c r="V1199" s="71" t="b">
        <v>0</v>
      </c>
    </row>
    <row r="1200" spans="1:22" ht="17.25">
      <c r="A1200" s="70">
        <v>864</v>
      </c>
      <c r="B1200" s="70" t="s">
        <v>1426</v>
      </c>
      <c r="C1200" s="70" t="s">
        <v>1026</v>
      </c>
      <c r="D1200" s="70" t="s">
        <v>1425</v>
      </c>
      <c r="E1200" s="70" t="s">
        <v>579</v>
      </c>
      <c r="F1200" s="71">
        <v>27</v>
      </c>
      <c r="G1200" s="71">
        <v>125</v>
      </c>
      <c r="H1200" s="72">
        <v>0.13958333333333334</v>
      </c>
      <c r="I1200" s="71" t="b">
        <v>1</v>
      </c>
      <c r="J1200" s="71">
        <v>56</v>
      </c>
      <c r="K1200" s="71">
        <v>55</v>
      </c>
      <c r="L1200" s="71">
        <v>88</v>
      </c>
      <c r="M1200" s="71">
        <v>13</v>
      </c>
      <c r="N1200" s="71">
        <v>14</v>
      </c>
      <c r="O1200" s="71">
        <v>0</v>
      </c>
      <c r="P1200" s="71">
        <v>11</v>
      </c>
      <c r="Q1200" s="71">
        <v>39</v>
      </c>
      <c r="R1200" s="71">
        <v>143</v>
      </c>
      <c r="S1200" s="71" t="s">
        <v>26</v>
      </c>
      <c r="T1200" s="73">
        <v>44904</v>
      </c>
      <c r="U1200" s="71" t="s">
        <v>4015</v>
      </c>
      <c r="V1200" s="71" t="b">
        <v>0</v>
      </c>
    </row>
    <row r="1201" spans="1:22" ht="17.25">
      <c r="A1201" s="70">
        <v>866</v>
      </c>
      <c r="B1201" s="70" t="s">
        <v>1424</v>
      </c>
      <c r="C1201" s="70" t="s">
        <v>1006</v>
      </c>
      <c r="D1201" s="70" t="s">
        <v>1423</v>
      </c>
      <c r="E1201" s="70" t="s">
        <v>120</v>
      </c>
      <c r="F1201" s="71">
        <v>143</v>
      </c>
      <c r="G1201" s="71">
        <v>4</v>
      </c>
      <c r="H1201" s="72">
        <v>0.17499999999999999</v>
      </c>
      <c r="I1201" s="71" t="b">
        <v>0</v>
      </c>
      <c r="J1201" s="71">
        <v>81</v>
      </c>
      <c r="K1201" s="71">
        <v>59</v>
      </c>
      <c r="L1201" s="71">
        <v>93</v>
      </c>
      <c r="M1201" s="71">
        <v>5</v>
      </c>
      <c r="N1201" s="71">
        <v>3</v>
      </c>
      <c r="O1201" s="71">
        <v>0</v>
      </c>
      <c r="P1201" s="71">
        <v>12</v>
      </c>
      <c r="Q1201" s="71">
        <v>66</v>
      </c>
      <c r="R1201" s="71">
        <v>123</v>
      </c>
      <c r="S1201" s="71" t="s">
        <v>34</v>
      </c>
      <c r="T1201" s="73">
        <v>45618</v>
      </c>
      <c r="U1201" s="71" t="s">
        <v>4016</v>
      </c>
      <c r="V1201" s="71" t="b">
        <v>0</v>
      </c>
    </row>
    <row r="1202" spans="1:22" ht="17.25">
      <c r="A1202" s="70">
        <v>867</v>
      </c>
      <c r="B1202" s="70" t="s">
        <v>1422</v>
      </c>
      <c r="C1202" s="70" t="s">
        <v>178</v>
      </c>
      <c r="D1202" s="70" t="s">
        <v>1421</v>
      </c>
      <c r="E1202" s="70" t="s">
        <v>388</v>
      </c>
      <c r="F1202" s="71">
        <v>150</v>
      </c>
      <c r="G1202" s="71">
        <v>3</v>
      </c>
      <c r="H1202" s="72">
        <v>0.16666666666666666</v>
      </c>
      <c r="I1202" s="71" t="b">
        <v>0</v>
      </c>
      <c r="J1202" s="71">
        <v>83</v>
      </c>
      <c r="K1202" s="71">
        <v>92</v>
      </c>
      <c r="L1202" s="71">
        <v>96</v>
      </c>
      <c r="M1202" s="71">
        <v>6</v>
      </c>
      <c r="N1202" s="71">
        <v>15</v>
      </c>
      <c r="O1202" s="71">
        <v>0</v>
      </c>
      <c r="P1202" s="71">
        <v>30</v>
      </c>
      <c r="Q1202" s="71">
        <v>80</v>
      </c>
      <c r="R1202" s="71">
        <v>108</v>
      </c>
      <c r="S1202" s="71" t="s">
        <v>26</v>
      </c>
      <c r="T1202" s="73">
        <v>33617</v>
      </c>
      <c r="U1202" s="71" t="s">
        <v>4017</v>
      </c>
      <c r="V1202" s="71" t="b">
        <v>0</v>
      </c>
    </row>
    <row r="1203" spans="1:22" ht="17.25">
      <c r="A1203" s="70">
        <v>868</v>
      </c>
      <c r="B1203" s="70" t="s">
        <v>1420</v>
      </c>
      <c r="C1203" s="70" t="s">
        <v>4512</v>
      </c>
      <c r="D1203" s="70" t="s">
        <v>1419</v>
      </c>
      <c r="E1203" s="70" t="s">
        <v>1418</v>
      </c>
      <c r="F1203" s="71">
        <v>111</v>
      </c>
      <c r="G1203" s="71">
        <v>5</v>
      </c>
      <c r="H1203" s="72">
        <v>0.11666666666666667</v>
      </c>
      <c r="I1203" s="71" t="b">
        <v>1</v>
      </c>
      <c r="J1203" s="71">
        <v>51</v>
      </c>
      <c r="K1203" s="71">
        <v>74</v>
      </c>
      <c r="L1203" s="71">
        <v>88</v>
      </c>
      <c r="M1203" s="71">
        <v>4</v>
      </c>
      <c r="N1203" s="71">
        <v>1</v>
      </c>
      <c r="O1203" s="71">
        <v>0</v>
      </c>
      <c r="P1203" s="71">
        <v>11</v>
      </c>
      <c r="Q1203" s="71">
        <v>15</v>
      </c>
      <c r="R1203" s="71">
        <v>62</v>
      </c>
      <c r="S1203" s="71" t="s">
        <v>768</v>
      </c>
      <c r="T1203" s="73">
        <v>42638</v>
      </c>
      <c r="U1203" s="71" t="s">
        <v>4018</v>
      </c>
      <c r="V1203" s="71" t="b">
        <v>0</v>
      </c>
    </row>
    <row r="1204" spans="1:22" ht="17.25">
      <c r="A1204" s="70">
        <v>868</v>
      </c>
      <c r="B1204" s="70" t="s">
        <v>1420</v>
      </c>
      <c r="C1204" s="70" t="s">
        <v>4770</v>
      </c>
      <c r="D1204" s="70" t="s">
        <v>1419</v>
      </c>
      <c r="E1204" s="70" t="s">
        <v>1418</v>
      </c>
      <c r="F1204" s="71">
        <v>111</v>
      </c>
      <c r="G1204" s="71">
        <v>5</v>
      </c>
      <c r="H1204" s="72">
        <v>0.11666666666666667</v>
      </c>
      <c r="I1204" s="71" t="b">
        <v>1</v>
      </c>
      <c r="J1204" s="71">
        <v>51</v>
      </c>
      <c r="K1204" s="71">
        <v>74</v>
      </c>
      <c r="L1204" s="71">
        <v>88</v>
      </c>
      <c r="M1204" s="71">
        <v>4</v>
      </c>
      <c r="N1204" s="71">
        <v>1</v>
      </c>
      <c r="O1204" s="71">
        <v>0</v>
      </c>
      <c r="P1204" s="71">
        <v>11</v>
      </c>
      <c r="Q1204" s="71">
        <v>15</v>
      </c>
      <c r="R1204" s="71">
        <v>62</v>
      </c>
      <c r="S1204" s="71" t="s">
        <v>768</v>
      </c>
      <c r="T1204" s="73">
        <v>42638</v>
      </c>
      <c r="U1204" s="71" t="s">
        <v>4018</v>
      </c>
      <c r="V1204" s="71" t="b">
        <v>0</v>
      </c>
    </row>
    <row r="1205" spans="1:22" ht="17.25">
      <c r="A1205" s="70">
        <v>869</v>
      </c>
      <c r="B1205" s="70" t="s">
        <v>1417</v>
      </c>
      <c r="C1205" s="70" t="s">
        <v>4771</v>
      </c>
      <c r="D1205" s="70" t="s">
        <v>1416</v>
      </c>
      <c r="E1205" s="70" t="s">
        <v>1077</v>
      </c>
      <c r="F1205" s="71">
        <v>19</v>
      </c>
      <c r="G1205" s="71">
        <v>44</v>
      </c>
      <c r="H1205" s="72">
        <v>0.10833333333333334</v>
      </c>
      <c r="I1205" s="71" t="b">
        <v>0</v>
      </c>
      <c r="J1205" s="71">
        <v>52</v>
      </c>
      <c r="K1205" s="71">
        <v>50</v>
      </c>
      <c r="L1205" s="71">
        <v>72</v>
      </c>
      <c r="M1205" s="71">
        <v>3</v>
      </c>
      <c r="N1205" s="71">
        <v>55</v>
      </c>
      <c r="O1205" s="71">
        <v>0</v>
      </c>
      <c r="P1205" s="71">
        <v>15</v>
      </c>
      <c r="Q1205" s="71">
        <v>75</v>
      </c>
      <c r="R1205" s="71">
        <v>120</v>
      </c>
      <c r="S1205" s="71" t="s">
        <v>29</v>
      </c>
      <c r="T1205" s="73">
        <v>18568</v>
      </c>
      <c r="U1205" s="71" t="s">
        <v>4019</v>
      </c>
      <c r="V1205" s="71" t="b">
        <v>1</v>
      </c>
    </row>
    <row r="1206" spans="1:22" ht="17.25">
      <c r="A1206" s="70">
        <v>869</v>
      </c>
      <c r="B1206" s="70" t="s">
        <v>1417</v>
      </c>
      <c r="C1206" s="70" t="s">
        <v>1598</v>
      </c>
      <c r="D1206" s="70" t="s">
        <v>1416</v>
      </c>
      <c r="E1206" s="70" t="s">
        <v>1077</v>
      </c>
      <c r="F1206" s="71">
        <v>19</v>
      </c>
      <c r="G1206" s="71">
        <v>44</v>
      </c>
      <c r="H1206" s="72">
        <v>0.10833333333333334</v>
      </c>
      <c r="I1206" s="71" t="b">
        <v>0</v>
      </c>
      <c r="J1206" s="71">
        <v>52</v>
      </c>
      <c r="K1206" s="71">
        <v>50</v>
      </c>
      <c r="L1206" s="71">
        <v>72</v>
      </c>
      <c r="M1206" s="71">
        <v>3</v>
      </c>
      <c r="N1206" s="71">
        <v>55</v>
      </c>
      <c r="O1206" s="71">
        <v>0</v>
      </c>
      <c r="P1206" s="71">
        <v>15</v>
      </c>
      <c r="Q1206" s="71">
        <v>75</v>
      </c>
      <c r="R1206" s="71">
        <v>120</v>
      </c>
      <c r="S1206" s="71" t="s">
        <v>29</v>
      </c>
      <c r="T1206" s="73">
        <v>18568</v>
      </c>
      <c r="U1206" s="71" t="s">
        <v>4019</v>
      </c>
      <c r="V1206" s="71" t="b">
        <v>1</v>
      </c>
    </row>
    <row r="1207" spans="1:22" ht="17.25">
      <c r="A1207" s="70">
        <v>870</v>
      </c>
      <c r="B1207" s="70" t="s">
        <v>1415</v>
      </c>
      <c r="C1207" s="70" t="s">
        <v>1414</v>
      </c>
      <c r="D1207" s="70" t="s">
        <v>1413</v>
      </c>
      <c r="E1207" s="70" t="s">
        <v>1412</v>
      </c>
      <c r="F1207" s="71">
        <v>118</v>
      </c>
      <c r="G1207" s="71">
        <v>25</v>
      </c>
      <c r="H1207" s="72">
        <v>0.20069444444444445</v>
      </c>
      <c r="I1207" s="71" t="b">
        <v>0</v>
      </c>
      <c r="J1207" s="71">
        <v>74</v>
      </c>
      <c r="K1207" s="71">
        <v>77</v>
      </c>
      <c r="L1207" s="71">
        <v>89</v>
      </c>
      <c r="M1207" s="71">
        <v>3</v>
      </c>
      <c r="N1207" s="71">
        <v>9</v>
      </c>
      <c r="O1207" s="71">
        <v>0</v>
      </c>
      <c r="P1207" s="71">
        <v>51</v>
      </c>
      <c r="Q1207" s="71">
        <v>61</v>
      </c>
      <c r="R1207" s="71">
        <v>128</v>
      </c>
      <c r="S1207" s="71" t="s">
        <v>34</v>
      </c>
      <c r="T1207" s="73">
        <v>39973</v>
      </c>
      <c r="U1207" s="71" t="s">
        <v>3768</v>
      </c>
      <c r="V1207" s="71" t="b">
        <v>0</v>
      </c>
    </row>
    <row r="1208" spans="1:22" ht="17.25">
      <c r="A1208" s="70">
        <v>871</v>
      </c>
      <c r="B1208" s="70" t="s">
        <v>1411</v>
      </c>
      <c r="C1208" s="70" t="s">
        <v>318</v>
      </c>
      <c r="D1208" s="70" t="s">
        <v>1410</v>
      </c>
      <c r="E1208" s="70" t="s">
        <v>316</v>
      </c>
      <c r="F1208" s="71">
        <v>6</v>
      </c>
      <c r="G1208" s="71">
        <v>16</v>
      </c>
      <c r="H1208" s="72" t="s">
        <v>4315</v>
      </c>
      <c r="I1208" s="71" t="b">
        <v>0</v>
      </c>
      <c r="J1208" s="71">
        <v>70</v>
      </c>
      <c r="K1208" s="71">
        <v>56</v>
      </c>
      <c r="L1208" s="71">
        <v>72</v>
      </c>
      <c r="M1208" s="71">
        <v>5</v>
      </c>
      <c r="N1208" s="71">
        <v>39</v>
      </c>
      <c r="O1208" s="71">
        <v>0</v>
      </c>
      <c r="P1208" s="71">
        <v>14</v>
      </c>
      <c r="Q1208" s="71">
        <v>58</v>
      </c>
      <c r="R1208" s="71">
        <v>133</v>
      </c>
      <c r="S1208" s="71" t="s">
        <v>74</v>
      </c>
      <c r="T1208" s="73" t="s">
        <v>4327</v>
      </c>
      <c r="U1208" s="71" t="s">
        <v>3561</v>
      </c>
      <c r="V1208" s="71" t="b">
        <v>0</v>
      </c>
    </row>
    <row r="1209" spans="1:22" ht="17.25">
      <c r="A1209" s="70">
        <v>872</v>
      </c>
      <c r="B1209" s="70" t="s">
        <v>1409</v>
      </c>
      <c r="C1209" s="70" t="s">
        <v>1408</v>
      </c>
      <c r="D1209" s="70" t="s">
        <v>1407</v>
      </c>
      <c r="E1209" s="70" t="s">
        <v>735</v>
      </c>
      <c r="F1209" s="71">
        <v>145</v>
      </c>
      <c r="G1209" s="71">
        <v>1</v>
      </c>
      <c r="H1209" s="72">
        <v>0.12847222222222221</v>
      </c>
      <c r="I1209" s="71" t="b">
        <v>0</v>
      </c>
      <c r="J1209" s="71">
        <v>73</v>
      </c>
      <c r="K1209" s="71">
        <v>84</v>
      </c>
      <c r="L1209" s="71">
        <v>93</v>
      </c>
      <c r="M1209" s="71">
        <v>6</v>
      </c>
      <c r="N1209" s="71">
        <v>6</v>
      </c>
      <c r="O1209" s="71">
        <v>0</v>
      </c>
      <c r="P1209" s="71">
        <v>20</v>
      </c>
      <c r="Q1209" s="71">
        <v>83</v>
      </c>
      <c r="R1209" s="71">
        <v>138</v>
      </c>
      <c r="S1209" s="71" t="s">
        <v>96</v>
      </c>
      <c r="T1209" s="73">
        <v>45793</v>
      </c>
      <c r="U1209" s="71" t="s">
        <v>4020</v>
      </c>
      <c r="V1209" s="71" t="b">
        <v>0</v>
      </c>
    </row>
    <row r="1210" spans="1:22" ht="17.25">
      <c r="A1210" s="70">
        <v>873</v>
      </c>
      <c r="B1210" s="70" t="s">
        <v>1406</v>
      </c>
      <c r="C1210" s="70" t="s">
        <v>366</v>
      </c>
      <c r="D1210" s="70" t="s">
        <v>1405</v>
      </c>
      <c r="E1210" s="70" t="s">
        <v>680</v>
      </c>
      <c r="F1210" s="71">
        <v>90</v>
      </c>
      <c r="G1210" s="71">
        <v>7</v>
      </c>
      <c r="H1210" s="72">
        <v>0.15416666666666667</v>
      </c>
      <c r="I1210" s="71" t="b">
        <v>0</v>
      </c>
      <c r="J1210" s="71">
        <v>70</v>
      </c>
      <c r="K1210" s="71">
        <v>56</v>
      </c>
      <c r="L1210" s="71">
        <v>88</v>
      </c>
      <c r="M1210" s="71">
        <v>5</v>
      </c>
      <c r="N1210" s="71">
        <v>15</v>
      </c>
      <c r="O1210" s="71">
        <v>0</v>
      </c>
      <c r="P1210" s="71">
        <v>11</v>
      </c>
      <c r="Q1210" s="71">
        <v>24</v>
      </c>
      <c r="R1210" s="71">
        <v>110</v>
      </c>
      <c r="S1210" s="71" t="s">
        <v>96</v>
      </c>
      <c r="T1210" s="73">
        <v>40449</v>
      </c>
      <c r="U1210" s="71" t="s">
        <v>4021</v>
      </c>
      <c r="V1210" s="71" t="b">
        <v>0</v>
      </c>
    </row>
    <row r="1211" spans="1:22" ht="17.25">
      <c r="A1211" s="70">
        <v>874</v>
      </c>
      <c r="B1211" s="70" t="s">
        <v>1404</v>
      </c>
      <c r="C1211" s="70" t="s">
        <v>1987</v>
      </c>
      <c r="D1211" s="70" t="s">
        <v>1403</v>
      </c>
      <c r="E1211" s="70" t="s">
        <v>62</v>
      </c>
      <c r="F1211" s="71">
        <v>42</v>
      </c>
      <c r="G1211" s="71">
        <v>16</v>
      </c>
      <c r="H1211" s="72">
        <v>0.12847222222222221</v>
      </c>
      <c r="I1211" s="71" t="b">
        <v>1</v>
      </c>
      <c r="J1211" s="71">
        <v>78</v>
      </c>
      <c r="K1211" s="71">
        <v>74</v>
      </c>
      <c r="L1211" s="71">
        <v>80</v>
      </c>
      <c r="M1211" s="71">
        <v>10</v>
      </c>
      <c r="N1211" s="71">
        <v>15</v>
      </c>
      <c r="O1211" s="71">
        <v>0</v>
      </c>
      <c r="P1211" s="71">
        <v>12</v>
      </c>
      <c r="Q1211" s="71">
        <v>58</v>
      </c>
      <c r="R1211" s="71">
        <v>108</v>
      </c>
      <c r="S1211" s="71" t="s">
        <v>61</v>
      </c>
      <c r="T1211" s="73">
        <v>45765</v>
      </c>
      <c r="U1211" s="71" t="s">
        <v>3552</v>
      </c>
      <c r="V1211" s="71" t="b">
        <v>0</v>
      </c>
    </row>
    <row r="1212" spans="1:22" ht="17.25">
      <c r="A1212" s="70">
        <v>874</v>
      </c>
      <c r="B1212" s="70" t="s">
        <v>1404</v>
      </c>
      <c r="C1212" s="70" t="s">
        <v>141</v>
      </c>
      <c r="D1212" s="70" t="s">
        <v>1403</v>
      </c>
      <c r="E1212" s="70" t="s">
        <v>62</v>
      </c>
      <c r="F1212" s="71">
        <v>42</v>
      </c>
      <c r="G1212" s="71">
        <v>16</v>
      </c>
      <c r="H1212" s="72">
        <v>0.12847222222222221</v>
      </c>
      <c r="I1212" s="71" t="b">
        <v>1</v>
      </c>
      <c r="J1212" s="71">
        <v>78</v>
      </c>
      <c r="K1212" s="71">
        <v>74</v>
      </c>
      <c r="L1212" s="71">
        <v>80</v>
      </c>
      <c r="M1212" s="71">
        <v>10</v>
      </c>
      <c r="N1212" s="71">
        <v>15</v>
      </c>
      <c r="O1212" s="71">
        <v>0</v>
      </c>
      <c r="P1212" s="71">
        <v>12</v>
      </c>
      <c r="Q1212" s="71">
        <v>58</v>
      </c>
      <c r="R1212" s="71">
        <v>108</v>
      </c>
      <c r="S1212" s="71" t="s">
        <v>61</v>
      </c>
      <c r="T1212" s="73">
        <v>45765</v>
      </c>
      <c r="U1212" s="71" t="s">
        <v>3552</v>
      </c>
      <c r="V1212" s="71" t="b">
        <v>0</v>
      </c>
    </row>
    <row r="1213" spans="1:22" ht="17.25">
      <c r="A1213" s="70">
        <v>875</v>
      </c>
      <c r="B1213" s="70" t="s">
        <v>1402</v>
      </c>
      <c r="C1213" s="70" t="s">
        <v>705</v>
      </c>
      <c r="D1213" s="70" t="s">
        <v>1401</v>
      </c>
      <c r="E1213" s="70" t="s">
        <v>133</v>
      </c>
      <c r="F1213" s="71">
        <v>32</v>
      </c>
      <c r="G1213" s="71">
        <v>2</v>
      </c>
      <c r="H1213" s="72">
        <v>0.12847222222222221</v>
      </c>
      <c r="I1213" s="71" t="b">
        <v>0</v>
      </c>
      <c r="J1213" s="71">
        <v>67</v>
      </c>
      <c r="K1213" s="71">
        <v>91</v>
      </c>
      <c r="L1213" s="71">
        <v>93</v>
      </c>
      <c r="M1213" s="71">
        <v>3</v>
      </c>
      <c r="N1213" s="71">
        <v>0</v>
      </c>
      <c r="O1213" s="71">
        <v>0</v>
      </c>
      <c r="P1213" s="71">
        <v>13</v>
      </c>
      <c r="Q1213" s="71">
        <v>61</v>
      </c>
      <c r="R1213" s="71">
        <v>125</v>
      </c>
      <c r="S1213" s="71" t="s">
        <v>96</v>
      </c>
      <c r="T1213" s="73">
        <v>45723</v>
      </c>
      <c r="U1213" s="71" t="s">
        <v>3418</v>
      </c>
      <c r="V1213" s="71" t="b">
        <v>0</v>
      </c>
    </row>
    <row r="1214" spans="1:22" ht="17.25">
      <c r="A1214" s="70">
        <v>876</v>
      </c>
      <c r="B1214" s="70" t="s">
        <v>1400</v>
      </c>
      <c r="C1214" s="70" t="s">
        <v>54</v>
      </c>
      <c r="D1214" s="70" t="s">
        <v>1399</v>
      </c>
      <c r="E1214" s="70" t="s">
        <v>52</v>
      </c>
      <c r="F1214" s="71">
        <v>81</v>
      </c>
      <c r="G1214" s="71">
        <v>3</v>
      </c>
      <c r="H1214" s="72">
        <v>0.14930555555555555</v>
      </c>
      <c r="I1214" s="71" t="b">
        <v>0</v>
      </c>
      <c r="J1214" s="71">
        <v>58</v>
      </c>
      <c r="K1214" s="71">
        <v>68</v>
      </c>
      <c r="L1214" s="71">
        <v>93</v>
      </c>
      <c r="M1214" s="71">
        <v>4</v>
      </c>
      <c r="N1214" s="71">
        <v>5</v>
      </c>
      <c r="O1214" s="71">
        <v>0</v>
      </c>
      <c r="P1214" s="71">
        <v>10</v>
      </c>
      <c r="Q1214" s="71">
        <v>63</v>
      </c>
      <c r="R1214" s="71">
        <v>176</v>
      </c>
      <c r="S1214" s="71" t="s">
        <v>96</v>
      </c>
      <c r="T1214" s="73">
        <v>40134</v>
      </c>
      <c r="U1214" s="71" t="s">
        <v>4022</v>
      </c>
      <c r="V1214" s="71" t="b">
        <v>0</v>
      </c>
    </row>
    <row r="1215" spans="1:22" ht="17.25">
      <c r="A1215" s="70">
        <v>877</v>
      </c>
      <c r="B1215" s="70" t="s">
        <v>1398</v>
      </c>
      <c r="C1215" s="70" t="s">
        <v>485</v>
      </c>
      <c r="D1215" s="70" t="s">
        <v>1397</v>
      </c>
      <c r="E1215" s="70" t="s">
        <v>483</v>
      </c>
      <c r="F1215" s="71">
        <v>25</v>
      </c>
      <c r="G1215" s="71">
        <v>33</v>
      </c>
      <c r="H1215" s="72">
        <v>0.12847222222222221</v>
      </c>
      <c r="I1215" s="71" t="b">
        <v>0</v>
      </c>
      <c r="J1215" s="71">
        <v>70</v>
      </c>
      <c r="K1215" s="71">
        <v>78</v>
      </c>
      <c r="L1215" s="71">
        <v>88</v>
      </c>
      <c r="M1215" s="71">
        <v>3</v>
      </c>
      <c r="N1215" s="71">
        <v>38</v>
      </c>
      <c r="O1215" s="71">
        <v>0</v>
      </c>
      <c r="P1215" s="71">
        <v>34</v>
      </c>
      <c r="Q1215" s="71">
        <v>19</v>
      </c>
      <c r="R1215" s="71">
        <v>118</v>
      </c>
      <c r="S1215" s="71" t="s">
        <v>61</v>
      </c>
      <c r="T1215" s="73">
        <v>45730</v>
      </c>
      <c r="U1215" s="71" t="s">
        <v>3766</v>
      </c>
      <c r="V1215" s="71" t="b">
        <v>0</v>
      </c>
    </row>
    <row r="1216" spans="1:22" ht="17.25">
      <c r="A1216" s="70">
        <v>877</v>
      </c>
      <c r="B1216" s="70" t="s">
        <v>1398</v>
      </c>
      <c r="C1216" s="70" t="s">
        <v>1987</v>
      </c>
      <c r="D1216" s="70" t="s">
        <v>1397</v>
      </c>
      <c r="E1216" s="70" t="s">
        <v>483</v>
      </c>
      <c r="F1216" s="71">
        <v>25</v>
      </c>
      <c r="G1216" s="71">
        <v>33</v>
      </c>
      <c r="H1216" s="72">
        <v>0.12847222222222221</v>
      </c>
      <c r="I1216" s="71" t="b">
        <v>0</v>
      </c>
      <c r="J1216" s="71">
        <v>70</v>
      </c>
      <c r="K1216" s="71">
        <v>78</v>
      </c>
      <c r="L1216" s="71">
        <v>88</v>
      </c>
      <c r="M1216" s="71">
        <v>3</v>
      </c>
      <c r="N1216" s="71">
        <v>38</v>
      </c>
      <c r="O1216" s="71">
        <v>0</v>
      </c>
      <c r="P1216" s="71">
        <v>34</v>
      </c>
      <c r="Q1216" s="71">
        <v>19</v>
      </c>
      <c r="R1216" s="71">
        <v>118</v>
      </c>
      <c r="S1216" s="71" t="s">
        <v>61</v>
      </c>
      <c r="T1216" s="73">
        <v>45730</v>
      </c>
      <c r="U1216" s="71" t="s">
        <v>3766</v>
      </c>
      <c r="V1216" s="71" t="b">
        <v>0</v>
      </c>
    </row>
    <row r="1217" spans="1:22" ht="17.25">
      <c r="A1217" s="70">
        <v>878</v>
      </c>
      <c r="B1217" s="70" t="s">
        <v>1396</v>
      </c>
      <c r="C1217" s="70" t="s">
        <v>301</v>
      </c>
      <c r="D1217" s="70" t="s">
        <v>1395</v>
      </c>
      <c r="E1217" s="70" t="s">
        <v>44</v>
      </c>
      <c r="F1217" s="71">
        <v>7</v>
      </c>
      <c r="G1217" s="71">
        <v>16</v>
      </c>
      <c r="H1217" s="72" t="s">
        <v>4320</v>
      </c>
      <c r="I1217" s="71" t="b">
        <v>0</v>
      </c>
      <c r="J1217" s="71">
        <v>67</v>
      </c>
      <c r="K1217" s="71">
        <v>52</v>
      </c>
      <c r="L1217" s="71">
        <v>71</v>
      </c>
      <c r="M1217" s="71">
        <v>5</v>
      </c>
      <c r="N1217" s="71">
        <v>50</v>
      </c>
      <c r="O1217" s="71">
        <v>0</v>
      </c>
      <c r="P1217" s="71">
        <v>11</v>
      </c>
      <c r="Q1217" s="71">
        <v>64</v>
      </c>
      <c r="R1217" s="71">
        <v>130</v>
      </c>
      <c r="S1217" s="71" t="s">
        <v>183</v>
      </c>
      <c r="T1217" s="73" t="s">
        <v>4359</v>
      </c>
      <c r="U1217" s="71" t="s">
        <v>3638</v>
      </c>
      <c r="V1217" s="71" t="b">
        <v>0</v>
      </c>
    </row>
    <row r="1218" spans="1:22" ht="17.25">
      <c r="A1218" s="70">
        <v>878</v>
      </c>
      <c r="B1218" s="70" t="s">
        <v>1396</v>
      </c>
      <c r="C1218" s="70" t="s">
        <v>4772</v>
      </c>
      <c r="D1218" s="70" t="s">
        <v>1395</v>
      </c>
      <c r="E1218" s="70" t="s">
        <v>44</v>
      </c>
      <c r="F1218" s="71">
        <v>7</v>
      </c>
      <c r="G1218" s="71">
        <v>16</v>
      </c>
      <c r="H1218" s="72" t="s">
        <v>4320</v>
      </c>
      <c r="I1218" s="71" t="b">
        <v>0</v>
      </c>
      <c r="J1218" s="71">
        <v>67</v>
      </c>
      <c r="K1218" s="71">
        <v>52</v>
      </c>
      <c r="L1218" s="71">
        <v>71</v>
      </c>
      <c r="M1218" s="71">
        <v>5</v>
      </c>
      <c r="N1218" s="71">
        <v>50</v>
      </c>
      <c r="O1218" s="71">
        <v>0</v>
      </c>
      <c r="P1218" s="71">
        <v>11</v>
      </c>
      <c r="Q1218" s="71">
        <v>64</v>
      </c>
      <c r="R1218" s="71">
        <v>130</v>
      </c>
      <c r="S1218" s="71" t="s">
        <v>183</v>
      </c>
      <c r="T1218" s="73" t="s">
        <v>4359</v>
      </c>
      <c r="U1218" s="71" t="s">
        <v>3638</v>
      </c>
      <c r="V1218" s="71" t="b">
        <v>0</v>
      </c>
    </row>
    <row r="1219" spans="1:22" ht="17.25">
      <c r="A1219" s="70">
        <v>879</v>
      </c>
      <c r="B1219" s="70" t="s">
        <v>1394</v>
      </c>
      <c r="C1219" s="70" t="s">
        <v>237</v>
      </c>
      <c r="D1219" s="70" t="s">
        <v>1393</v>
      </c>
      <c r="E1219" s="70" t="s">
        <v>344</v>
      </c>
      <c r="F1219" s="71">
        <v>113</v>
      </c>
      <c r="G1219" s="71">
        <v>1</v>
      </c>
      <c r="H1219" s="72">
        <v>0.17499999999999999</v>
      </c>
      <c r="I1219" s="71" t="b">
        <v>0</v>
      </c>
      <c r="J1219" s="71">
        <v>41</v>
      </c>
      <c r="K1219" s="71">
        <v>64</v>
      </c>
      <c r="L1219" s="71">
        <v>86</v>
      </c>
      <c r="M1219" s="71">
        <v>12</v>
      </c>
      <c r="N1219" s="71">
        <v>4</v>
      </c>
      <c r="O1219" s="71">
        <v>10</v>
      </c>
      <c r="P1219" s="71">
        <v>38</v>
      </c>
      <c r="Q1219" s="71">
        <v>51</v>
      </c>
      <c r="R1219" s="71">
        <v>180</v>
      </c>
      <c r="S1219" s="71" t="s">
        <v>26</v>
      </c>
      <c r="T1219" s="73">
        <v>45688</v>
      </c>
      <c r="U1219" s="71" t="s">
        <v>3483</v>
      </c>
      <c r="V1219" s="71" t="b">
        <v>0</v>
      </c>
    </row>
    <row r="1220" spans="1:22" ht="17.25">
      <c r="A1220" s="70">
        <v>880</v>
      </c>
      <c r="B1220" s="70" t="s">
        <v>1392</v>
      </c>
      <c r="C1220" s="70" t="s">
        <v>4773</v>
      </c>
      <c r="D1220" s="70" t="s">
        <v>1391</v>
      </c>
      <c r="E1220" s="70" t="s">
        <v>133</v>
      </c>
      <c r="F1220" s="71">
        <v>142</v>
      </c>
      <c r="G1220" s="71">
        <v>1</v>
      </c>
      <c r="H1220" s="72">
        <v>0.12847222222222221</v>
      </c>
      <c r="I1220" s="71" t="b">
        <v>1</v>
      </c>
      <c r="J1220" s="71">
        <v>66</v>
      </c>
      <c r="K1220" s="71">
        <v>91</v>
      </c>
      <c r="L1220" s="71">
        <v>92</v>
      </c>
      <c r="M1220" s="71">
        <v>5</v>
      </c>
      <c r="N1220" s="71">
        <v>1</v>
      </c>
      <c r="O1220" s="71">
        <v>0</v>
      </c>
      <c r="P1220" s="71">
        <v>12</v>
      </c>
      <c r="Q1220" s="71">
        <v>52</v>
      </c>
      <c r="R1220" s="71">
        <v>94</v>
      </c>
      <c r="S1220" s="71" t="s">
        <v>96</v>
      </c>
      <c r="T1220" s="73">
        <v>45723</v>
      </c>
      <c r="U1220" s="71" t="s">
        <v>3418</v>
      </c>
      <c r="V1220" s="71" t="b">
        <v>0</v>
      </c>
    </row>
    <row r="1221" spans="1:22" ht="17.25">
      <c r="A1221" s="70">
        <v>880</v>
      </c>
      <c r="B1221" s="70" t="s">
        <v>1392</v>
      </c>
      <c r="C1221" s="70" t="s">
        <v>705</v>
      </c>
      <c r="D1221" s="70" t="s">
        <v>1391</v>
      </c>
      <c r="E1221" s="70" t="s">
        <v>133</v>
      </c>
      <c r="F1221" s="71">
        <v>142</v>
      </c>
      <c r="G1221" s="71">
        <v>1</v>
      </c>
      <c r="H1221" s="72">
        <v>0.12847222222222221</v>
      </c>
      <c r="I1221" s="71" t="b">
        <v>1</v>
      </c>
      <c r="J1221" s="71">
        <v>66</v>
      </c>
      <c r="K1221" s="71">
        <v>91</v>
      </c>
      <c r="L1221" s="71">
        <v>92</v>
      </c>
      <c r="M1221" s="71">
        <v>5</v>
      </c>
      <c r="N1221" s="71">
        <v>1</v>
      </c>
      <c r="O1221" s="71">
        <v>0</v>
      </c>
      <c r="P1221" s="71">
        <v>12</v>
      </c>
      <c r="Q1221" s="71">
        <v>52</v>
      </c>
      <c r="R1221" s="71">
        <v>94</v>
      </c>
      <c r="S1221" s="71" t="s">
        <v>96</v>
      </c>
      <c r="T1221" s="73">
        <v>45723</v>
      </c>
      <c r="U1221" s="71" t="s">
        <v>3418</v>
      </c>
      <c r="V1221" s="71" t="b">
        <v>0</v>
      </c>
    </row>
    <row r="1222" spans="1:22" ht="17.25">
      <c r="A1222" s="70">
        <v>881</v>
      </c>
      <c r="B1222" s="70" t="s">
        <v>1390</v>
      </c>
      <c r="C1222" s="70" t="s">
        <v>4775</v>
      </c>
      <c r="D1222" s="70" t="s">
        <v>1389</v>
      </c>
      <c r="E1222" s="70" t="s">
        <v>1388</v>
      </c>
      <c r="F1222" s="71">
        <v>103</v>
      </c>
      <c r="G1222" s="71">
        <v>8</v>
      </c>
      <c r="H1222" s="72">
        <v>0.10277777777777777</v>
      </c>
      <c r="I1222" s="71" t="b">
        <v>0</v>
      </c>
      <c r="J1222" s="71">
        <v>64</v>
      </c>
      <c r="K1222" s="71">
        <v>64</v>
      </c>
      <c r="L1222" s="71">
        <v>94</v>
      </c>
      <c r="M1222" s="71">
        <v>31</v>
      </c>
      <c r="N1222" s="71">
        <v>64</v>
      </c>
      <c r="O1222" s="71">
        <v>0</v>
      </c>
      <c r="P1222" s="71">
        <v>32</v>
      </c>
      <c r="Q1222" s="71">
        <v>69</v>
      </c>
      <c r="R1222" s="71">
        <v>129</v>
      </c>
      <c r="S1222" s="71" t="s">
        <v>534</v>
      </c>
      <c r="T1222" s="73">
        <v>45765</v>
      </c>
      <c r="U1222" s="71" t="s">
        <v>4023</v>
      </c>
      <c r="V1222" s="71" t="b">
        <v>0</v>
      </c>
    </row>
    <row r="1223" spans="1:22" ht="17.25">
      <c r="A1223" s="70">
        <v>881</v>
      </c>
      <c r="B1223" s="70" t="s">
        <v>1390</v>
      </c>
      <c r="C1223" s="70" t="s">
        <v>4777</v>
      </c>
      <c r="D1223" s="70" t="s">
        <v>1389</v>
      </c>
      <c r="E1223" s="70" t="s">
        <v>1388</v>
      </c>
      <c r="F1223" s="71">
        <v>103</v>
      </c>
      <c r="G1223" s="71">
        <v>8</v>
      </c>
      <c r="H1223" s="72">
        <v>0.10277777777777777</v>
      </c>
      <c r="I1223" s="71" t="b">
        <v>0</v>
      </c>
      <c r="J1223" s="71">
        <v>64</v>
      </c>
      <c r="K1223" s="71">
        <v>64</v>
      </c>
      <c r="L1223" s="71">
        <v>94</v>
      </c>
      <c r="M1223" s="71">
        <v>31</v>
      </c>
      <c r="N1223" s="71">
        <v>64</v>
      </c>
      <c r="O1223" s="71">
        <v>0</v>
      </c>
      <c r="P1223" s="71">
        <v>32</v>
      </c>
      <c r="Q1223" s="71">
        <v>69</v>
      </c>
      <c r="R1223" s="71">
        <v>129</v>
      </c>
      <c r="S1223" s="71" t="s">
        <v>534</v>
      </c>
      <c r="T1223" s="73">
        <v>45765</v>
      </c>
      <c r="U1223" s="71" t="s">
        <v>4023</v>
      </c>
      <c r="V1223" s="71" t="b">
        <v>0</v>
      </c>
    </row>
    <row r="1224" spans="1:22" ht="17.25">
      <c r="A1224" s="70">
        <v>881</v>
      </c>
      <c r="B1224" s="70" t="s">
        <v>1390</v>
      </c>
      <c r="C1224" s="70" t="s">
        <v>4774</v>
      </c>
      <c r="D1224" s="70" t="s">
        <v>1389</v>
      </c>
      <c r="E1224" s="70" t="s">
        <v>1388</v>
      </c>
      <c r="F1224" s="71">
        <v>103</v>
      </c>
      <c r="G1224" s="71">
        <v>8</v>
      </c>
      <c r="H1224" s="72">
        <v>0.10277777777777777</v>
      </c>
      <c r="I1224" s="71" t="b">
        <v>0</v>
      </c>
      <c r="J1224" s="71">
        <v>64</v>
      </c>
      <c r="K1224" s="71">
        <v>64</v>
      </c>
      <c r="L1224" s="71">
        <v>94</v>
      </c>
      <c r="M1224" s="71">
        <v>31</v>
      </c>
      <c r="N1224" s="71">
        <v>64</v>
      </c>
      <c r="O1224" s="71">
        <v>0</v>
      </c>
      <c r="P1224" s="71">
        <v>32</v>
      </c>
      <c r="Q1224" s="71">
        <v>69</v>
      </c>
      <c r="R1224" s="71">
        <v>129</v>
      </c>
      <c r="S1224" s="71" t="s">
        <v>534</v>
      </c>
      <c r="T1224" s="73">
        <v>45765</v>
      </c>
      <c r="U1224" s="71" t="s">
        <v>4023</v>
      </c>
      <c r="V1224" s="71" t="b">
        <v>0</v>
      </c>
    </row>
    <row r="1225" spans="1:22" ht="17.25">
      <c r="A1225" s="70">
        <v>881</v>
      </c>
      <c r="B1225" s="70" t="s">
        <v>1390</v>
      </c>
      <c r="C1225" s="70" t="s">
        <v>4513</v>
      </c>
      <c r="D1225" s="70" t="s">
        <v>1389</v>
      </c>
      <c r="E1225" s="70" t="s">
        <v>1388</v>
      </c>
      <c r="F1225" s="71">
        <v>103</v>
      </c>
      <c r="G1225" s="71">
        <v>8</v>
      </c>
      <c r="H1225" s="72">
        <v>0.10277777777777777</v>
      </c>
      <c r="I1225" s="71" t="b">
        <v>0</v>
      </c>
      <c r="J1225" s="71">
        <v>64</v>
      </c>
      <c r="K1225" s="71">
        <v>64</v>
      </c>
      <c r="L1225" s="71">
        <v>94</v>
      </c>
      <c r="M1225" s="71">
        <v>31</v>
      </c>
      <c r="N1225" s="71">
        <v>64</v>
      </c>
      <c r="O1225" s="71">
        <v>0</v>
      </c>
      <c r="P1225" s="71">
        <v>32</v>
      </c>
      <c r="Q1225" s="71">
        <v>69</v>
      </c>
      <c r="R1225" s="71">
        <v>129</v>
      </c>
      <c r="S1225" s="71" t="s">
        <v>534</v>
      </c>
      <c r="T1225" s="73">
        <v>45765</v>
      </c>
      <c r="U1225" s="71" t="s">
        <v>4023</v>
      </c>
      <c r="V1225" s="71" t="b">
        <v>0</v>
      </c>
    </row>
    <row r="1226" spans="1:22" ht="17.25">
      <c r="A1226" s="70">
        <v>881</v>
      </c>
      <c r="B1226" s="70" t="s">
        <v>1390</v>
      </c>
      <c r="C1226" s="70" t="s">
        <v>4776</v>
      </c>
      <c r="D1226" s="70" t="s">
        <v>1389</v>
      </c>
      <c r="E1226" s="70" t="s">
        <v>1388</v>
      </c>
      <c r="F1226" s="71">
        <v>103</v>
      </c>
      <c r="G1226" s="71">
        <v>8</v>
      </c>
      <c r="H1226" s="72">
        <v>0.10277777777777777</v>
      </c>
      <c r="I1226" s="71" t="b">
        <v>0</v>
      </c>
      <c r="J1226" s="71">
        <v>64</v>
      </c>
      <c r="K1226" s="71">
        <v>64</v>
      </c>
      <c r="L1226" s="71">
        <v>94</v>
      </c>
      <c r="M1226" s="71">
        <v>31</v>
      </c>
      <c r="N1226" s="71">
        <v>64</v>
      </c>
      <c r="O1226" s="71">
        <v>0</v>
      </c>
      <c r="P1226" s="71">
        <v>32</v>
      </c>
      <c r="Q1226" s="71">
        <v>69</v>
      </c>
      <c r="R1226" s="71">
        <v>129</v>
      </c>
      <c r="S1226" s="71" t="s">
        <v>534</v>
      </c>
      <c r="T1226" s="73">
        <v>45765</v>
      </c>
      <c r="U1226" s="71" t="s">
        <v>4023</v>
      </c>
      <c r="V1226" s="71" t="b">
        <v>0</v>
      </c>
    </row>
    <row r="1227" spans="1:22" ht="17.25">
      <c r="A1227" s="70">
        <v>882</v>
      </c>
      <c r="B1227" s="70" t="s">
        <v>1387</v>
      </c>
      <c r="C1227" s="70" t="s">
        <v>4483</v>
      </c>
      <c r="D1227" s="70" t="s">
        <v>983</v>
      </c>
      <c r="E1227" s="70" t="s">
        <v>44</v>
      </c>
      <c r="F1227" s="71">
        <v>52</v>
      </c>
      <c r="G1227" s="71">
        <v>3</v>
      </c>
      <c r="H1227" s="72">
        <v>0.13750000000000001</v>
      </c>
      <c r="I1227" s="71" t="b">
        <v>1</v>
      </c>
      <c r="J1227" s="71">
        <v>83</v>
      </c>
      <c r="K1227" s="71">
        <v>68</v>
      </c>
      <c r="L1227" s="71">
        <v>93</v>
      </c>
      <c r="M1227" s="71">
        <v>22</v>
      </c>
      <c r="N1227" s="71">
        <v>9</v>
      </c>
      <c r="O1227" s="71">
        <v>0</v>
      </c>
      <c r="P1227" s="71">
        <v>20</v>
      </c>
      <c r="Q1227" s="71">
        <v>67</v>
      </c>
      <c r="R1227" s="71">
        <v>142</v>
      </c>
      <c r="S1227" s="71" t="s">
        <v>48</v>
      </c>
      <c r="T1227" s="73">
        <v>45681</v>
      </c>
      <c r="U1227" s="71" t="s">
        <v>4024</v>
      </c>
      <c r="V1227" s="71" t="b">
        <v>0</v>
      </c>
    </row>
    <row r="1228" spans="1:22" ht="17.25">
      <c r="A1228" s="70">
        <v>882</v>
      </c>
      <c r="B1228" s="70" t="s">
        <v>1387</v>
      </c>
      <c r="C1228" s="70" t="s">
        <v>4514</v>
      </c>
      <c r="D1228" s="70" t="s">
        <v>983</v>
      </c>
      <c r="E1228" s="70" t="s">
        <v>44</v>
      </c>
      <c r="F1228" s="71">
        <v>52</v>
      </c>
      <c r="G1228" s="71">
        <v>3</v>
      </c>
      <c r="H1228" s="72">
        <v>0.13750000000000001</v>
      </c>
      <c r="I1228" s="71" t="b">
        <v>1</v>
      </c>
      <c r="J1228" s="71">
        <v>83</v>
      </c>
      <c r="K1228" s="71">
        <v>68</v>
      </c>
      <c r="L1228" s="71">
        <v>93</v>
      </c>
      <c r="M1228" s="71">
        <v>22</v>
      </c>
      <c r="N1228" s="71">
        <v>9</v>
      </c>
      <c r="O1228" s="71">
        <v>0</v>
      </c>
      <c r="P1228" s="71">
        <v>20</v>
      </c>
      <c r="Q1228" s="71">
        <v>67</v>
      </c>
      <c r="R1228" s="71">
        <v>142</v>
      </c>
      <c r="S1228" s="71" t="s">
        <v>48</v>
      </c>
      <c r="T1228" s="73">
        <v>45681</v>
      </c>
      <c r="U1228" s="71" t="s">
        <v>4024</v>
      </c>
      <c r="V1228" s="71" t="b">
        <v>0</v>
      </c>
    </row>
    <row r="1229" spans="1:22" ht="17.25">
      <c r="A1229" s="70">
        <v>883</v>
      </c>
      <c r="B1229" s="70" t="s">
        <v>1386</v>
      </c>
      <c r="C1229" s="70" t="s">
        <v>4514</v>
      </c>
      <c r="D1229" s="70" t="s">
        <v>1165</v>
      </c>
      <c r="E1229" s="70" t="s">
        <v>180</v>
      </c>
      <c r="F1229" s="71">
        <v>19</v>
      </c>
      <c r="G1229" s="71">
        <v>7</v>
      </c>
      <c r="H1229" s="72" t="s">
        <v>4320</v>
      </c>
      <c r="I1229" s="71" t="b">
        <v>1</v>
      </c>
      <c r="J1229" s="71">
        <v>86</v>
      </c>
      <c r="K1229" s="71">
        <v>63</v>
      </c>
      <c r="L1229" s="71">
        <v>72</v>
      </c>
      <c r="M1229" s="71">
        <v>30</v>
      </c>
      <c r="N1229" s="71">
        <v>18</v>
      </c>
      <c r="O1229" s="71">
        <v>0</v>
      </c>
      <c r="P1229" s="71">
        <v>11</v>
      </c>
      <c r="Q1229" s="71">
        <v>50</v>
      </c>
      <c r="R1229" s="71">
        <v>140</v>
      </c>
      <c r="S1229" s="71" t="s">
        <v>48</v>
      </c>
      <c r="T1229" s="73" t="s">
        <v>4330</v>
      </c>
      <c r="U1229" s="71" t="s">
        <v>4025</v>
      </c>
      <c r="V1229" s="71" t="b">
        <v>0</v>
      </c>
    </row>
    <row r="1230" spans="1:22" ht="17.25">
      <c r="A1230" s="70">
        <v>883</v>
      </c>
      <c r="B1230" s="70" t="s">
        <v>1386</v>
      </c>
      <c r="C1230" s="70" t="s">
        <v>182</v>
      </c>
      <c r="D1230" s="70" t="s">
        <v>1165</v>
      </c>
      <c r="E1230" s="70" t="s">
        <v>180</v>
      </c>
      <c r="F1230" s="71">
        <v>19</v>
      </c>
      <c r="G1230" s="71">
        <v>7</v>
      </c>
      <c r="H1230" s="72" t="s">
        <v>4320</v>
      </c>
      <c r="I1230" s="71" t="b">
        <v>1</v>
      </c>
      <c r="J1230" s="71">
        <v>86</v>
      </c>
      <c r="K1230" s="71">
        <v>63</v>
      </c>
      <c r="L1230" s="71">
        <v>72</v>
      </c>
      <c r="M1230" s="71">
        <v>30</v>
      </c>
      <c r="N1230" s="71">
        <v>18</v>
      </c>
      <c r="O1230" s="71">
        <v>0</v>
      </c>
      <c r="P1230" s="71">
        <v>11</v>
      </c>
      <c r="Q1230" s="71">
        <v>50</v>
      </c>
      <c r="R1230" s="71">
        <v>140</v>
      </c>
      <c r="S1230" s="71" t="s">
        <v>48</v>
      </c>
      <c r="T1230" s="73" t="s">
        <v>4330</v>
      </c>
      <c r="U1230" s="71" t="s">
        <v>4025</v>
      </c>
      <c r="V1230" s="71" t="b">
        <v>0</v>
      </c>
    </row>
    <row r="1231" spans="1:22" ht="17.25">
      <c r="A1231" s="70">
        <v>884</v>
      </c>
      <c r="B1231" s="70" t="s">
        <v>1385</v>
      </c>
      <c r="C1231" s="70" t="s">
        <v>1384</v>
      </c>
      <c r="D1231" s="70" t="s">
        <v>1383</v>
      </c>
      <c r="E1231" s="70" t="s">
        <v>1382</v>
      </c>
      <c r="F1231" s="71">
        <v>5</v>
      </c>
      <c r="G1231" s="71">
        <v>26</v>
      </c>
      <c r="H1231" s="72">
        <v>0.13750000000000001</v>
      </c>
      <c r="I1231" s="71" t="b">
        <v>0</v>
      </c>
      <c r="J1231" s="71">
        <v>72</v>
      </c>
      <c r="K1231" s="71">
        <v>72</v>
      </c>
      <c r="L1231" s="71">
        <v>79</v>
      </c>
      <c r="M1231" s="71">
        <v>8</v>
      </c>
      <c r="N1231" s="71">
        <v>20</v>
      </c>
      <c r="O1231" s="71">
        <v>0</v>
      </c>
      <c r="P1231" s="71">
        <v>11</v>
      </c>
      <c r="Q1231" s="71">
        <v>58</v>
      </c>
      <c r="R1231" s="71">
        <v>105</v>
      </c>
      <c r="S1231" s="71" t="s">
        <v>96</v>
      </c>
      <c r="T1231" s="73">
        <v>45786</v>
      </c>
      <c r="U1231" s="71" t="s">
        <v>4026</v>
      </c>
      <c r="V1231" s="71" t="b">
        <v>0</v>
      </c>
    </row>
    <row r="1232" spans="1:22" ht="17.25">
      <c r="A1232" s="70">
        <v>885</v>
      </c>
      <c r="B1232" s="70" t="s">
        <v>1381</v>
      </c>
      <c r="C1232" s="70" t="s">
        <v>1987</v>
      </c>
      <c r="D1232" s="70" t="s">
        <v>1380</v>
      </c>
      <c r="E1232" s="70" t="s">
        <v>62</v>
      </c>
      <c r="F1232" s="71">
        <v>53</v>
      </c>
      <c r="G1232" s="71">
        <v>3</v>
      </c>
      <c r="H1232" s="72">
        <v>0.12847222222222221</v>
      </c>
      <c r="I1232" s="71" t="b">
        <v>1</v>
      </c>
      <c r="J1232" s="71">
        <v>78</v>
      </c>
      <c r="K1232" s="71">
        <v>74</v>
      </c>
      <c r="L1232" s="71">
        <v>80</v>
      </c>
      <c r="M1232" s="71">
        <v>10</v>
      </c>
      <c r="N1232" s="71">
        <v>15</v>
      </c>
      <c r="O1232" s="71">
        <v>0</v>
      </c>
      <c r="P1232" s="71">
        <v>12</v>
      </c>
      <c r="Q1232" s="71">
        <v>58</v>
      </c>
      <c r="R1232" s="71">
        <v>108</v>
      </c>
      <c r="S1232" s="71" t="s">
        <v>61</v>
      </c>
      <c r="T1232" s="73">
        <v>45765</v>
      </c>
      <c r="U1232" s="71" t="s">
        <v>3552</v>
      </c>
      <c r="V1232" s="71" t="b">
        <v>0</v>
      </c>
    </row>
    <row r="1233" spans="1:22" ht="17.25">
      <c r="A1233" s="70">
        <v>885</v>
      </c>
      <c r="B1233" s="70" t="s">
        <v>1381</v>
      </c>
      <c r="C1233" s="70" t="s">
        <v>141</v>
      </c>
      <c r="D1233" s="70" t="s">
        <v>1380</v>
      </c>
      <c r="E1233" s="70" t="s">
        <v>62</v>
      </c>
      <c r="F1233" s="71">
        <v>53</v>
      </c>
      <c r="G1233" s="71">
        <v>3</v>
      </c>
      <c r="H1233" s="72">
        <v>0.12847222222222221</v>
      </c>
      <c r="I1233" s="71" t="b">
        <v>1</v>
      </c>
      <c r="J1233" s="71">
        <v>78</v>
      </c>
      <c r="K1233" s="71">
        <v>74</v>
      </c>
      <c r="L1233" s="71">
        <v>80</v>
      </c>
      <c r="M1233" s="71">
        <v>10</v>
      </c>
      <c r="N1233" s="71">
        <v>15</v>
      </c>
      <c r="O1233" s="71">
        <v>0</v>
      </c>
      <c r="P1233" s="71">
        <v>12</v>
      </c>
      <c r="Q1233" s="71">
        <v>58</v>
      </c>
      <c r="R1233" s="71">
        <v>108</v>
      </c>
      <c r="S1233" s="71" t="s">
        <v>61</v>
      </c>
      <c r="T1233" s="73">
        <v>45765</v>
      </c>
      <c r="U1233" s="71" t="s">
        <v>3552</v>
      </c>
      <c r="V1233" s="71" t="b">
        <v>0</v>
      </c>
    </row>
    <row r="1234" spans="1:22" ht="17.25">
      <c r="A1234" s="70">
        <v>886</v>
      </c>
      <c r="B1234" s="70" t="s">
        <v>1379</v>
      </c>
      <c r="C1234" s="70" t="s">
        <v>97</v>
      </c>
      <c r="D1234" s="70" t="s">
        <v>1378</v>
      </c>
      <c r="E1234" s="70" t="s">
        <v>97</v>
      </c>
      <c r="F1234" s="71">
        <v>12</v>
      </c>
      <c r="G1234" s="71">
        <v>5</v>
      </c>
      <c r="H1234" s="72" t="s">
        <v>4320</v>
      </c>
      <c r="I1234" s="71" t="b">
        <v>0</v>
      </c>
      <c r="J1234" s="71">
        <v>68</v>
      </c>
      <c r="K1234" s="71">
        <v>57</v>
      </c>
      <c r="L1234" s="71">
        <v>72</v>
      </c>
      <c r="M1234" s="71">
        <v>4</v>
      </c>
      <c r="N1234" s="71">
        <v>36</v>
      </c>
      <c r="O1234" s="71">
        <v>0</v>
      </c>
      <c r="P1234" s="71">
        <v>12</v>
      </c>
      <c r="Q1234" s="71">
        <v>51</v>
      </c>
      <c r="R1234" s="71">
        <v>108</v>
      </c>
      <c r="S1234" s="71" t="s">
        <v>96</v>
      </c>
      <c r="T1234" s="73" t="s">
        <v>4364</v>
      </c>
      <c r="U1234" s="71" t="s">
        <v>3397</v>
      </c>
      <c r="V1234" s="71" t="b">
        <v>0</v>
      </c>
    </row>
    <row r="1235" spans="1:22" ht="17.25">
      <c r="A1235" s="70">
        <v>887</v>
      </c>
      <c r="B1235" s="70" t="s">
        <v>1377</v>
      </c>
      <c r="C1235" s="70" t="s">
        <v>4478</v>
      </c>
      <c r="D1235" s="70" t="s">
        <v>1376</v>
      </c>
      <c r="E1235" s="70" t="s">
        <v>65</v>
      </c>
      <c r="F1235" s="71">
        <v>77</v>
      </c>
      <c r="G1235" s="71">
        <v>1</v>
      </c>
      <c r="H1235" s="72">
        <v>0.11666666666666667</v>
      </c>
      <c r="I1235" s="71" t="b">
        <v>1</v>
      </c>
      <c r="J1235" s="71">
        <v>83</v>
      </c>
      <c r="K1235" s="71">
        <v>73</v>
      </c>
      <c r="L1235" s="71">
        <v>90</v>
      </c>
      <c r="M1235" s="71">
        <v>22</v>
      </c>
      <c r="N1235" s="71">
        <v>4</v>
      </c>
      <c r="O1235" s="71">
        <v>0</v>
      </c>
      <c r="P1235" s="71">
        <v>18</v>
      </c>
      <c r="Q1235" s="71">
        <v>59</v>
      </c>
      <c r="R1235" s="71">
        <v>138</v>
      </c>
      <c r="S1235" s="71" t="s">
        <v>48</v>
      </c>
      <c r="T1235" s="73">
        <v>45730</v>
      </c>
      <c r="U1235" s="71" t="s">
        <v>3386</v>
      </c>
      <c r="V1235" s="71" t="b">
        <v>0</v>
      </c>
    </row>
    <row r="1236" spans="1:22" ht="17.25">
      <c r="A1236" s="70">
        <v>887</v>
      </c>
      <c r="B1236" s="70" t="s">
        <v>1377</v>
      </c>
      <c r="C1236" s="70" t="s">
        <v>67</v>
      </c>
      <c r="D1236" s="70" t="s">
        <v>1376</v>
      </c>
      <c r="E1236" s="70" t="s">
        <v>65</v>
      </c>
      <c r="F1236" s="71">
        <v>77</v>
      </c>
      <c r="G1236" s="71">
        <v>1</v>
      </c>
      <c r="H1236" s="72">
        <v>0.11666666666666667</v>
      </c>
      <c r="I1236" s="71" t="b">
        <v>1</v>
      </c>
      <c r="J1236" s="71">
        <v>83</v>
      </c>
      <c r="K1236" s="71">
        <v>73</v>
      </c>
      <c r="L1236" s="71">
        <v>90</v>
      </c>
      <c r="M1236" s="71">
        <v>22</v>
      </c>
      <c r="N1236" s="71">
        <v>4</v>
      </c>
      <c r="O1236" s="71">
        <v>0</v>
      </c>
      <c r="P1236" s="71">
        <v>18</v>
      </c>
      <c r="Q1236" s="71">
        <v>59</v>
      </c>
      <c r="R1236" s="71">
        <v>138</v>
      </c>
      <c r="S1236" s="71" t="s">
        <v>48</v>
      </c>
      <c r="T1236" s="73">
        <v>45730</v>
      </c>
      <c r="U1236" s="71" t="s">
        <v>3386</v>
      </c>
      <c r="V1236" s="71" t="b">
        <v>0</v>
      </c>
    </row>
    <row r="1237" spans="1:22" ht="17.25">
      <c r="A1237" s="70">
        <v>888</v>
      </c>
      <c r="B1237" s="70" t="s">
        <v>1375</v>
      </c>
      <c r="C1237" s="70" t="s">
        <v>4478</v>
      </c>
      <c r="D1237" s="70" t="s">
        <v>1374</v>
      </c>
      <c r="E1237" s="70" t="s">
        <v>294</v>
      </c>
      <c r="F1237" s="71">
        <v>34</v>
      </c>
      <c r="G1237" s="71">
        <v>1</v>
      </c>
      <c r="H1237" s="72">
        <v>0.11666666666666667</v>
      </c>
      <c r="I1237" s="71" t="b">
        <v>1</v>
      </c>
      <c r="J1237" s="71">
        <v>69</v>
      </c>
      <c r="K1237" s="71">
        <v>66</v>
      </c>
      <c r="L1237" s="71">
        <v>90</v>
      </c>
      <c r="M1237" s="71">
        <v>5</v>
      </c>
      <c r="N1237" s="71">
        <v>1</v>
      </c>
      <c r="O1237" s="71">
        <v>0</v>
      </c>
      <c r="P1237" s="71">
        <v>22</v>
      </c>
      <c r="Q1237" s="71">
        <v>25</v>
      </c>
      <c r="R1237" s="71">
        <v>146</v>
      </c>
      <c r="S1237" s="71" t="s">
        <v>115</v>
      </c>
      <c r="T1237" s="73">
        <v>45716</v>
      </c>
      <c r="U1237" s="71" t="s">
        <v>4027</v>
      </c>
      <c r="V1237" s="71" t="b">
        <v>0</v>
      </c>
    </row>
    <row r="1238" spans="1:22" ht="17.25">
      <c r="A1238" s="70">
        <v>888</v>
      </c>
      <c r="B1238" s="70" t="s">
        <v>1375</v>
      </c>
      <c r="C1238" s="70" t="s">
        <v>2771</v>
      </c>
      <c r="D1238" s="70" t="s">
        <v>1374</v>
      </c>
      <c r="E1238" s="70" t="s">
        <v>294</v>
      </c>
      <c r="F1238" s="71">
        <v>34</v>
      </c>
      <c r="G1238" s="71">
        <v>1</v>
      </c>
      <c r="H1238" s="72">
        <v>0.11666666666666667</v>
      </c>
      <c r="I1238" s="71" t="b">
        <v>1</v>
      </c>
      <c r="J1238" s="71">
        <v>69</v>
      </c>
      <c r="K1238" s="71">
        <v>66</v>
      </c>
      <c r="L1238" s="71">
        <v>90</v>
      </c>
      <c r="M1238" s="71">
        <v>5</v>
      </c>
      <c r="N1238" s="71">
        <v>1</v>
      </c>
      <c r="O1238" s="71">
        <v>0</v>
      </c>
      <c r="P1238" s="71">
        <v>22</v>
      </c>
      <c r="Q1238" s="71">
        <v>25</v>
      </c>
      <c r="R1238" s="71">
        <v>146</v>
      </c>
      <c r="S1238" s="71" t="s">
        <v>115</v>
      </c>
      <c r="T1238" s="73">
        <v>45716</v>
      </c>
      <c r="U1238" s="71" t="s">
        <v>4027</v>
      </c>
      <c r="V1238" s="71" t="b">
        <v>0</v>
      </c>
    </row>
    <row r="1239" spans="1:22" ht="17.25">
      <c r="A1239" s="70">
        <v>889</v>
      </c>
      <c r="B1239" s="70" t="s">
        <v>1373</v>
      </c>
      <c r="C1239" s="70" t="s">
        <v>198</v>
      </c>
      <c r="D1239" s="70" t="s">
        <v>1372</v>
      </c>
      <c r="E1239" s="70" t="s">
        <v>196</v>
      </c>
      <c r="F1239" s="71">
        <v>102</v>
      </c>
      <c r="G1239" s="71">
        <v>1</v>
      </c>
      <c r="H1239" s="72" t="s">
        <v>4334</v>
      </c>
      <c r="I1239" s="71" t="b">
        <v>0</v>
      </c>
      <c r="J1239" s="71">
        <v>58</v>
      </c>
      <c r="K1239" s="71">
        <v>49</v>
      </c>
      <c r="L1239" s="71">
        <v>71</v>
      </c>
      <c r="M1239" s="71">
        <v>4</v>
      </c>
      <c r="N1239" s="71">
        <v>51</v>
      </c>
      <c r="O1239" s="71">
        <v>0</v>
      </c>
      <c r="P1239" s="71">
        <v>10</v>
      </c>
      <c r="Q1239" s="71">
        <v>41</v>
      </c>
      <c r="R1239" s="71">
        <v>120</v>
      </c>
      <c r="S1239" s="71" t="s">
        <v>195</v>
      </c>
      <c r="T1239" s="73" t="s">
        <v>4337</v>
      </c>
      <c r="U1239" s="71" t="s">
        <v>3860</v>
      </c>
      <c r="V1239" s="71" t="b">
        <v>0</v>
      </c>
    </row>
    <row r="1240" spans="1:22" ht="17.25">
      <c r="A1240" s="70">
        <v>890</v>
      </c>
      <c r="B1240" s="70" t="s">
        <v>1371</v>
      </c>
      <c r="C1240" s="70" t="s">
        <v>366</v>
      </c>
      <c r="D1240" s="70" t="s">
        <v>1370</v>
      </c>
      <c r="E1240" s="70" t="s">
        <v>680</v>
      </c>
      <c r="F1240" s="71">
        <v>57</v>
      </c>
      <c r="G1240" s="71">
        <v>34</v>
      </c>
      <c r="H1240" s="72">
        <v>0.17847222222222223</v>
      </c>
      <c r="I1240" s="71" t="b">
        <v>0</v>
      </c>
      <c r="J1240" s="71">
        <v>58</v>
      </c>
      <c r="K1240" s="71">
        <v>84</v>
      </c>
      <c r="L1240" s="71">
        <v>89</v>
      </c>
      <c r="M1240" s="71">
        <v>5</v>
      </c>
      <c r="N1240" s="71">
        <v>34</v>
      </c>
      <c r="O1240" s="71">
        <v>0</v>
      </c>
      <c r="P1240" s="71">
        <v>8</v>
      </c>
      <c r="Q1240" s="71">
        <v>48</v>
      </c>
      <c r="R1240" s="71">
        <v>150</v>
      </c>
      <c r="S1240" s="71" t="s">
        <v>96</v>
      </c>
      <c r="T1240" s="73">
        <v>40813</v>
      </c>
      <c r="U1240" s="71" t="s">
        <v>4028</v>
      </c>
      <c r="V1240" s="71" t="b">
        <v>0</v>
      </c>
    </row>
    <row r="1241" spans="1:22" ht="17.25">
      <c r="A1241" s="70">
        <v>891</v>
      </c>
      <c r="B1241" s="70" t="s">
        <v>1369</v>
      </c>
      <c r="C1241" s="70" t="s">
        <v>67</v>
      </c>
      <c r="D1241" s="70" t="s">
        <v>1368</v>
      </c>
      <c r="E1241" s="70" t="s">
        <v>65</v>
      </c>
      <c r="F1241" s="71">
        <v>95</v>
      </c>
      <c r="G1241" s="71">
        <v>1</v>
      </c>
      <c r="H1241" s="72">
        <v>0.11666666666666667</v>
      </c>
      <c r="I1241" s="71" t="b">
        <v>1</v>
      </c>
      <c r="J1241" s="71">
        <v>57</v>
      </c>
      <c r="K1241" s="71">
        <v>70</v>
      </c>
      <c r="L1241" s="71">
        <v>90</v>
      </c>
      <c r="M1241" s="71">
        <v>9</v>
      </c>
      <c r="N1241" s="71">
        <v>3</v>
      </c>
      <c r="O1241" s="71">
        <v>0</v>
      </c>
      <c r="P1241" s="71">
        <v>69</v>
      </c>
      <c r="Q1241" s="71">
        <v>33</v>
      </c>
      <c r="R1241" s="71">
        <v>140</v>
      </c>
      <c r="S1241" s="71" t="s">
        <v>48</v>
      </c>
      <c r="T1241" s="73">
        <v>45730</v>
      </c>
      <c r="U1241" s="71" t="s">
        <v>3386</v>
      </c>
      <c r="V1241" s="71" t="b">
        <v>0</v>
      </c>
    </row>
    <row r="1242" spans="1:22" ht="17.25">
      <c r="A1242" s="70">
        <v>892</v>
      </c>
      <c r="B1242" s="70" t="s">
        <v>1367</v>
      </c>
      <c r="C1242" s="70" t="s">
        <v>4633</v>
      </c>
      <c r="D1242" s="70" t="s">
        <v>1366</v>
      </c>
      <c r="E1242" s="70" t="s">
        <v>44</v>
      </c>
      <c r="F1242" s="71">
        <v>51</v>
      </c>
      <c r="G1242" s="71">
        <v>2</v>
      </c>
      <c r="H1242" s="72" t="s">
        <v>4320</v>
      </c>
      <c r="I1242" s="71" t="b">
        <v>1</v>
      </c>
      <c r="J1242" s="71">
        <v>84</v>
      </c>
      <c r="K1242" s="71">
        <v>68</v>
      </c>
      <c r="L1242" s="71">
        <v>74</v>
      </c>
      <c r="M1242" s="71">
        <v>26</v>
      </c>
      <c r="N1242" s="71">
        <v>18</v>
      </c>
      <c r="O1242" s="71">
        <v>0</v>
      </c>
      <c r="P1242" s="71">
        <v>13</v>
      </c>
      <c r="Q1242" s="71">
        <v>64</v>
      </c>
      <c r="R1242" s="71">
        <v>145</v>
      </c>
      <c r="S1242" s="71" t="s">
        <v>48</v>
      </c>
      <c r="T1242" s="73" t="s">
        <v>4381</v>
      </c>
      <c r="U1242" s="71" t="s">
        <v>3891</v>
      </c>
      <c r="V1242" s="71" t="b">
        <v>0</v>
      </c>
    </row>
    <row r="1243" spans="1:22" ht="17.25">
      <c r="A1243" s="70">
        <v>892</v>
      </c>
      <c r="B1243" s="70" t="s">
        <v>1367</v>
      </c>
      <c r="C1243" s="70" t="s">
        <v>4906</v>
      </c>
      <c r="D1243" s="70" t="s">
        <v>1366</v>
      </c>
      <c r="E1243" s="70" t="s">
        <v>44</v>
      </c>
      <c r="F1243" s="71">
        <v>51</v>
      </c>
      <c r="G1243" s="71">
        <v>2</v>
      </c>
      <c r="H1243" s="72" t="s">
        <v>4320</v>
      </c>
      <c r="I1243" s="71" t="b">
        <v>1</v>
      </c>
      <c r="J1243" s="71">
        <v>84</v>
      </c>
      <c r="K1243" s="71">
        <v>68</v>
      </c>
      <c r="L1243" s="71">
        <v>74</v>
      </c>
      <c r="M1243" s="71">
        <v>26</v>
      </c>
      <c r="N1243" s="71">
        <v>18</v>
      </c>
      <c r="O1243" s="71">
        <v>0</v>
      </c>
      <c r="P1243" s="71">
        <v>13</v>
      </c>
      <c r="Q1243" s="71">
        <v>64</v>
      </c>
      <c r="R1243" s="71">
        <v>145</v>
      </c>
      <c r="S1243" s="71" t="s">
        <v>48</v>
      </c>
      <c r="T1243" s="73" t="s">
        <v>4381</v>
      </c>
      <c r="U1243" s="71" t="s">
        <v>3891</v>
      </c>
      <c r="V1243" s="71" t="b">
        <v>0</v>
      </c>
    </row>
    <row r="1244" spans="1:22" ht="17.25">
      <c r="A1244" s="70">
        <v>893</v>
      </c>
      <c r="B1244" s="70" t="s">
        <v>1365</v>
      </c>
      <c r="C1244" s="70" t="s">
        <v>1364</v>
      </c>
      <c r="D1244" s="70" t="s">
        <v>1363</v>
      </c>
      <c r="E1244" s="70" t="s">
        <v>168</v>
      </c>
      <c r="F1244" s="71">
        <v>41</v>
      </c>
      <c r="G1244" s="71">
        <v>22</v>
      </c>
      <c r="H1244" s="72">
        <v>0.11666666666666667</v>
      </c>
      <c r="I1244" s="71" t="b">
        <v>1</v>
      </c>
      <c r="J1244" s="71">
        <v>60</v>
      </c>
      <c r="K1244" s="71">
        <v>87</v>
      </c>
      <c r="L1244" s="71">
        <v>91</v>
      </c>
      <c r="M1244" s="71">
        <v>3</v>
      </c>
      <c r="N1244" s="71">
        <v>1</v>
      </c>
      <c r="O1244" s="71">
        <v>0</v>
      </c>
      <c r="P1244" s="71">
        <v>26</v>
      </c>
      <c r="Q1244" s="71">
        <v>40</v>
      </c>
      <c r="R1244" s="71">
        <v>116</v>
      </c>
      <c r="S1244" s="71" t="s">
        <v>88</v>
      </c>
      <c r="T1244" s="73">
        <v>45772</v>
      </c>
      <c r="U1244" s="71" t="s">
        <v>4029</v>
      </c>
      <c r="V1244" s="71" t="b">
        <v>0</v>
      </c>
    </row>
    <row r="1245" spans="1:22" ht="17.25">
      <c r="A1245" s="70">
        <v>894</v>
      </c>
      <c r="B1245" s="70" t="s">
        <v>1362</v>
      </c>
      <c r="C1245" s="70" t="s">
        <v>4550</v>
      </c>
      <c r="D1245" s="70" t="s">
        <v>1361</v>
      </c>
      <c r="E1245" s="70" t="s">
        <v>1360</v>
      </c>
      <c r="F1245" s="71">
        <v>111</v>
      </c>
      <c r="G1245" s="71">
        <v>2</v>
      </c>
      <c r="H1245" s="72" t="s">
        <v>4317</v>
      </c>
      <c r="I1245" s="71" t="b">
        <v>0</v>
      </c>
      <c r="J1245" s="71">
        <v>80</v>
      </c>
      <c r="K1245" s="71">
        <v>74</v>
      </c>
      <c r="L1245" s="71">
        <v>74</v>
      </c>
      <c r="M1245" s="71">
        <v>6</v>
      </c>
      <c r="N1245" s="71">
        <v>25</v>
      </c>
      <c r="O1245" s="71">
        <v>0</v>
      </c>
      <c r="P1245" s="71">
        <v>28</v>
      </c>
      <c r="Q1245" s="71">
        <v>83</v>
      </c>
      <c r="R1245" s="71">
        <v>132</v>
      </c>
      <c r="S1245" s="71" t="s">
        <v>312</v>
      </c>
      <c r="T1245" s="73" t="s">
        <v>4388</v>
      </c>
      <c r="U1245" s="71" t="s">
        <v>4030</v>
      </c>
      <c r="V1245" s="71" t="b">
        <v>0</v>
      </c>
    </row>
    <row r="1246" spans="1:22" ht="17.25">
      <c r="A1246" s="70">
        <v>894</v>
      </c>
      <c r="B1246" s="70" t="s">
        <v>1362</v>
      </c>
      <c r="C1246" s="70" t="s">
        <v>4778</v>
      </c>
      <c r="D1246" s="70" t="s">
        <v>1361</v>
      </c>
      <c r="E1246" s="70" t="s">
        <v>1360</v>
      </c>
      <c r="F1246" s="71">
        <v>111</v>
      </c>
      <c r="G1246" s="71">
        <v>2</v>
      </c>
      <c r="H1246" s="72" t="s">
        <v>4317</v>
      </c>
      <c r="I1246" s="71" t="b">
        <v>0</v>
      </c>
      <c r="J1246" s="71">
        <v>80</v>
      </c>
      <c r="K1246" s="71">
        <v>74</v>
      </c>
      <c r="L1246" s="71">
        <v>74</v>
      </c>
      <c r="M1246" s="71">
        <v>6</v>
      </c>
      <c r="N1246" s="71">
        <v>25</v>
      </c>
      <c r="O1246" s="71">
        <v>0</v>
      </c>
      <c r="P1246" s="71">
        <v>28</v>
      </c>
      <c r="Q1246" s="71">
        <v>83</v>
      </c>
      <c r="R1246" s="71">
        <v>132</v>
      </c>
      <c r="S1246" s="71" t="s">
        <v>312</v>
      </c>
      <c r="T1246" s="73" t="s">
        <v>4388</v>
      </c>
      <c r="U1246" s="71" t="s">
        <v>4030</v>
      </c>
      <c r="V1246" s="71" t="b">
        <v>0</v>
      </c>
    </row>
    <row r="1247" spans="1:22" ht="17.25">
      <c r="A1247" s="70">
        <v>894</v>
      </c>
      <c r="B1247" s="70" t="s">
        <v>1362</v>
      </c>
      <c r="C1247" s="70" t="s">
        <v>1360</v>
      </c>
      <c r="D1247" s="70" t="s">
        <v>1361</v>
      </c>
      <c r="E1247" s="70" t="s">
        <v>1360</v>
      </c>
      <c r="F1247" s="71">
        <v>111</v>
      </c>
      <c r="G1247" s="71">
        <v>2</v>
      </c>
      <c r="H1247" s="72" t="s">
        <v>4317</v>
      </c>
      <c r="I1247" s="71" t="b">
        <v>0</v>
      </c>
      <c r="J1247" s="71">
        <v>80</v>
      </c>
      <c r="K1247" s="71">
        <v>74</v>
      </c>
      <c r="L1247" s="71">
        <v>74</v>
      </c>
      <c r="M1247" s="71">
        <v>6</v>
      </c>
      <c r="N1247" s="71">
        <v>25</v>
      </c>
      <c r="O1247" s="71">
        <v>0</v>
      </c>
      <c r="P1247" s="71">
        <v>28</v>
      </c>
      <c r="Q1247" s="71">
        <v>83</v>
      </c>
      <c r="R1247" s="71">
        <v>132</v>
      </c>
      <c r="S1247" s="71" t="s">
        <v>312</v>
      </c>
      <c r="T1247" s="73" t="s">
        <v>4388</v>
      </c>
      <c r="U1247" s="71" t="s">
        <v>4030</v>
      </c>
      <c r="V1247" s="71" t="b">
        <v>0</v>
      </c>
    </row>
    <row r="1248" spans="1:22" ht="17.25">
      <c r="A1248" s="70">
        <v>895</v>
      </c>
      <c r="B1248" s="70" t="s">
        <v>1359</v>
      </c>
      <c r="C1248" s="70" t="s">
        <v>1358</v>
      </c>
      <c r="D1248" s="70" t="s">
        <v>1357</v>
      </c>
      <c r="E1248" s="70" t="s">
        <v>1356</v>
      </c>
      <c r="F1248" s="71">
        <v>28</v>
      </c>
      <c r="G1248" s="71">
        <v>20</v>
      </c>
      <c r="H1248" s="72">
        <v>0.11666666666666667</v>
      </c>
      <c r="I1248" s="71" t="b">
        <v>0</v>
      </c>
      <c r="J1248" s="71">
        <v>52</v>
      </c>
      <c r="K1248" s="71">
        <v>50</v>
      </c>
      <c r="L1248" s="71">
        <v>72</v>
      </c>
      <c r="M1248" s="71">
        <v>3</v>
      </c>
      <c r="N1248" s="71">
        <v>55</v>
      </c>
      <c r="O1248" s="71">
        <v>0</v>
      </c>
      <c r="P1248" s="71">
        <v>15</v>
      </c>
      <c r="Q1248" s="71">
        <v>72</v>
      </c>
      <c r="R1248" s="71">
        <v>120</v>
      </c>
      <c r="S1248" s="71" t="s">
        <v>29</v>
      </c>
      <c r="T1248" s="73">
        <v>33178</v>
      </c>
      <c r="U1248" s="71" t="s">
        <v>4031</v>
      </c>
      <c r="V1248" s="71" t="b">
        <v>1</v>
      </c>
    </row>
    <row r="1249" spans="1:22" ht="17.25">
      <c r="A1249" s="70">
        <v>896</v>
      </c>
      <c r="B1249" s="70" t="s">
        <v>1355</v>
      </c>
      <c r="C1249" s="70" t="s">
        <v>67</v>
      </c>
      <c r="D1249" s="70" t="s">
        <v>1354</v>
      </c>
      <c r="E1249" s="70" t="s">
        <v>65</v>
      </c>
      <c r="F1249" s="71">
        <v>196</v>
      </c>
      <c r="G1249" s="71">
        <v>1</v>
      </c>
      <c r="H1249" s="72">
        <v>0.11666666666666667</v>
      </c>
      <c r="I1249" s="71" t="b">
        <v>1</v>
      </c>
      <c r="J1249" s="71">
        <v>78</v>
      </c>
      <c r="K1249" s="71">
        <v>56</v>
      </c>
      <c r="L1249" s="71">
        <v>89</v>
      </c>
      <c r="M1249" s="71">
        <v>14</v>
      </c>
      <c r="N1249" s="71">
        <v>0</v>
      </c>
      <c r="O1249" s="71">
        <v>0</v>
      </c>
      <c r="P1249" s="71">
        <v>31</v>
      </c>
      <c r="Q1249" s="71">
        <v>14</v>
      </c>
      <c r="R1249" s="71">
        <v>155</v>
      </c>
      <c r="S1249" s="71" t="s">
        <v>48</v>
      </c>
      <c r="T1249" s="73">
        <v>45730</v>
      </c>
      <c r="U1249" s="71" t="s">
        <v>3386</v>
      </c>
      <c r="V1249" s="71" t="b">
        <v>0</v>
      </c>
    </row>
    <row r="1250" spans="1:22" ht="17.25">
      <c r="A1250" s="70">
        <v>897</v>
      </c>
      <c r="B1250" s="70" t="s">
        <v>1353</v>
      </c>
      <c r="C1250" s="70" t="s">
        <v>32</v>
      </c>
      <c r="D1250" s="70" t="s">
        <v>1352</v>
      </c>
      <c r="E1250" s="70" t="s">
        <v>30</v>
      </c>
      <c r="F1250" s="71">
        <v>26</v>
      </c>
      <c r="G1250" s="71">
        <v>4</v>
      </c>
      <c r="H1250" s="72" t="s">
        <v>4315</v>
      </c>
      <c r="I1250" s="71" t="b">
        <v>0</v>
      </c>
      <c r="J1250" s="71">
        <v>52</v>
      </c>
      <c r="K1250" s="71">
        <v>36</v>
      </c>
      <c r="L1250" s="71">
        <v>68</v>
      </c>
      <c r="M1250" s="71">
        <v>4</v>
      </c>
      <c r="N1250" s="71">
        <v>78</v>
      </c>
      <c r="O1250" s="71">
        <v>0</v>
      </c>
      <c r="P1250" s="71">
        <v>14</v>
      </c>
      <c r="Q1250" s="71">
        <v>26</v>
      </c>
      <c r="R1250" s="71">
        <v>84</v>
      </c>
      <c r="S1250" s="71" t="s">
        <v>96</v>
      </c>
      <c r="T1250" s="73" t="s">
        <v>4372</v>
      </c>
      <c r="U1250" s="71" t="s">
        <v>3507</v>
      </c>
      <c r="V1250" s="71" t="b">
        <v>0</v>
      </c>
    </row>
    <row r="1251" spans="1:22" ht="17.25">
      <c r="A1251" s="70">
        <v>898</v>
      </c>
      <c r="B1251" s="70" t="s">
        <v>1351</v>
      </c>
      <c r="C1251" s="70" t="s">
        <v>182</v>
      </c>
      <c r="D1251" s="70" t="s">
        <v>1350</v>
      </c>
      <c r="E1251" s="70" t="s">
        <v>349</v>
      </c>
      <c r="F1251" s="71">
        <v>55</v>
      </c>
      <c r="G1251" s="71">
        <v>1</v>
      </c>
      <c r="H1251" s="72" t="s">
        <v>4320</v>
      </c>
      <c r="I1251" s="71" t="b">
        <v>1</v>
      </c>
      <c r="J1251" s="71">
        <v>72</v>
      </c>
      <c r="K1251" s="71">
        <v>55</v>
      </c>
      <c r="L1251" s="71">
        <v>71</v>
      </c>
      <c r="M1251" s="71">
        <v>10</v>
      </c>
      <c r="N1251" s="71">
        <v>36</v>
      </c>
      <c r="O1251" s="71">
        <v>0</v>
      </c>
      <c r="P1251" s="71">
        <v>14</v>
      </c>
      <c r="Q1251" s="71">
        <v>47</v>
      </c>
      <c r="R1251" s="71">
        <v>94</v>
      </c>
      <c r="S1251" s="71" t="s">
        <v>26</v>
      </c>
      <c r="T1251" s="73" t="s">
        <v>4385</v>
      </c>
      <c r="U1251" s="71" t="s">
        <v>3586</v>
      </c>
      <c r="V1251" s="71" t="b">
        <v>0</v>
      </c>
    </row>
    <row r="1252" spans="1:22" ht="17.25">
      <c r="A1252" s="70">
        <v>898</v>
      </c>
      <c r="B1252" s="70" t="s">
        <v>1351</v>
      </c>
      <c r="C1252" s="70" t="s">
        <v>1260</v>
      </c>
      <c r="D1252" s="70" t="s">
        <v>1350</v>
      </c>
      <c r="E1252" s="70" t="s">
        <v>349</v>
      </c>
      <c r="F1252" s="71">
        <v>55</v>
      </c>
      <c r="G1252" s="71">
        <v>1</v>
      </c>
      <c r="H1252" s="72" t="s">
        <v>4320</v>
      </c>
      <c r="I1252" s="71" t="b">
        <v>1</v>
      </c>
      <c r="J1252" s="71">
        <v>72</v>
      </c>
      <c r="K1252" s="71">
        <v>55</v>
      </c>
      <c r="L1252" s="71">
        <v>71</v>
      </c>
      <c r="M1252" s="71">
        <v>10</v>
      </c>
      <c r="N1252" s="71">
        <v>36</v>
      </c>
      <c r="O1252" s="71">
        <v>0</v>
      </c>
      <c r="P1252" s="71">
        <v>14</v>
      </c>
      <c r="Q1252" s="71">
        <v>47</v>
      </c>
      <c r="R1252" s="71">
        <v>94</v>
      </c>
      <c r="S1252" s="71" t="s">
        <v>26</v>
      </c>
      <c r="T1252" s="73" t="s">
        <v>4385</v>
      </c>
      <c r="U1252" s="71" t="s">
        <v>3586</v>
      </c>
      <c r="V1252" s="71" t="b">
        <v>0</v>
      </c>
    </row>
    <row r="1253" spans="1:22" ht="17.25">
      <c r="A1253" s="70">
        <v>899</v>
      </c>
      <c r="B1253" s="70" t="s">
        <v>1349</v>
      </c>
      <c r="C1253" s="70" t="s">
        <v>4779</v>
      </c>
      <c r="D1253" s="70" t="s">
        <v>1348</v>
      </c>
      <c r="E1253" s="70" t="s">
        <v>200</v>
      </c>
      <c r="F1253" s="71">
        <v>2</v>
      </c>
      <c r="G1253" s="71">
        <v>117</v>
      </c>
      <c r="H1253" s="72">
        <v>0.12152777777777778</v>
      </c>
      <c r="I1253" s="71" t="b">
        <v>1</v>
      </c>
      <c r="J1253" s="71">
        <v>56</v>
      </c>
      <c r="K1253" s="71">
        <v>96</v>
      </c>
      <c r="L1253" s="71">
        <v>94</v>
      </c>
      <c r="M1253" s="71">
        <v>3</v>
      </c>
      <c r="N1253" s="71">
        <v>0</v>
      </c>
      <c r="O1253" s="71">
        <v>0</v>
      </c>
      <c r="P1253" s="71">
        <v>37</v>
      </c>
      <c r="Q1253" s="71">
        <v>30</v>
      </c>
      <c r="R1253" s="71">
        <v>128</v>
      </c>
      <c r="S1253" s="71" t="s">
        <v>274</v>
      </c>
      <c r="T1253" s="73">
        <v>44799</v>
      </c>
      <c r="U1253" s="71" t="s">
        <v>4032</v>
      </c>
      <c r="V1253" s="71" t="b">
        <v>0</v>
      </c>
    </row>
    <row r="1254" spans="1:22" ht="17.25">
      <c r="A1254" s="70">
        <v>899</v>
      </c>
      <c r="B1254" s="70" t="s">
        <v>1349</v>
      </c>
      <c r="C1254" s="70" t="s">
        <v>4427</v>
      </c>
      <c r="D1254" s="70" t="s">
        <v>1348</v>
      </c>
      <c r="E1254" s="70" t="s">
        <v>200</v>
      </c>
      <c r="F1254" s="71">
        <v>2</v>
      </c>
      <c r="G1254" s="71">
        <v>117</v>
      </c>
      <c r="H1254" s="72">
        <v>0.12152777777777778</v>
      </c>
      <c r="I1254" s="71" t="b">
        <v>1</v>
      </c>
      <c r="J1254" s="71">
        <v>56</v>
      </c>
      <c r="K1254" s="71">
        <v>96</v>
      </c>
      <c r="L1254" s="71">
        <v>94</v>
      </c>
      <c r="M1254" s="71">
        <v>3</v>
      </c>
      <c r="N1254" s="71">
        <v>0</v>
      </c>
      <c r="O1254" s="71">
        <v>0</v>
      </c>
      <c r="P1254" s="71">
        <v>37</v>
      </c>
      <c r="Q1254" s="71">
        <v>30</v>
      </c>
      <c r="R1254" s="71">
        <v>128</v>
      </c>
      <c r="S1254" s="71" t="s">
        <v>274</v>
      </c>
      <c r="T1254" s="73">
        <v>44799</v>
      </c>
      <c r="U1254" s="71" t="s">
        <v>4032</v>
      </c>
      <c r="V1254" s="71" t="b">
        <v>0</v>
      </c>
    </row>
    <row r="1255" spans="1:22" ht="17.25">
      <c r="A1255" s="70">
        <v>900</v>
      </c>
      <c r="B1255" s="70" t="s">
        <v>1347</v>
      </c>
      <c r="C1255" s="70" t="s">
        <v>822</v>
      </c>
      <c r="D1255" s="70" t="s">
        <v>232</v>
      </c>
      <c r="E1255" s="70" t="s">
        <v>820</v>
      </c>
      <c r="F1255" s="71">
        <v>118</v>
      </c>
      <c r="G1255" s="71">
        <v>5</v>
      </c>
      <c r="H1255" s="72">
        <v>0.12222222222222222</v>
      </c>
      <c r="I1255" s="71" t="b">
        <v>0</v>
      </c>
      <c r="J1255" s="71">
        <v>52</v>
      </c>
      <c r="K1255" s="71">
        <v>50</v>
      </c>
      <c r="L1255" s="71">
        <v>72</v>
      </c>
      <c r="M1255" s="71">
        <v>3</v>
      </c>
      <c r="N1255" s="71">
        <v>55</v>
      </c>
      <c r="O1255" s="71">
        <v>0</v>
      </c>
      <c r="P1255" s="71">
        <v>15</v>
      </c>
      <c r="Q1255" s="71">
        <v>75</v>
      </c>
      <c r="R1255" s="71">
        <v>120</v>
      </c>
      <c r="S1255" s="71" t="s">
        <v>29</v>
      </c>
      <c r="T1255" s="73">
        <v>22221</v>
      </c>
      <c r="U1255" s="71" t="s">
        <v>4033</v>
      </c>
      <c r="V1255" s="71" t="b">
        <v>1</v>
      </c>
    </row>
    <row r="1256" spans="1:22" ht="17.25">
      <c r="A1256" s="70">
        <v>901</v>
      </c>
      <c r="B1256" s="70" t="s">
        <v>1346</v>
      </c>
      <c r="C1256" s="70" t="s">
        <v>4781</v>
      </c>
      <c r="D1256" s="70" t="s">
        <v>1345</v>
      </c>
      <c r="E1256" s="70" t="s">
        <v>1344</v>
      </c>
      <c r="F1256" s="71">
        <v>140</v>
      </c>
      <c r="G1256" s="71">
        <v>7</v>
      </c>
      <c r="H1256" s="72" t="s">
        <v>4347</v>
      </c>
      <c r="I1256" s="71" t="b">
        <v>1</v>
      </c>
      <c r="J1256" s="71">
        <v>86</v>
      </c>
      <c r="K1256" s="71">
        <v>80</v>
      </c>
      <c r="L1256" s="71">
        <v>76</v>
      </c>
      <c r="M1256" s="71">
        <v>15</v>
      </c>
      <c r="N1256" s="71">
        <v>11</v>
      </c>
      <c r="O1256" s="71">
        <v>0</v>
      </c>
      <c r="P1256" s="71">
        <v>24</v>
      </c>
      <c r="Q1256" s="71">
        <v>85</v>
      </c>
      <c r="R1256" s="71">
        <v>130</v>
      </c>
      <c r="S1256" s="71" t="s">
        <v>534</v>
      </c>
      <c r="T1256" s="73" t="s">
        <v>4348</v>
      </c>
      <c r="U1256" s="71" t="s">
        <v>4034</v>
      </c>
      <c r="V1256" s="71" t="b">
        <v>0</v>
      </c>
    </row>
    <row r="1257" spans="1:22" ht="17.25">
      <c r="A1257" s="70">
        <v>901</v>
      </c>
      <c r="B1257" s="70" t="s">
        <v>1346</v>
      </c>
      <c r="C1257" s="70" t="s">
        <v>4754</v>
      </c>
      <c r="D1257" s="70" t="s">
        <v>1345</v>
      </c>
      <c r="E1257" s="70" t="s">
        <v>1344</v>
      </c>
      <c r="F1257" s="71">
        <v>140</v>
      </c>
      <c r="G1257" s="71">
        <v>7</v>
      </c>
      <c r="H1257" s="72" t="s">
        <v>4347</v>
      </c>
      <c r="I1257" s="71" t="b">
        <v>1</v>
      </c>
      <c r="J1257" s="71">
        <v>86</v>
      </c>
      <c r="K1257" s="71">
        <v>80</v>
      </c>
      <c r="L1257" s="71">
        <v>76</v>
      </c>
      <c r="M1257" s="71">
        <v>15</v>
      </c>
      <c r="N1257" s="71">
        <v>11</v>
      </c>
      <c r="O1257" s="71">
        <v>0</v>
      </c>
      <c r="P1257" s="71">
        <v>24</v>
      </c>
      <c r="Q1257" s="71">
        <v>85</v>
      </c>
      <c r="R1257" s="71">
        <v>130</v>
      </c>
      <c r="S1257" s="71" t="s">
        <v>534</v>
      </c>
      <c r="T1257" s="73" t="s">
        <v>4348</v>
      </c>
      <c r="U1257" s="71" t="s">
        <v>4034</v>
      </c>
      <c r="V1257" s="71" t="b">
        <v>0</v>
      </c>
    </row>
    <row r="1258" spans="1:22" ht="17.25">
      <c r="A1258" s="70">
        <v>901</v>
      </c>
      <c r="B1258" s="70" t="s">
        <v>1346</v>
      </c>
      <c r="C1258" s="70" t="s">
        <v>4515</v>
      </c>
      <c r="D1258" s="70" t="s">
        <v>1345</v>
      </c>
      <c r="E1258" s="70" t="s">
        <v>1344</v>
      </c>
      <c r="F1258" s="71">
        <v>140</v>
      </c>
      <c r="G1258" s="71">
        <v>7</v>
      </c>
      <c r="H1258" s="72" t="s">
        <v>4347</v>
      </c>
      <c r="I1258" s="71" t="b">
        <v>1</v>
      </c>
      <c r="J1258" s="71">
        <v>86</v>
      </c>
      <c r="K1258" s="71">
        <v>80</v>
      </c>
      <c r="L1258" s="71">
        <v>76</v>
      </c>
      <c r="M1258" s="71">
        <v>15</v>
      </c>
      <c r="N1258" s="71">
        <v>11</v>
      </c>
      <c r="O1258" s="71">
        <v>0</v>
      </c>
      <c r="P1258" s="71">
        <v>24</v>
      </c>
      <c r="Q1258" s="71">
        <v>85</v>
      </c>
      <c r="R1258" s="71">
        <v>130</v>
      </c>
      <c r="S1258" s="71" t="s">
        <v>534</v>
      </c>
      <c r="T1258" s="73" t="s">
        <v>4348</v>
      </c>
      <c r="U1258" s="71" t="s">
        <v>4034</v>
      </c>
      <c r="V1258" s="71" t="b">
        <v>0</v>
      </c>
    </row>
    <row r="1259" spans="1:22" ht="17.25">
      <c r="A1259" s="70">
        <v>901</v>
      </c>
      <c r="B1259" s="70" t="s">
        <v>1346</v>
      </c>
      <c r="C1259" s="70" t="s">
        <v>4780</v>
      </c>
      <c r="D1259" s="70" t="s">
        <v>1345</v>
      </c>
      <c r="E1259" s="70" t="s">
        <v>1344</v>
      </c>
      <c r="F1259" s="71">
        <v>140</v>
      </c>
      <c r="G1259" s="71">
        <v>7</v>
      </c>
      <c r="H1259" s="72" t="s">
        <v>4347</v>
      </c>
      <c r="I1259" s="71" t="b">
        <v>1</v>
      </c>
      <c r="J1259" s="71">
        <v>86</v>
      </c>
      <c r="K1259" s="71">
        <v>80</v>
      </c>
      <c r="L1259" s="71">
        <v>76</v>
      </c>
      <c r="M1259" s="71">
        <v>15</v>
      </c>
      <c r="N1259" s="71">
        <v>11</v>
      </c>
      <c r="O1259" s="71">
        <v>0</v>
      </c>
      <c r="P1259" s="71">
        <v>24</v>
      </c>
      <c r="Q1259" s="71">
        <v>85</v>
      </c>
      <c r="R1259" s="71">
        <v>130</v>
      </c>
      <c r="S1259" s="71" t="s">
        <v>534</v>
      </c>
      <c r="T1259" s="73" t="s">
        <v>4348</v>
      </c>
      <c r="U1259" s="71" t="s">
        <v>4034</v>
      </c>
      <c r="V1259" s="71" t="b">
        <v>0</v>
      </c>
    </row>
    <row r="1260" spans="1:22" ht="17.25">
      <c r="A1260" s="70">
        <v>902</v>
      </c>
      <c r="B1260" s="70" t="s">
        <v>1343</v>
      </c>
      <c r="C1260" s="70" t="s">
        <v>4786</v>
      </c>
      <c r="D1260" s="70" t="s">
        <v>1342</v>
      </c>
      <c r="E1260" s="70" t="s">
        <v>1341</v>
      </c>
      <c r="F1260" s="71">
        <v>187</v>
      </c>
      <c r="G1260" s="71">
        <v>1</v>
      </c>
      <c r="H1260" s="72" t="s">
        <v>4334</v>
      </c>
      <c r="I1260" s="71" t="b">
        <v>0</v>
      </c>
      <c r="J1260" s="71">
        <v>63</v>
      </c>
      <c r="K1260" s="71">
        <v>55</v>
      </c>
      <c r="L1260" s="71">
        <v>71</v>
      </c>
      <c r="M1260" s="71">
        <v>4</v>
      </c>
      <c r="N1260" s="71">
        <v>54</v>
      </c>
      <c r="O1260" s="71">
        <v>0</v>
      </c>
      <c r="P1260" s="71">
        <v>13</v>
      </c>
      <c r="Q1260" s="71">
        <v>51</v>
      </c>
      <c r="R1260" s="71">
        <v>92</v>
      </c>
      <c r="S1260" s="71" t="s">
        <v>359</v>
      </c>
      <c r="T1260" s="73" t="s">
        <v>4371</v>
      </c>
      <c r="U1260" s="71" t="s">
        <v>4035</v>
      </c>
      <c r="V1260" s="71" t="b">
        <v>0</v>
      </c>
    </row>
    <row r="1261" spans="1:22" ht="17.25">
      <c r="A1261" s="70">
        <v>902</v>
      </c>
      <c r="B1261" s="70" t="s">
        <v>1343</v>
      </c>
      <c r="C1261" s="70" t="s">
        <v>4516</v>
      </c>
      <c r="D1261" s="70" t="s">
        <v>1342</v>
      </c>
      <c r="E1261" s="70" t="s">
        <v>1341</v>
      </c>
      <c r="F1261" s="71">
        <v>187</v>
      </c>
      <c r="G1261" s="71">
        <v>1</v>
      </c>
      <c r="H1261" s="72" t="s">
        <v>4334</v>
      </c>
      <c r="I1261" s="71" t="b">
        <v>0</v>
      </c>
      <c r="J1261" s="71">
        <v>63</v>
      </c>
      <c r="K1261" s="71">
        <v>55</v>
      </c>
      <c r="L1261" s="71">
        <v>71</v>
      </c>
      <c r="M1261" s="71">
        <v>4</v>
      </c>
      <c r="N1261" s="71">
        <v>54</v>
      </c>
      <c r="O1261" s="71">
        <v>0</v>
      </c>
      <c r="P1261" s="71">
        <v>13</v>
      </c>
      <c r="Q1261" s="71">
        <v>51</v>
      </c>
      <c r="R1261" s="71">
        <v>92</v>
      </c>
      <c r="S1261" s="71" t="s">
        <v>359</v>
      </c>
      <c r="T1261" s="73" t="s">
        <v>4371</v>
      </c>
      <c r="U1261" s="71" t="s">
        <v>4035</v>
      </c>
      <c r="V1261" s="71" t="b">
        <v>0</v>
      </c>
    </row>
    <row r="1262" spans="1:22" ht="17.25">
      <c r="A1262" s="70">
        <v>902</v>
      </c>
      <c r="B1262" s="70" t="s">
        <v>1343</v>
      </c>
      <c r="C1262" s="70" t="s">
        <v>4785</v>
      </c>
      <c r="D1262" s="70" t="s">
        <v>1342</v>
      </c>
      <c r="E1262" s="70" t="s">
        <v>1341</v>
      </c>
      <c r="F1262" s="71">
        <v>187</v>
      </c>
      <c r="G1262" s="71">
        <v>1</v>
      </c>
      <c r="H1262" s="72" t="s">
        <v>4334</v>
      </c>
      <c r="I1262" s="71" t="b">
        <v>0</v>
      </c>
      <c r="J1262" s="71">
        <v>63</v>
      </c>
      <c r="K1262" s="71">
        <v>55</v>
      </c>
      <c r="L1262" s="71">
        <v>71</v>
      </c>
      <c r="M1262" s="71">
        <v>4</v>
      </c>
      <c r="N1262" s="71">
        <v>54</v>
      </c>
      <c r="O1262" s="71">
        <v>0</v>
      </c>
      <c r="P1262" s="71">
        <v>13</v>
      </c>
      <c r="Q1262" s="71">
        <v>51</v>
      </c>
      <c r="R1262" s="71">
        <v>92</v>
      </c>
      <c r="S1262" s="71" t="s">
        <v>359</v>
      </c>
      <c r="T1262" s="73" t="s">
        <v>4371</v>
      </c>
      <c r="U1262" s="71" t="s">
        <v>4035</v>
      </c>
      <c r="V1262" s="71" t="b">
        <v>0</v>
      </c>
    </row>
    <row r="1263" spans="1:22" ht="17.25">
      <c r="A1263" s="70">
        <v>902</v>
      </c>
      <c r="B1263" s="70" t="s">
        <v>1343</v>
      </c>
      <c r="C1263" s="70" t="s">
        <v>4784</v>
      </c>
      <c r="D1263" s="70" t="s">
        <v>1342</v>
      </c>
      <c r="E1263" s="70" t="s">
        <v>1341</v>
      </c>
      <c r="F1263" s="71">
        <v>187</v>
      </c>
      <c r="G1263" s="71">
        <v>1</v>
      </c>
      <c r="H1263" s="72" t="s">
        <v>4334</v>
      </c>
      <c r="I1263" s="71" t="b">
        <v>0</v>
      </c>
      <c r="J1263" s="71">
        <v>63</v>
      </c>
      <c r="K1263" s="71">
        <v>55</v>
      </c>
      <c r="L1263" s="71">
        <v>71</v>
      </c>
      <c r="M1263" s="71">
        <v>4</v>
      </c>
      <c r="N1263" s="71">
        <v>54</v>
      </c>
      <c r="O1263" s="71">
        <v>0</v>
      </c>
      <c r="P1263" s="71">
        <v>13</v>
      </c>
      <c r="Q1263" s="71">
        <v>51</v>
      </c>
      <c r="R1263" s="71">
        <v>92</v>
      </c>
      <c r="S1263" s="71" t="s">
        <v>359</v>
      </c>
      <c r="T1263" s="73" t="s">
        <v>4371</v>
      </c>
      <c r="U1263" s="71" t="s">
        <v>4035</v>
      </c>
      <c r="V1263" s="71" t="b">
        <v>0</v>
      </c>
    </row>
    <row r="1264" spans="1:22" ht="17.25">
      <c r="A1264" s="70">
        <v>902</v>
      </c>
      <c r="B1264" s="70" t="s">
        <v>1343</v>
      </c>
      <c r="C1264" s="70" t="s">
        <v>4782</v>
      </c>
      <c r="D1264" s="70" t="s">
        <v>1342</v>
      </c>
      <c r="E1264" s="70" t="s">
        <v>1341</v>
      </c>
      <c r="F1264" s="71">
        <v>187</v>
      </c>
      <c r="G1264" s="71">
        <v>1</v>
      </c>
      <c r="H1264" s="72" t="s">
        <v>4334</v>
      </c>
      <c r="I1264" s="71" t="b">
        <v>0</v>
      </c>
      <c r="J1264" s="71">
        <v>63</v>
      </c>
      <c r="K1264" s="71">
        <v>55</v>
      </c>
      <c r="L1264" s="71">
        <v>71</v>
      </c>
      <c r="M1264" s="71">
        <v>4</v>
      </c>
      <c r="N1264" s="71">
        <v>54</v>
      </c>
      <c r="O1264" s="71">
        <v>0</v>
      </c>
      <c r="P1264" s="71">
        <v>13</v>
      </c>
      <c r="Q1264" s="71">
        <v>51</v>
      </c>
      <c r="R1264" s="71">
        <v>92</v>
      </c>
      <c r="S1264" s="71" t="s">
        <v>359</v>
      </c>
      <c r="T1264" s="73" t="s">
        <v>4371</v>
      </c>
      <c r="U1264" s="71" t="s">
        <v>4035</v>
      </c>
      <c r="V1264" s="71" t="b">
        <v>0</v>
      </c>
    </row>
    <row r="1265" spans="1:22" ht="17.25">
      <c r="A1265" s="70">
        <v>902</v>
      </c>
      <c r="B1265" s="70" t="s">
        <v>1343</v>
      </c>
      <c r="C1265" s="70" t="s">
        <v>4783</v>
      </c>
      <c r="D1265" s="70" t="s">
        <v>1342</v>
      </c>
      <c r="E1265" s="70" t="s">
        <v>1341</v>
      </c>
      <c r="F1265" s="71">
        <v>187</v>
      </c>
      <c r="G1265" s="71">
        <v>1</v>
      </c>
      <c r="H1265" s="72" t="s">
        <v>4334</v>
      </c>
      <c r="I1265" s="71" t="b">
        <v>0</v>
      </c>
      <c r="J1265" s="71">
        <v>63</v>
      </c>
      <c r="K1265" s="71">
        <v>55</v>
      </c>
      <c r="L1265" s="71">
        <v>71</v>
      </c>
      <c r="M1265" s="71">
        <v>4</v>
      </c>
      <c r="N1265" s="71">
        <v>54</v>
      </c>
      <c r="O1265" s="71">
        <v>0</v>
      </c>
      <c r="P1265" s="71">
        <v>13</v>
      </c>
      <c r="Q1265" s="71">
        <v>51</v>
      </c>
      <c r="R1265" s="71">
        <v>92</v>
      </c>
      <c r="S1265" s="71" t="s">
        <v>359</v>
      </c>
      <c r="T1265" s="73" t="s">
        <v>4371</v>
      </c>
      <c r="U1265" s="71" t="s">
        <v>4035</v>
      </c>
      <c r="V1265" s="71" t="b">
        <v>0</v>
      </c>
    </row>
    <row r="1266" spans="1:22" ht="17.25">
      <c r="A1266" s="70">
        <v>903</v>
      </c>
      <c r="B1266" s="70" t="s">
        <v>1340</v>
      </c>
      <c r="C1266" s="70" t="s">
        <v>67</v>
      </c>
      <c r="D1266" s="70" t="s">
        <v>1339</v>
      </c>
      <c r="E1266" s="70" t="s">
        <v>65</v>
      </c>
      <c r="F1266" s="71">
        <v>97</v>
      </c>
      <c r="G1266" s="71">
        <v>1</v>
      </c>
      <c r="H1266" s="72">
        <v>0.11666666666666667</v>
      </c>
      <c r="I1266" s="71" t="b">
        <v>1</v>
      </c>
      <c r="J1266" s="71">
        <v>50</v>
      </c>
      <c r="K1266" s="71">
        <v>81</v>
      </c>
      <c r="L1266" s="71">
        <v>89</v>
      </c>
      <c r="M1266" s="71">
        <v>3</v>
      </c>
      <c r="N1266" s="71">
        <v>1</v>
      </c>
      <c r="O1266" s="71">
        <v>0</v>
      </c>
      <c r="P1266" s="71">
        <v>20</v>
      </c>
      <c r="Q1266" s="71">
        <v>64</v>
      </c>
      <c r="R1266" s="71">
        <v>77</v>
      </c>
      <c r="S1266" s="71" t="s">
        <v>48</v>
      </c>
      <c r="T1266" s="73">
        <v>45730</v>
      </c>
      <c r="U1266" s="71" t="s">
        <v>3912</v>
      </c>
      <c r="V1266" s="71" t="b">
        <v>0</v>
      </c>
    </row>
    <row r="1267" spans="1:22" ht="17.25">
      <c r="A1267" s="70">
        <v>904</v>
      </c>
      <c r="B1267" s="70" t="s">
        <v>1338</v>
      </c>
      <c r="C1267" s="70" t="s">
        <v>4787</v>
      </c>
      <c r="D1267" s="70" t="s">
        <v>1337</v>
      </c>
      <c r="E1267" s="70" t="s">
        <v>324</v>
      </c>
      <c r="F1267" s="71">
        <v>84</v>
      </c>
      <c r="G1267" s="71">
        <v>1</v>
      </c>
      <c r="H1267" s="72" t="s">
        <v>4320</v>
      </c>
      <c r="I1267" s="71" t="b">
        <v>0</v>
      </c>
      <c r="J1267" s="71">
        <v>66</v>
      </c>
      <c r="K1267" s="71">
        <v>45</v>
      </c>
      <c r="L1267" s="71">
        <v>70</v>
      </c>
      <c r="M1267" s="71">
        <v>6</v>
      </c>
      <c r="N1267" s="71">
        <v>59</v>
      </c>
      <c r="O1267" s="71">
        <v>0</v>
      </c>
      <c r="P1267" s="71">
        <v>12</v>
      </c>
      <c r="Q1267" s="71">
        <v>40</v>
      </c>
      <c r="R1267" s="71">
        <v>94</v>
      </c>
      <c r="S1267" s="71" t="s">
        <v>96</v>
      </c>
      <c r="T1267" s="73" t="s">
        <v>4368</v>
      </c>
      <c r="U1267" s="71" t="s">
        <v>4001</v>
      </c>
      <c r="V1267" s="71" t="b">
        <v>0</v>
      </c>
    </row>
    <row r="1268" spans="1:22" ht="17.25">
      <c r="A1268" s="70">
        <v>904</v>
      </c>
      <c r="B1268" s="70" t="s">
        <v>1338</v>
      </c>
      <c r="C1268" s="70" t="s">
        <v>54</v>
      </c>
      <c r="D1268" s="70" t="s">
        <v>1337</v>
      </c>
      <c r="E1268" s="70" t="s">
        <v>324</v>
      </c>
      <c r="F1268" s="71">
        <v>84</v>
      </c>
      <c r="G1268" s="71">
        <v>1</v>
      </c>
      <c r="H1268" s="72" t="s">
        <v>4320</v>
      </c>
      <c r="I1268" s="71" t="b">
        <v>0</v>
      </c>
      <c r="J1268" s="71">
        <v>66</v>
      </c>
      <c r="K1268" s="71">
        <v>45</v>
      </c>
      <c r="L1268" s="71">
        <v>70</v>
      </c>
      <c r="M1268" s="71">
        <v>6</v>
      </c>
      <c r="N1268" s="71">
        <v>59</v>
      </c>
      <c r="O1268" s="71">
        <v>0</v>
      </c>
      <c r="P1268" s="71">
        <v>12</v>
      </c>
      <c r="Q1268" s="71">
        <v>40</v>
      </c>
      <c r="R1268" s="71">
        <v>94</v>
      </c>
      <c r="S1268" s="71" t="s">
        <v>96</v>
      </c>
      <c r="T1268" s="73" t="s">
        <v>4368</v>
      </c>
      <c r="U1268" s="71" t="s">
        <v>4001</v>
      </c>
      <c r="V1268" s="71" t="b">
        <v>0</v>
      </c>
    </row>
    <row r="1269" spans="1:22" ht="17.25">
      <c r="A1269" s="70">
        <v>905</v>
      </c>
      <c r="B1269" s="70" t="s">
        <v>1336</v>
      </c>
      <c r="C1269" s="70" t="s">
        <v>4788</v>
      </c>
      <c r="D1269" s="70" t="s">
        <v>1335</v>
      </c>
      <c r="E1269" s="70" t="s">
        <v>480</v>
      </c>
      <c r="F1269" s="71">
        <v>95</v>
      </c>
      <c r="G1269" s="71">
        <v>6</v>
      </c>
      <c r="H1269" s="72">
        <v>0.15833333333333333</v>
      </c>
      <c r="I1269" s="71" t="b">
        <v>0</v>
      </c>
      <c r="J1269" s="71">
        <v>44</v>
      </c>
      <c r="K1269" s="71">
        <v>49</v>
      </c>
      <c r="L1269" s="71">
        <v>88</v>
      </c>
      <c r="M1269" s="71">
        <v>3</v>
      </c>
      <c r="N1269" s="71">
        <v>81</v>
      </c>
      <c r="O1269" s="71">
        <v>0</v>
      </c>
      <c r="P1269" s="71">
        <v>11</v>
      </c>
      <c r="Q1269" s="71">
        <v>20</v>
      </c>
      <c r="R1269" s="71">
        <v>92</v>
      </c>
      <c r="S1269" s="71" t="s">
        <v>359</v>
      </c>
      <c r="T1269" s="73">
        <v>45576</v>
      </c>
      <c r="U1269" s="71" t="s">
        <v>4036</v>
      </c>
      <c r="V1269" s="71" t="b">
        <v>0</v>
      </c>
    </row>
    <row r="1270" spans="1:22" ht="17.25">
      <c r="A1270" s="70">
        <v>905</v>
      </c>
      <c r="B1270" s="70" t="s">
        <v>1336</v>
      </c>
      <c r="C1270" s="70" t="s">
        <v>4586</v>
      </c>
      <c r="D1270" s="70" t="s">
        <v>1335</v>
      </c>
      <c r="E1270" s="70" t="s">
        <v>480</v>
      </c>
      <c r="F1270" s="71">
        <v>95</v>
      </c>
      <c r="G1270" s="71">
        <v>6</v>
      </c>
      <c r="H1270" s="72">
        <v>0.15833333333333333</v>
      </c>
      <c r="I1270" s="71" t="b">
        <v>0</v>
      </c>
      <c r="J1270" s="71">
        <v>44</v>
      </c>
      <c r="K1270" s="71">
        <v>49</v>
      </c>
      <c r="L1270" s="71">
        <v>88</v>
      </c>
      <c r="M1270" s="71">
        <v>3</v>
      </c>
      <c r="N1270" s="71">
        <v>81</v>
      </c>
      <c r="O1270" s="71">
        <v>0</v>
      </c>
      <c r="P1270" s="71">
        <v>11</v>
      </c>
      <c r="Q1270" s="71">
        <v>20</v>
      </c>
      <c r="R1270" s="71">
        <v>92</v>
      </c>
      <c r="S1270" s="71" t="s">
        <v>359</v>
      </c>
      <c r="T1270" s="73">
        <v>45576</v>
      </c>
      <c r="U1270" s="71" t="s">
        <v>4036</v>
      </c>
      <c r="V1270" s="71" t="b">
        <v>0</v>
      </c>
    </row>
    <row r="1271" spans="1:22" ht="17.25">
      <c r="A1271" s="70">
        <v>905</v>
      </c>
      <c r="B1271" s="70" t="s">
        <v>1336</v>
      </c>
      <c r="C1271" s="70" t="s">
        <v>4416</v>
      </c>
      <c r="D1271" s="70" t="s">
        <v>1335</v>
      </c>
      <c r="E1271" s="70" t="s">
        <v>480</v>
      </c>
      <c r="F1271" s="71">
        <v>95</v>
      </c>
      <c r="G1271" s="71">
        <v>6</v>
      </c>
      <c r="H1271" s="72">
        <v>0.15833333333333333</v>
      </c>
      <c r="I1271" s="71" t="b">
        <v>0</v>
      </c>
      <c r="J1271" s="71">
        <v>44</v>
      </c>
      <c r="K1271" s="71">
        <v>49</v>
      </c>
      <c r="L1271" s="71">
        <v>88</v>
      </c>
      <c r="M1271" s="71">
        <v>3</v>
      </c>
      <c r="N1271" s="71">
        <v>81</v>
      </c>
      <c r="O1271" s="71">
        <v>0</v>
      </c>
      <c r="P1271" s="71">
        <v>11</v>
      </c>
      <c r="Q1271" s="71">
        <v>20</v>
      </c>
      <c r="R1271" s="71">
        <v>92</v>
      </c>
      <c r="S1271" s="71" t="s">
        <v>359</v>
      </c>
      <c r="T1271" s="73">
        <v>45576</v>
      </c>
      <c r="U1271" s="71" t="s">
        <v>4036</v>
      </c>
      <c r="V1271" s="71" t="b">
        <v>0</v>
      </c>
    </row>
    <row r="1272" spans="1:22" ht="17.25">
      <c r="A1272" s="70">
        <v>906</v>
      </c>
      <c r="B1272" s="70" t="s">
        <v>1334</v>
      </c>
      <c r="C1272" s="70" t="s">
        <v>1333</v>
      </c>
      <c r="D1272" s="70" t="s">
        <v>1332</v>
      </c>
      <c r="E1272" s="70" t="s">
        <v>1331</v>
      </c>
      <c r="F1272" s="71">
        <v>175</v>
      </c>
      <c r="G1272" s="71">
        <v>5</v>
      </c>
      <c r="H1272" s="72" t="s">
        <v>4315</v>
      </c>
      <c r="I1272" s="71" t="b">
        <v>1</v>
      </c>
      <c r="J1272" s="71">
        <v>79</v>
      </c>
      <c r="K1272" s="71">
        <v>74</v>
      </c>
      <c r="L1272" s="71">
        <v>71</v>
      </c>
      <c r="M1272" s="71">
        <v>12</v>
      </c>
      <c r="N1272" s="71">
        <v>22</v>
      </c>
      <c r="O1272" s="71">
        <v>0</v>
      </c>
      <c r="P1272" s="71">
        <v>10</v>
      </c>
      <c r="Q1272" s="71">
        <v>68</v>
      </c>
      <c r="R1272" s="71">
        <v>125</v>
      </c>
      <c r="S1272" s="71" t="s">
        <v>128</v>
      </c>
      <c r="T1272" s="73" t="s">
        <v>4316</v>
      </c>
      <c r="U1272" s="71" t="s">
        <v>4037</v>
      </c>
      <c r="V1272" s="71" t="b">
        <v>0</v>
      </c>
    </row>
    <row r="1273" spans="1:22" ht="17.25">
      <c r="A1273" s="70">
        <v>907</v>
      </c>
      <c r="B1273" s="70" t="s">
        <v>1330</v>
      </c>
      <c r="C1273" s="70" t="s">
        <v>4418</v>
      </c>
      <c r="D1273" s="70" t="s">
        <v>1329</v>
      </c>
      <c r="E1273" s="70" t="s">
        <v>1328</v>
      </c>
      <c r="F1273" s="71">
        <v>52</v>
      </c>
      <c r="G1273" s="71">
        <v>12</v>
      </c>
      <c r="H1273" s="72" t="s">
        <v>4315</v>
      </c>
      <c r="I1273" s="71" t="b">
        <v>0</v>
      </c>
      <c r="J1273" s="71">
        <v>78</v>
      </c>
      <c r="K1273" s="71">
        <v>81</v>
      </c>
      <c r="L1273" s="71">
        <v>75</v>
      </c>
      <c r="M1273" s="71">
        <v>6</v>
      </c>
      <c r="N1273" s="71">
        <v>8</v>
      </c>
      <c r="O1273" s="71">
        <v>1</v>
      </c>
      <c r="P1273" s="71">
        <v>18</v>
      </c>
      <c r="Q1273" s="71">
        <v>72</v>
      </c>
      <c r="R1273" s="71">
        <v>124</v>
      </c>
      <c r="S1273" s="71" t="s">
        <v>247</v>
      </c>
      <c r="T1273" s="73" t="s">
        <v>4381</v>
      </c>
      <c r="U1273" s="71" t="s">
        <v>4038</v>
      </c>
      <c r="V1273" s="71" t="b">
        <v>0</v>
      </c>
    </row>
    <row r="1274" spans="1:22" ht="17.25">
      <c r="A1274" s="70">
        <v>907</v>
      </c>
      <c r="B1274" s="70" t="s">
        <v>1330</v>
      </c>
      <c r="C1274" s="70" t="s">
        <v>4789</v>
      </c>
      <c r="D1274" s="70" t="s">
        <v>1329</v>
      </c>
      <c r="E1274" s="70" t="s">
        <v>1328</v>
      </c>
      <c r="F1274" s="71">
        <v>52</v>
      </c>
      <c r="G1274" s="71">
        <v>12</v>
      </c>
      <c r="H1274" s="72" t="s">
        <v>4315</v>
      </c>
      <c r="I1274" s="71" t="b">
        <v>0</v>
      </c>
      <c r="J1274" s="71">
        <v>78</v>
      </c>
      <c r="K1274" s="71">
        <v>81</v>
      </c>
      <c r="L1274" s="71">
        <v>75</v>
      </c>
      <c r="M1274" s="71">
        <v>6</v>
      </c>
      <c r="N1274" s="71">
        <v>8</v>
      </c>
      <c r="O1274" s="71">
        <v>1</v>
      </c>
      <c r="P1274" s="71">
        <v>18</v>
      </c>
      <c r="Q1274" s="71">
        <v>72</v>
      </c>
      <c r="R1274" s="71">
        <v>124</v>
      </c>
      <c r="S1274" s="71" t="s">
        <v>247</v>
      </c>
      <c r="T1274" s="73" t="s">
        <v>4381</v>
      </c>
      <c r="U1274" s="71" t="s">
        <v>4038</v>
      </c>
      <c r="V1274" s="71" t="b">
        <v>0</v>
      </c>
    </row>
    <row r="1275" spans="1:22" ht="17.25">
      <c r="A1275" s="70">
        <v>907</v>
      </c>
      <c r="B1275" s="70" t="s">
        <v>1330</v>
      </c>
      <c r="C1275" s="70" t="s">
        <v>4790</v>
      </c>
      <c r="D1275" s="70" t="s">
        <v>1329</v>
      </c>
      <c r="E1275" s="70" t="s">
        <v>1328</v>
      </c>
      <c r="F1275" s="71">
        <v>52</v>
      </c>
      <c r="G1275" s="71">
        <v>12</v>
      </c>
      <c r="H1275" s="72" t="s">
        <v>4315</v>
      </c>
      <c r="I1275" s="71" t="b">
        <v>0</v>
      </c>
      <c r="J1275" s="71">
        <v>78</v>
      </c>
      <c r="K1275" s="71">
        <v>81</v>
      </c>
      <c r="L1275" s="71">
        <v>75</v>
      </c>
      <c r="M1275" s="71">
        <v>6</v>
      </c>
      <c r="N1275" s="71">
        <v>8</v>
      </c>
      <c r="O1275" s="71">
        <v>1</v>
      </c>
      <c r="P1275" s="71">
        <v>18</v>
      </c>
      <c r="Q1275" s="71">
        <v>72</v>
      </c>
      <c r="R1275" s="71">
        <v>124</v>
      </c>
      <c r="S1275" s="71" t="s">
        <v>247</v>
      </c>
      <c r="T1275" s="73" t="s">
        <v>4381</v>
      </c>
      <c r="U1275" s="71" t="s">
        <v>4038</v>
      </c>
      <c r="V1275" s="71" t="b">
        <v>0</v>
      </c>
    </row>
    <row r="1276" spans="1:22" ht="17.25">
      <c r="A1276" s="70">
        <v>908</v>
      </c>
      <c r="B1276" s="70" t="s">
        <v>1327</v>
      </c>
      <c r="C1276" s="70" t="s">
        <v>54</v>
      </c>
      <c r="D1276" s="70" t="s">
        <v>1326</v>
      </c>
      <c r="E1276" s="70" t="s">
        <v>1325</v>
      </c>
      <c r="F1276" s="71">
        <v>14</v>
      </c>
      <c r="G1276" s="71">
        <v>10</v>
      </c>
      <c r="H1276" s="72">
        <v>0.1388888888888889</v>
      </c>
      <c r="I1276" s="71" t="b">
        <v>0</v>
      </c>
      <c r="J1276" s="71">
        <v>72</v>
      </c>
      <c r="K1276" s="71">
        <v>61</v>
      </c>
      <c r="L1276" s="71">
        <v>93</v>
      </c>
      <c r="M1276" s="71">
        <v>3</v>
      </c>
      <c r="N1276" s="71">
        <v>5</v>
      </c>
      <c r="O1276" s="71">
        <v>0</v>
      </c>
      <c r="P1276" s="71">
        <v>11</v>
      </c>
      <c r="Q1276" s="71">
        <v>83</v>
      </c>
      <c r="R1276" s="71">
        <v>121</v>
      </c>
      <c r="S1276" s="71" t="s">
        <v>96</v>
      </c>
      <c r="T1276" s="73">
        <v>40260</v>
      </c>
      <c r="U1276" s="71" t="s">
        <v>4039</v>
      </c>
      <c r="V1276" s="71" t="b">
        <v>0</v>
      </c>
    </row>
    <row r="1277" spans="1:22" ht="17.25">
      <c r="A1277" s="70">
        <v>908</v>
      </c>
      <c r="B1277" s="70" t="s">
        <v>1327</v>
      </c>
      <c r="C1277" s="70" t="s">
        <v>4517</v>
      </c>
      <c r="D1277" s="70" t="s">
        <v>1326</v>
      </c>
      <c r="E1277" s="70" t="s">
        <v>1325</v>
      </c>
      <c r="F1277" s="71">
        <v>14</v>
      </c>
      <c r="G1277" s="71">
        <v>10</v>
      </c>
      <c r="H1277" s="72">
        <v>0.1388888888888889</v>
      </c>
      <c r="I1277" s="71" t="b">
        <v>0</v>
      </c>
      <c r="J1277" s="71">
        <v>72</v>
      </c>
      <c r="K1277" s="71">
        <v>61</v>
      </c>
      <c r="L1277" s="71">
        <v>93</v>
      </c>
      <c r="M1277" s="71">
        <v>3</v>
      </c>
      <c r="N1277" s="71">
        <v>5</v>
      </c>
      <c r="O1277" s="71">
        <v>0</v>
      </c>
      <c r="P1277" s="71">
        <v>11</v>
      </c>
      <c r="Q1277" s="71">
        <v>83</v>
      </c>
      <c r="R1277" s="71">
        <v>121</v>
      </c>
      <c r="S1277" s="71" t="s">
        <v>96</v>
      </c>
      <c r="T1277" s="73">
        <v>40260</v>
      </c>
      <c r="U1277" s="71" t="s">
        <v>4039</v>
      </c>
      <c r="V1277" s="71" t="b">
        <v>0</v>
      </c>
    </row>
    <row r="1278" spans="1:22" ht="17.25">
      <c r="A1278" s="70">
        <v>909</v>
      </c>
      <c r="B1278" s="70" t="s">
        <v>1324</v>
      </c>
      <c r="C1278" s="70" t="s">
        <v>977</v>
      </c>
      <c r="D1278" s="70" t="s">
        <v>1323</v>
      </c>
      <c r="E1278" s="70" t="s">
        <v>381</v>
      </c>
      <c r="F1278" s="71">
        <v>80</v>
      </c>
      <c r="G1278" s="71">
        <v>3</v>
      </c>
      <c r="H1278" s="72">
        <v>0.11388888888888889</v>
      </c>
      <c r="I1278" s="71" t="b">
        <v>0</v>
      </c>
      <c r="J1278" s="71">
        <v>55</v>
      </c>
      <c r="K1278" s="71">
        <v>78</v>
      </c>
      <c r="L1278" s="71">
        <v>90</v>
      </c>
      <c r="M1278" s="71">
        <v>5</v>
      </c>
      <c r="N1278" s="71">
        <v>42</v>
      </c>
      <c r="O1278" s="71">
        <v>0</v>
      </c>
      <c r="P1278" s="71">
        <v>63</v>
      </c>
      <c r="Q1278" s="71">
        <v>81</v>
      </c>
      <c r="R1278" s="71">
        <v>105</v>
      </c>
      <c r="S1278" s="71" t="s">
        <v>143</v>
      </c>
      <c r="T1278" s="73">
        <v>29535</v>
      </c>
      <c r="U1278" s="71" t="s">
        <v>4040</v>
      </c>
      <c r="V1278" s="71" t="b">
        <v>0</v>
      </c>
    </row>
    <row r="1279" spans="1:22" ht="17.25">
      <c r="A1279" s="70">
        <v>910</v>
      </c>
      <c r="B1279" s="70" t="s">
        <v>1322</v>
      </c>
      <c r="C1279" s="70" t="s">
        <v>366</v>
      </c>
      <c r="D1279" s="70" t="s">
        <v>1321</v>
      </c>
      <c r="E1279" s="70" t="s">
        <v>171</v>
      </c>
      <c r="F1279" s="71">
        <v>1</v>
      </c>
      <c r="G1279" s="71">
        <v>102</v>
      </c>
      <c r="H1279" s="72">
        <v>0.11736111111111111</v>
      </c>
      <c r="I1279" s="71" t="b">
        <v>0</v>
      </c>
      <c r="J1279" s="71">
        <v>78</v>
      </c>
      <c r="K1279" s="71">
        <v>78</v>
      </c>
      <c r="L1279" s="71">
        <v>93</v>
      </c>
      <c r="M1279" s="71">
        <v>26</v>
      </c>
      <c r="N1279" s="71">
        <v>3</v>
      </c>
      <c r="O1279" s="71">
        <v>0</v>
      </c>
      <c r="P1279" s="71">
        <v>36</v>
      </c>
      <c r="Q1279" s="71">
        <v>94</v>
      </c>
      <c r="R1279" s="71">
        <v>149</v>
      </c>
      <c r="S1279" s="71" t="s">
        <v>96</v>
      </c>
      <c r="T1279" s="73">
        <v>45583</v>
      </c>
      <c r="U1279" s="71" t="s">
        <v>4041</v>
      </c>
      <c r="V1279" s="71" t="b">
        <v>0</v>
      </c>
    </row>
    <row r="1280" spans="1:22" ht="17.25">
      <c r="A1280" s="70">
        <v>910</v>
      </c>
      <c r="B1280" s="70" t="s">
        <v>1322</v>
      </c>
      <c r="C1280" s="70" t="s">
        <v>2585</v>
      </c>
      <c r="D1280" s="70" t="s">
        <v>1321</v>
      </c>
      <c r="E1280" s="70" t="s">
        <v>171</v>
      </c>
      <c r="F1280" s="71">
        <v>1</v>
      </c>
      <c r="G1280" s="71">
        <v>102</v>
      </c>
      <c r="H1280" s="72">
        <v>0.11736111111111111</v>
      </c>
      <c r="I1280" s="71" t="b">
        <v>0</v>
      </c>
      <c r="J1280" s="71">
        <v>78</v>
      </c>
      <c r="K1280" s="71">
        <v>78</v>
      </c>
      <c r="L1280" s="71">
        <v>93</v>
      </c>
      <c r="M1280" s="71">
        <v>26</v>
      </c>
      <c r="N1280" s="71">
        <v>3</v>
      </c>
      <c r="O1280" s="71">
        <v>0</v>
      </c>
      <c r="P1280" s="71">
        <v>36</v>
      </c>
      <c r="Q1280" s="71">
        <v>94</v>
      </c>
      <c r="R1280" s="71">
        <v>149</v>
      </c>
      <c r="S1280" s="71" t="s">
        <v>96</v>
      </c>
      <c r="T1280" s="73">
        <v>45583</v>
      </c>
      <c r="U1280" s="71" t="s">
        <v>4041</v>
      </c>
      <c r="V1280" s="71" t="b">
        <v>0</v>
      </c>
    </row>
    <row r="1281" spans="1:22" ht="17.25">
      <c r="A1281" s="70">
        <v>911</v>
      </c>
      <c r="B1281" s="70" t="s">
        <v>1320</v>
      </c>
      <c r="C1281" s="70" t="s">
        <v>4906</v>
      </c>
      <c r="D1281" s="70" t="s">
        <v>1319</v>
      </c>
      <c r="E1281" s="70" t="s">
        <v>44</v>
      </c>
      <c r="F1281" s="71">
        <v>110</v>
      </c>
      <c r="G1281" s="71">
        <v>2</v>
      </c>
      <c r="H1281" s="72" t="s">
        <v>4320</v>
      </c>
      <c r="I1281" s="71" t="b">
        <v>1</v>
      </c>
      <c r="J1281" s="71">
        <v>68</v>
      </c>
      <c r="K1281" s="71">
        <v>46</v>
      </c>
      <c r="L1281" s="71">
        <v>70</v>
      </c>
      <c r="M1281" s="71">
        <v>12</v>
      </c>
      <c r="N1281" s="71">
        <v>54</v>
      </c>
      <c r="O1281" s="71">
        <v>0</v>
      </c>
      <c r="P1281" s="71">
        <v>10</v>
      </c>
      <c r="Q1281" s="71">
        <v>39</v>
      </c>
      <c r="R1281" s="71">
        <v>82</v>
      </c>
      <c r="S1281" s="71" t="s">
        <v>48</v>
      </c>
      <c r="T1281" s="73" t="s">
        <v>4381</v>
      </c>
      <c r="U1281" s="71" t="s">
        <v>3891</v>
      </c>
      <c r="V1281" s="71" t="b">
        <v>0</v>
      </c>
    </row>
    <row r="1282" spans="1:22" ht="17.25">
      <c r="A1282" s="70">
        <v>911</v>
      </c>
      <c r="B1282" s="70" t="s">
        <v>1320</v>
      </c>
      <c r="C1282" s="70" t="s">
        <v>4582</v>
      </c>
      <c r="D1282" s="70" t="s">
        <v>1319</v>
      </c>
      <c r="E1282" s="70" t="s">
        <v>44</v>
      </c>
      <c r="F1282" s="71">
        <v>110</v>
      </c>
      <c r="G1282" s="71">
        <v>2</v>
      </c>
      <c r="H1282" s="72" t="s">
        <v>4320</v>
      </c>
      <c r="I1282" s="71" t="b">
        <v>1</v>
      </c>
      <c r="J1282" s="71">
        <v>68</v>
      </c>
      <c r="K1282" s="71">
        <v>46</v>
      </c>
      <c r="L1282" s="71">
        <v>70</v>
      </c>
      <c r="M1282" s="71">
        <v>12</v>
      </c>
      <c r="N1282" s="71">
        <v>54</v>
      </c>
      <c r="O1282" s="71">
        <v>0</v>
      </c>
      <c r="P1282" s="71">
        <v>10</v>
      </c>
      <c r="Q1282" s="71">
        <v>39</v>
      </c>
      <c r="R1282" s="71">
        <v>82</v>
      </c>
      <c r="S1282" s="71" t="s">
        <v>48</v>
      </c>
      <c r="T1282" s="73" t="s">
        <v>4381</v>
      </c>
      <c r="U1282" s="71" t="s">
        <v>3891</v>
      </c>
      <c r="V1282" s="71" t="b">
        <v>0</v>
      </c>
    </row>
    <row r="1283" spans="1:22" ht="17.25">
      <c r="A1283" s="70">
        <v>912</v>
      </c>
      <c r="B1283" s="70" t="s">
        <v>1318</v>
      </c>
      <c r="C1283" s="70" t="s">
        <v>264</v>
      </c>
      <c r="D1283" s="70" t="s">
        <v>1317</v>
      </c>
      <c r="E1283" s="70" t="s">
        <v>44</v>
      </c>
      <c r="F1283" s="71">
        <v>102</v>
      </c>
      <c r="G1283" s="71">
        <v>1</v>
      </c>
      <c r="H1283" s="72" t="s">
        <v>4373</v>
      </c>
      <c r="I1283" s="71" t="b">
        <v>0</v>
      </c>
      <c r="J1283" s="71">
        <v>68</v>
      </c>
      <c r="K1283" s="71">
        <v>62</v>
      </c>
      <c r="L1283" s="71">
        <v>72</v>
      </c>
      <c r="M1283" s="71">
        <v>4</v>
      </c>
      <c r="N1283" s="71">
        <v>31</v>
      </c>
      <c r="O1283" s="71">
        <v>1</v>
      </c>
      <c r="P1283" s="71">
        <v>13</v>
      </c>
      <c r="Q1283" s="71">
        <v>55</v>
      </c>
      <c r="R1283" s="71">
        <v>115</v>
      </c>
      <c r="S1283" s="71" t="s">
        <v>262</v>
      </c>
      <c r="T1283" s="73" t="s">
        <v>4375</v>
      </c>
      <c r="U1283" s="71" t="s">
        <v>3607</v>
      </c>
      <c r="V1283" s="71" t="b">
        <v>0</v>
      </c>
    </row>
    <row r="1284" spans="1:22" ht="17.25">
      <c r="A1284" s="70">
        <v>913</v>
      </c>
      <c r="B1284" s="70" t="s">
        <v>1316</v>
      </c>
      <c r="C1284" s="70" t="s">
        <v>1315</v>
      </c>
      <c r="D1284" s="70" t="s">
        <v>1314</v>
      </c>
      <c r="E1284" s="70" t="s">
        <v>1313</v>
      </c>
      <c r="F1284" s="71">
        <v>147</v>
      </c>
      <c r="G1284" s="71">
        <v>1</v>
      </c>
      <c r="H1284" s="72" t="s">
        <v>4320</v>
      </c>
      <c r="I1284" s="71" t="b">
        <v>0</v>
      </c>
      <c r="J1284" s="71">
        <v>66</v>
      </c>
      <c r="K1284" s="71">
        <v>62</v>
      </c>
      <c r="L1284" s="71">
        <v>71</v>
      </c>
      <c r="M1284" s="71">
        <v>5</v>
      </c>
      <c r="N1284" s="71">
        <v>38</v>
      </c>
      <c r="O1284" s="71">
        <v>0</v>
      </c>
      <c r="P1284" s="71">
        <v>15</v>
      </c>
      <c r="Q1284" s="71">
        <v>56</v>
      </c>
      <c r="R1284" s="71">
        <v>120</v>
      </c>
      <c r="S1284" s="71" t="s">
        <v>1312</v>
      </c>
      <c r="T1284" s="73" t="s">
        <v>4392</v>
      </c>
      <c r="U1284" s="71" t="s">
        <v>4042</v>
      </c>
      <c r="V1284" s="71" t="b">
        <v>0</v>
      </c>
    </row>
    <row r="1285" spans="1:22" ht="17.25">
      <c r="A1285" s="70">
        <v>915</v>
      </c>
      <c r="B1285" s="70" t="s">
        <v>1310</v>
      </c>
      <c r="C1285" s="70" t="s">
        <v>4791</v>
      </c>
      <c r="D1285" s="70" t="s">
        <v>1309</v>
      </c>
      <c r="E1285" s="70" t="s">
        <v>1308</v>
      </c>
      <c r="F1285" s="71">
        <v>24</v>
      </c>
      <c r="G1285" s="71">
        <v>19</v>
      </c>
      <c r="H1285" s="72">
        <v>0.13750000000000001</v>
      </c>
      <c r="I1285" s="71" t="b">
        <v>0</v>
      </c>
      <c r="J1285" s="71">
        <v>62</v>
      </c>
      <c r="K1285" s="71">
        <v>62</v>
      </c>
      <c r="L1285" s="71">
        <v>76</v>
      </c>
      <c r="M1285" s="71">
        <v>6</v>
      </c>
      <c r="N1285" s="71">
        <v>30</v>
      </c>
      <c r="O1285" s="71">
        <v>0</v>
      </c>
      <c r="P1285" s="71">
        <v>10</v>
      </c>
      <c r="Q1285" s="71">
        <v>52</v>
      </c>
      <c r="R1285" s="71">
        <v>95</v>
      </c>
      <c r="S1285" s="71" t="s">
        <v>74</v>
      </c>
      <c r="T1285" s="73">
        <v>45702</v>
      </c>
      <c r="U1285" s="71" t="s">
        <v>4043</v>
      </c>
      <c r="V1285" s="71" t="b">
        <v>0</v>
      </c>
    </row>
    <row r="1286" spans="1:22" ht="17.25">
      <c r="A1286" s="70">
        <v>915</v>
      </c>
      <c r="B1286" s="70" t="s">
        <v>1310</v>
      </c>
      <c r="C1286" s="70" t="s">
        <v>4518</v>
      </c>
      <c r="D1286" s="70" t="s">
        <v>1309</v>
      </c>
      <c r="E1286" s="70" t="s">
        <v>1308</v>
      </c>
      <c r="F1286" s="71">
        <v>24</v>
      </c>
      <c r="G1286" s="71">
        <v>19</v>
      </c>
      <c r="H1286" s="72">
        <v>0.13750000000000001</v>
      </c>
      <c r="I1286" s="71" t="b">
        <v>0</v>
      </c>
      <c r="J1286" s="71">
        <v>62</v>
      </c>
      <c r="K1286" s="71">
        <v>62</v>
      </c>
      <c r="L1286" s="71">
        <v>76</v>
      </c>
      <c r="M1286" s="71">
        <v>6</v>
      </c>
      <c r="N1286" s="71">
        <v>30</v>
      </c>
      <c r="O1286" s="71">
        <v>0</v>
      </c>
      <c r="P1286" s="71">
        <v>10</v>
      </c>
      <c r="Q1286" s="71">
        <v>52</v>
      </c>
      <c r="R1286" s="71">
        <v>95</v>
      </c>
      <c r="S1286" s="71" t="s">
        <v>74</v>
      </c>
      <c r="T1286" s="73">
        <v>45702</v>
      </c>
      <c r="U1286" s="71" t="s">
        <v>4043</v>
      </c>
      <c r="V1286" s="71" t="b">
        <v>0</v>
      </c>
    </row>
    <row r="1287" spans="1:22" ht="17.25">
      <c r="A1287" s="70">
        <v>916</v>
      </c>
      <c r="B1287" s="70" t="s">
        <v>1307</v>
      </c>
      <c r="C1287" s="70" t="s">
        <v>77</v>
      </c>
      <c r="D1287" s="70" t="s">
        <v>1306</v>
      </c>
      <c r="E1287" s="70" t="s">
        <v>75</v>
      </c>
      <c r="F1287" s="71">
        <v>12</v>
      </c>
      <c r="G1287" s="71">
        <v>159</v>
      </c>
      <c r="H1287" s="72">
        <v>0.13750000000000001</v>
      </c>
      <c r="I1287" s="71" t="b">
        <v>0</v>
      </c>
      <c r="J1287" s="71">
        <v>36</v>
      </c>
      <c r="K1287" s="71">
        <v>42</v>
      </c>
      <c r="L1287" s="71">
        <v>88</v>
      </c>
      <c r="M1287" s="71">
        <v>3</v>
      </c>
      <c r="N1287" s="71">
        <v>58</v>
      </c>
      <c r="O1287" s="71">
        <v>0</v>
      </c>
      <c r="P1287" s="71">
        <v>32</v>
      </c>
      <c r="Q1287" s="71">
        <v>27</v>
      </c>
      <c r="R1287" s="71">
        <v>102</v>
      </c>
      <c r="S1287" s="71" t="s">
        <v>74</v>
      </c>
      <c r="T1287" s="73">
        <v>43910</v>
      </c>
      <c r="U1287" s="71" t="s">
        <v>4044</v>
      </c>
      <c r="V1287" s="71" t="b">
        <v>0</v>
      </c>
    </row>
    <row r="1288" spans="1:22" ht="17.25">
      <c r="A1288" s="70">
        <v>917</v>
      </c>
      <c r="B1288" s="70" t="s">
        <v>1305</v>
      </c>
      <c r="C1288" s="70" t="s">
        <v>383</v>
      </c>
      <c r="D1288" s="70" t="s">
        <v>1304</v>
      </c>
      <c r="E1288" s="70" t="s">
        <v>381</v>
      </c>
      <c r="F1288" s="71">
        <v>49</v>
      </c>
      <c r="G1288" s="71">
        <v>3</v>
      </c>
      <c r="H1288" s="72">
        <v>0.12847222222222221</v>
      </c>
      <c r="I1288" s="71" t="b">
        <v>1</v>
      </c>
      <c r="J1288" s="71">
        <v>56</v>
      </c>
      <c r="K1288" s="71">
        <v>74</v>
      </c>
      <c r="L1288" s="71">
        <v>93</v>
      </c>
      <c r="M1288" s="71">
        <v>10</v>
      </c>
      <c r="N1288" s="71">
        <v>2</v>
      </c>
      <c r="O1288" s="71">
        <v>0</v>
      </c>
      <c r="P1288" s="71">
        <v>34</v>
      </c>
      <c r="Q1288" s="71">
        <v>47</v>
      </c>
      <c r="R1288" s="71">
        <v>180</v>
      </c>
      <c r="S1288" s="71" t="s">
        <v>96</v>
      </c>
      <c r="T1288" s="73">
        <v>45709</v>
      </c>
      <c r="U1288" s="71" t="s">
        <v>4045</v>
      </c>
      <c r="V1288" s="71" t="b">
        <v>0</v>
      </c>
    </row>
    <row r="1289" spans="1:22" ht="17.25">
      <c r="A1289" s="70">
        <v>917</v>
      </c>
      <c r="B1289" s="70" t="s">
        <v>1305</v>
      </c>
      <c r="C1289" s="70" t="s">
        <v>661</v>
      </c>
      <c r="D1289" s="70" t="s">
        <v>1304</v>
      </c>
      <c r="E1289" s="70" t="s">
        <v>381</v>
      </c>
      <c r="F1289" s="71">
        <v>49</v>
      </c>
      <c r="G1289" s="71">
        <v>3</v>
      </c>
      <c r="H1289" s="72">
        <v>0.12847222222222221</v>
      </c>
      <c r="I1289" s="71" t="b">
        <v>1</v>
      </c>
      <c r="J1289" s="71">
        <v>56</v>
      </c>
      <c r="K1289" s="71">
        <v>74</v>
      </c>
      <c r="L1289" s="71">
        <v>93</v>
      </c>
      <c r="M1289" s="71">
        <v>10</v>
      </c>
      <c r="N1289" s="71">
        <v>2</v>
      </c>
      <c r="O1289" s="71">
        <v>0</v>
      </c>
      <c r="P1289" s="71">
        <v>34</v>
      </c>
      <c r="Q1289" s="71">
        <v>47</v>
      </c>
      <c r="R1289" s="71">
        <v>180</v>
      </c>
      <c r="S1289" s="71" t="s">
        <v>96</v>
      </c>
      <c r="T1289" s="73">
        <v>45709</v>
      </c>
      <c r="U1289" s="71" t="s">
        <v>4045</v>
      </c>
      <c r="V1289" s="71" t="b">
        <v>0</v>
      </c>
    </row>
    <row r="1290" spans="1:22" ht="17.25">
      <c r="A1290" s="70">
        <v>918</v>
      </c>
      <c r="B1290" s="70" t="s">
        <v>1303</v>
      </c>
      <c r="C1290" s="70" t="s">
        <v>198</v>
      </c>
      <c r="D1290" s="70" t="s">
        <v>1302</v>
      </c>
      <c r="E1290" s="70" t="s">
        <v>196</v>
      </c>
      <c r="F1290" s="71">
        <v>189</v>
      </c>
      <c r="G1290" s="71">
        <v>1</v>
      </c>
      <c r="H1290" s="72" t="s">
        <v>4334</v>
      </c>
      <c r="I1290" s="71" t="b">
        <v>0</v>
      </c>
      <c r="J1290" s="71">
        <v>48</v>
      </c>
      <c r="K1290" s="71">
        <v>35</v>
      </c>
      <c r="L1290" s="71">
        <v>68</v>
      </c>
      <c r="M1290" s="71">
        <v>4</v>
      </c>
      <c r="N1290" s="71">
        <v>76</v>
      </c>
      <c r="O1290" s="71">
        <v>0</v>
      </c>
      <c r="P1290" s="71">
        <v>12</v>
      </c>
      <c r="Q1290" s="71">
        <v>24</v>
      </c>
      <c r="R1290" s="71">
        <v>85</v>
      </c>
      <c r="S1290" s="71" t="s">
        <v>195</v>
      </c>
      <c r="T1290" s="73" t="s">
        <v>4337</v>
      </c>
      <c r="U1290" s="71" t="s">
        <v>3860</v>
      </c>
      <c r="V1290" s="71" t="b">
        <v>0</v>
      </c>
    </row>
    <row r="1291" spans="1:22" ht="17.25">
      <c r="A1291" s="70">
        <v>920</v>
      </c>
      <c r="B1291" s="70" t="s">
        <v>1300</v>
      </c>
      <c r="C1291" s="70" t="s">
        <v>4483</v>
      </c>
      <c r="D1291" s="70" t="s">
        <v>1299</v>
      </c>
      <c r="E1291" s="70" t="s">
        <v>180</v>
      </c>
      <c r="F1291" s="71">
        <v>22</v>
      </c>
      <c r="G1291" s="71">
        <v>2</v>
      </c>
      <c r="H1291" s="72" t="s">
        <v>4320</v>
      </c>
      <c r="I1291" s="71" t="b">
        <v>1</v>
      </c>
      <c r="J1291" s="71">
        <v>83</v>
      </c>
      <c r="K1291" s="71">
        <v>66</v>
      </c>
      <c r="L1291" s="71">
        <v>74</v>
      </c>
      <c r="M1291" s="71">
        <v>25</v>
      </c>
      <c r="N1291" s="71">
        <v>15</v>
      </c>
      <c r="O1291" s="71">
        <v>0</v>
      </c>
      <c r="P1291" s="71">
        <v>14</v>
      </c>
      <c r="Q1291" s="71">
        <v>42</v>
      </c>
      <c r="R1291" s="71">
        <v>128</v>
      </c>
      <c r="S1291" s="71" t="s">
        <v>48</v>
      </c>
      <c r="T1291" s="73" t="s">
        <v>4330</v>
      </c>
      <c r="U1291" s="71" t="s">
        <v>3683</v>
      </c>
      <c r="V1291" s="71" t="b">
        <v>0</v>
      </c>
    </row>
    <row r="1292" spans="1:22" ht="17.25">
      <c r="A1292" s="70">
        <v>920</v>
      </c>
      <c r="B1292" s="70" t="s">
        <v>1300</v>
      </c>
      <c r="C1292" s="70" t="s">
        <v>182</v>
      </c>
      <c r="D1292" s="70" t="s">
        <v>1299</v>
      </c>
      <c r="E1292" s="70" t="s">
        <v>180</v>
      </c>
      <c r="F1292" s="71">
        <v>22</v>
      </c>
      <c r="G1292" s="71">
        <v>2</v>
      </c>
      <c r="H1292" s="72" t="s">
        <v>4320</v>
      </c>
      <c r="I1292" s="71" t="b">
        <v>1</v>
      </c>
      <c r="J1292" s="71">
        <v>83</v>
      </c>
      <c r="K1292" s="71">
        <v>66</v>
      </c>
      <c r="L1292" s="71">
        <v>74</v>
      </c>
      <c r="M1292" s="71">
        <v>25</v>
      </c>
      <c r="N1292" s="71">
        <v>15</v>
      </c>
      <c r="O1292" s="71">
        <v>0</v>
      </c>
      <c r="P1292" s="71">
        <v>14</v>
      </c>
      <c r="Q1292" s="71">
        <v>42</v>
      </c>
      <c r="R1292" s="71">
        <v>128</v>
      </c>
      <c r="S1292" s="71" t="s">
        <v>48</v>
      </c>
      <c r="T1292" s="73" t="s">
        <v>4330</v>
      </c>
      <c r="U1292" s="71" t="s">
        <v>3683</v>
      </c>
      <c r="V1292" s="71" t="b">
        <v>0</v>
      </c>
    </row>
    <row r="1293" spans="1:22" ht="17.25">
      <c r="A1293" s="70">
        <v>921</v>
      </c>
      <c r="B1293" s="70" t="s">
        <v>1298</v>
      </c>
      <c r="C1293" s="70" t="s">
        <v>67</v>
      </c>
      <c r="D1293" s="70" t="s">
        <v>1297</v>
      </c>
      <c r="E1293" s="70" t="s">
        <v>65</v>
      </c>
      <c r="F1293" s="71">
        <v>121</v>
      </c>
      <c r="G1293" s="71">
        <v>1</v>
      </c>
      <c r="H1293" s="72">
        <v>0.11666666666666667</v>
      </c>
      <c r="I1293" s="71" t="b">
        <v>1</v>
      </c>
      <c r="J1293" s="71">
        <v>69</v>
      </c>
      <c r="K1293" s="71">
        <v>76</v>
      </c>
      <c r="L1293" s="71">
        <v>94</v>
      </c>
      <c r="M1293" s="71">
        <v>4</v>
      </c>
      <c r="N1293" s="71">
        <v>0</v>
      </c>
      <c r="O1293" s="71">
        <v>0</v>
      </c>
      <c r="P1293" s="71">
        <v>33</v>
      </c>
      <c r="Q1293" s="71">
        <v>23</v>
      </c>
      <c r="R1293" s="71">
        <v>150</v>
      </c>
      <c r="S1293" s="71" t="s">
        <v>48</v>
      </c>
      <c r="T1293" s="73">
        <v>45730</v>
      </c>
      <c r="U1293" s="71" t="s">
        <v>3386</v>
      </c>
      <c r="V1293" s="71" t="b">
        <v>0</v>
      </c>
    </row>
    <row r="1294" spans="1:22" ht="17.25">
      <c r="A1294" s="70">
        <v>922</v>
      </c>
      <c r="B1294" s="70" t="s">
        <v>1296</v>
      </c>
      <c r="C1294" s="70" t="s">
        <v>589</v>
      </c>
      <c r="D1294" s="70" t="s">
        <v>1295</v>
      </c>
      <c r="E1294" s="70" t="s">
        <v>171</v>
      </c>
      <c r="F1294" s="71">
        <v>42</v>
      </c>
      <c r="G1294" s="71">
        <v>19</v>
      </c>
      <c r="H1294" s="72" t="s">
        <v>4315</v>
      </c>
      <c r="I1294" s="71" t="b">
        <v>0</v>
      </c>
      <c r="J1294" s="71">
        <v>80</v>
      </c>
      <c r="K1294" s="71">
        <v>66</v>
      </c>
      <c r="L1294" s="71">
        <v>72</v>
      </c>
      <c r="M1294" s="71">
        <v>6</v>
      </c>
      <c r="N1294" s="71">
        <v>21</v>
      </c>
      <c r="O1294" s="71">
        <v>0</v>
      </c>
      <c r="P1294" s="71">
        <v>11</v>
      </c>
      <c r="Q1294" s="71">
        <v>74</v>
      </c>
      <c r="R1294" s="71">
        <v>105</v>
      </c>
      <c r="S1294" s="71" t="s">
        <v>128</v>
      </c>
      <c r="T1294" s="73" t="s">
        <v>4392</v>
      </c>
      <c r="U1294" s="71" t="s">
        <v>4046</v>
      </c>
      <c r="V1294" s="71" t="b">
        <v>0</v>
      </c>
    </row>
    <row r="1295" spans="1:22" ht="17.25">
      <c r="A1295" s="70">
        <v>922</v>
      </c>
      <c r="B1295" s="70" t="s">
        <v>1296</v>
      </c>
      <c r="C1295" s="70" t="s">
        <v>4685</v>
      </c>
      <c r="D1295" s="70" t="s">
        <v>1295</v>
      </c>
      <c r="E1295" s="70" t="s">
        <v>171</v>
      </c>
      <c r="F1295" s="71">
        <v>42</v>
      </c>
      <c r="G1295" s="71">
        <v>19</v>
      </c>
      <c r="H1295" s="72" t="s">
        <v>4315</v>
      </c>
      <c r="I1295" s="71" t="b">
        <v>0</v>
      </c>
      <c r="J1295" s="71">
        <v>80</v>
      </c>
      <c r="K1295" s="71">
        <v>66</v>
      </c>
      <c r="L1295" s="71">
        <v>72</v>
      </c>
      <c r="M1295" s="71">
        <v>6</v>
      </c>
      <c r="N1295" s="71">
        <v>21</v>
      </c>
      <c r="O1295" s="71">
        <v>0</v>
      </c>
      <c r="P1295" s="71">
        <v>11</v>
      </c>
      <c r="Q1295" s="71">
        <v>74</v>
      </c>
      <c r="R1295" s="71">
        <v>105</v>
      </c>
      <c r="S1295" s="71" t="s">
        <v>128</v>
      </c>
      <c r="T1295" s="73" t="s">
        <v>4392</v>
      </c>
      <c r="U1295" s="71" t="s">
        <v>4046</v>
      </c>
      <c r="V1295" s="71" t="b">
        <v>0</v>
      </c>
    </row>
    <row r="1296" spans="1:22" ht="17.25">
      <c r="A1296" s="70">
        <v>924</v>
      </c>
      <c r="B1296" s="70" t="s">
        <v>1294</v>
      </c>
      <c r="C1296" s="70" t="s">
        <v>430</v>
      </c>
      <c r="D1296" s="70" t="s">
        <v>1293</v>
      </c>
      <c r="E1296" s="70" t="s">
        <v>75</v>
      </c>
      <c r="F1296" s="71">
        <v>42</v>
      </c>
      <c r="G1296" s="71">
        <v>1</v>
      </c>
      <c r="H1296" s="72" t="s">
        <v>4317</v>
      </c>
      <c r="I1296" s="71" t="b">
        <v>0</v>
      </c>
      <c r="J1296" s="71">
        <v>82</v>
      </c>
      <c r="K1296" s="71">
        <v>68</v>
      </c>
      <c r="L1296" s="71">
        <v>76</v>
      </c>
      <c r="M1296" s="71">
        <v>11</v>
      </c>
      <c r="N1296" s="71">
        <v>18</v>
      </c>
      <c r="O1296" s="71">
        <v>0</v>
      </c>
      <c r="P1296" s="71">
        <v>10</v>
      </c>
      <c r="Q1296" s="71">
        <v>71</v>
      </c>
      <c r="R1296" s="71">
        <v>126</v>
      </c>
      <c r="S1296" s="71" t="s">
        <v>96</v>
      </c>
      <c r="T1296" s="73" t="s">
        <v>4319</v>
      </c>
      <c r="U1296" s="71" t="s">
        <v>3451</v>
      </c>
      <c r="V1296" s="71" t="b">
        <v>0</v>
      </c>
    </row>
    <row r="1297" spans="1:22" ht="17.25">
      <c r="A1297" s="70">
        <v>925</v>
      </c>
      <c r="B1297" s="70" t="s">
        <v>1292</v>
      </c>
      <c r="C1297" s="70" t="s">
        <v>1290</v>
      </c>
      <c r="D1297" s="70" t="s">
        <v>1291</v>
      </c>
      <c r="E1297" s="70" t="s">
        <v>1290</v>
      </c>
      <c r="F1297" s="71">
        <v>91</v>
      </c>
      <c r="G1297" s="71">
        <v>2</v>
      </c>
      <c r="H1297" s="72">
        <v>0.11666666666666667</v>
      </c>
      <c r="I1297" s="71" t="b">
        <v>0</v>
      </c>
      <c r="J1297" s="71">
        <v>72</v>
      </c>
      <c r="K1297" s="71">
        <v>72</v>
      </c>
      <c r="L1297" s="71">
        <v>79</v>
      </c>
      <c r="M1297" s="71">
        <v>8</v>
      </c>
      <c r="N1297" s="71">
        <v>18</v>
      </c>
      <c r="O1297" s="71">
        <v>0</v>
      </c>
      <c r="P1297" s="71">
        <v>11</v>
      </c>
      <c r="Q1297" s="71">
        <v>58</v>
      </c>
      <c r="R1297" s="71">
        <v>105</v>
      </c>
      <c r="S1297" s="71" t="s">
        <v>96</v>
      </c>
      <c r="T1297" s="73">
        <v>45793</v>
      </c>
      <c r="U1297" s="71" t="s">
        <v>4047</v>
      </c>
      <c r="V1297" s="71" t="b">
        <v>0</v>
      </c>
    </row>
    <row r="1298" spans="1:22" ht="17.25">
      <c r="A1298" s="70">
        <v>926</v>
      </c>
      <c r="B1298" s="70" t="s">
        <v>1289</v>
      </c>
      <c r="C1298" s="70" t="s">
        <v>54</v>
      </c>
      <c r="D1298" s="70" t="s">
        <v>1288</v>
      </c>
      <c r="E1298" s="70" t="s">
        <v>52</v>
      </c>
      <c r="F1298" s="71">
        <v>15</v>
      </c>
      <c r="G1298" s="71">
        <v>79</v>
      </c>
      <c r="H1298" s="72">
        <v>0.16180555555555556</v>
      </c>
      <c r="I1298" s="71" t="b">
        <v>0</v>
      </c>
      <c r="J1298" s="71">
        <v>61</v>
      </c>
      <c r="K1298" s="71">
        <v>38</v>
      </c>
      <c r="L1298" s="71">
        <v>84</v>
      </c>
      <c r="M1298" s="71">
        <v>44</v>
      </c>
      <c r="N1298" s="71">
        <v>84</v>
      </c>
      <c r="O1298" s="71">
        <v>0</v>
      </c>
      <c r="P1298" s="71">
        <v>28</v>
      </c>
      <c r="Q1298" s="71">
        <v>52</v>
      </c>
      <c r="R1298" s="71">
        <v>100</v>
      </c>
      <c r="S1298" s="71" t="s">
        <v>96</v>
      </c>
      <c r="T1298" s="73">
        <v>42317</v>
      </c>
      <c r="U1298" s="71" t="s">
        <v>3408</v>
      </c>
      <c r="V1298" s="71" t="b">
        <v>0</v>
      </c>
    </row>
    <row r="1299" spans="1:22" ht="17.25">
      <c r="A1299" s="70">
        <v>927</v>
      </c>
      <c r="B1299" s="70" t="s">
        <v>1287</v>
      </c>
      <c r="C1299" s="70" t="s">
        <v>1286</v>
      </c>
      <c r="D1299" s="70" t="s">
        <v>1285</v>
      </c>
      <c r="E1299" s="70" t="s">
        <v>124</v>
      </c>
      <c r="F1299" s="71">
        <v>10</v>
      </c>
      <c r="G1299" s="71">
        <v>26</v>
      </c>
      <c r="H1299" s="72">
        <v>0.13750000000000001</v>
      </c>
      <c r="I1299" s="71" t="b">
        <v>0</v>
      </c>
      <c r="J1299" s="71">
        <v>49</v>
      </c>
      <c r="K1299" s="71">
        <v>71</v>
      </c>
      <c r="L1299" s="71">
        <v>93</v>
      </c>
      <c r="M1299" s="71">
        <v>3</v>
      </c>
      <c r="N1299" s="71">
        <v>0</v>
      </c>
      <c r="O1299" s="71">
        <v>0</v>
      </c>
      <c r="P1299" s="71">
        <v>15</v>
      </c>
      <c r="Q1299" s="71">
        <v>32</v>
      </c>
      <c r="R1299" s="71">
        <v>147</v>
      </c>
      <c r="S1299" s="71" t="s">
        <v>96</v>
      </c>
      <c r="T1299" s="73">
        <v>45611</v>
      </c>
      <c r="U1299" s="71" t="s">
        <v>4048</v>
      </c>
      <c r="V1299" s="71" t="b">
        <v>0</v>
      </c>
    </row>
    <row r="1300" spans="1:22" ht="17.25">
      <c r="A1300" s="70">
        <v>928</v>
      </c>
      <c r="B1300" s="70" t="s">
        <v>1284</v>
      </c>
      <c r="C1300" s="70" t="s">
        <v>182</v>
      </c>
      <c r="D1300" s="70" t="s">
        <v>1283</v>
      </c>
      <c r="E1300" s="70" t="s">
        <v>180</v>
      </c>
      <c r="F1300" s="71">
        <v>3</v>
      </c>
      <c r="G1300" s="71">
        <v>20</v>
      </c>
      <c r="H1300" s="72" t="s">
        <v>4320</v>
      </c>
      <c r="I1300" s="71" t="b">
        <v>1</v>
      </c>
      <c r="J1300" s="71">
        <v>74</v>
      </c>
      <c r="K1300" s="71">
        <v>51</v>
      </c>
      <c r="L1300" s="71">
        <v>70</v>
      </c>
      <c r="M1300" s="71">
        <v>45</v>
      </c>
      <c r="N1300" s="71">
        <v>50</v>
      </c>
      <c r="O1300" s="71">
        <v>0</v>
      </c>
      <c r="P1300" s="71">
        <v>12</v>
      </c>
      <c r="Q1300" s="71">
        <v>28</v>
      </c>
      <c r="R1300" s="71">
        <v>95</v>
      </c>
      <c r="S1300" s="71" t="s">
        <v>48</v>
      </c>
      <c r="T1300" s="73" t="s">
        <v>4330</v>
      </c>
      <c r="U1300" s="71" t="s">
        <v>3683</v>
      </c>
      <c r="V1300" s="71" t="b">
        <v>0</v>
      </c>
    </row>
    <row r="1301" spans="1:22" ht="17.25">
      <c r="A1301" s="70">
        <v>930</v>
      </c>
      <c r="B1301" s="70" t="s">
        <v>1279</v>
      </c>
      <c r="C1301" s="70" t="s">
        <v>430</v>
      </c>
      <c r="D1301" s="70" t="s">
        <v>1278</v>
      </c>
      <c r="E1301" s="70" t="s">
        <v>75</v>
      </c>
      <c r="F1301" s="71">
        <v>1</v>
      </c>
      <c r="G1301" s="71">
        <v>131</v>
      </c>
      <c r="H1301" s="72">
        <v>0.15833333333333333</v>
      </c>
      <c r="I1301" s="71" t="b">
        <v>0</v>
      </c>
      <c r="J1301" s="71">
        <v>64</v>
      </c>
      <c r="K1301" s="71">
        <v>65</v>
      </c>
      <c r="L1301" s="71">
        <v>86</v>
      </c>
      <c r="M1301" s="71">
        <v>4</v>
      </c>
      <c r="N1301" s="71">
        <v>6</v>
      </c>
      <c r="O1301" s="71">
        <v>0</v>
      </c>
      <c r="P1301" s="71">
        <v>7</v>
      </c>
      <c r="Q1301" s="71">
        <v>30</v>
      </c>
      <c r="R1301" s="71">
        <v>116</v>
      </c>
      <c r="S1301" s="71" t="s">
        <v>96</v>
      </c>
      <c r="T1301" s="73">
        <v>45359</v>
      </c>
      <c r="U1301" s="71" t="s">
        <v>3554</v>
      </c>
      <c r="V1301" s="71" t="b">
        <v>0</v>
      </c>
    </row>
    <row r="1302" spans="1:22" ht="17.25">
      <c r="A1302" s="70">
        <v>931</v>
      </c>
      <c r="B1302" s="70" t="s">
        <v>1277</v>
      </c>
      <c r="C1302" s="70" t="s">
        <v>1276</v>
      </c>
      <c r="D1302" s="70" t="s">
        <v>1275</v>
      </c>
      <c r="E1302" s="70" t="s">
        <v>1274</v>
      </c>
      <c r="F1302" s="71">
        <v>27</v>
      </c>
      <c r="G1302" s="71">
        <v>54</v>
      </c>
      <c r="H1302" s="72">
        <v>0.11666666666666667</v>
      </c>
      <c r="I1302" s="71" t="b">
        <v>0</v>
      </c>
      <c r="J1302" s="71">
        <v>43</v>
      </c>
      <c r="K1302" s="71">
        <v>58</v>
      </c>
      <c r="L1302" s="71">
        <v>92</v>
      </c>
      <c r="M1302" s="71">
        <v>7</v>
      </c>
      <c r="N1302" s="71">
        <v>17</v>
      </c>
      <c r="O1302" s="71">
        <v>0</v>
      </c>
      <c r="P1302" s="71">
        <v>9</v>
      </c>
      <c r="Q1302" s="71">
        <v>54</v>
      </c>
      <c r="R1302" s="71">
        <v>181</v>
      </c>
      <c r="S1302" s="71" t="s">
        <v>96</v>
      </c>
      <c r="T1302" s="73">
        <v>45309</v>
      </c>
      <c r="U1302" s="71" t="s">
        <v>4049</v>
      </c>
      <c r="V1302" s="71" t="b">
        <v>0</v>
      </c>
    </row>
    <row r="1303" spans="1:22" ht="17.25">
      <c r="A1303" s="70">
        <v>932</v>
      </c>
      <c r="B1303" s="70" t="s">
        <v>1273</v>
      </c>
      <c r="C1303" s="70" t="s">
        <v>193</v>
      </c>
      <c r="D1303" s="70" t="s">
        <v>1272</v>
      </c>
      <c r="E1303" s="70" t="s">
        <v>191</v>
      </c>
      <c r="F1303" s="71">
        <v>16</v>
      </c>
      <c r="G1303" s="71">
        <v>56</v>
      </c>
      <c r="H1303" s="72">
        <v>0.14444444444444443</v>
      </c>
      <c r="I1303" s="71" t="b">
        <v>1</v>
      </c>
      <c r="J1303" s="71">
        <v>53</v>
      </c>
      <c r="K1303" s="71">
        <v>41</v>
      </c>
      <c r="L1303" s="71">
        <v>87</v>
      </c>
      <c r="M1303" s="71">
        <v>3</v>
      </c>
      <c r="N1303" s="71">
        <v>66</v>
      </c>
      <c r="O1303" s="71">
        <v>0</v>
      </c>
      <c r="P1303" s="71">
        <v>13</v>
      </c>
      <c r="Q1303" s="71">
        <v>34</v>
      </c>
      <c r="R1303" s="71">
        <v>116</v>
      </c>
      <c r="S1303" s="71" t="s">
        <v>74</v>
      </c>
      <c r="T1303" s="73">
        <v>45464</v>
      </c>
      <c r="U1303" s="71" t="s">
        <v>4050</v>
      </c>
      <c r="V1303" s="71" t="b">
        <v>0</v>
      </c>
    </row>
    <row r="1304" spans="1:22" ht="17.25">
      <c r="A1304" s="70">
        <v>933</v>
      </c>
      <c r="B1304" s="70" t="s">
        <v>1271</v>
      </c>
      <c r="C1304" s="70" t="s">
        <v>97</v>
      </c>
      <c r="D1304" s="70" t="s">
        <v>1270</v>
      </c>
      <c r="E1304" s="70" t="s">
        <v>97</v>
      </c>
      <c r="F1304" s="71">
        <v>1</v>
      </c>
      <c r="G1304" s="71">
        <v>52</v>
      </c>
      <c r="H1304" s="72" t="s">
        <v>4346</v>
      </c>
      <c r="I1304" s="71" t="b">
        <v>0</v>
      </c>
      <c r="J1304" s="71">
        <v>52</v>
      </c>
      <c r="K1304" s="71">
        <v>36</v>
      </c>
      <c r="L1304" s="71">
        <v>68</v>
      </c>
      <c r="M1304" s="71">
        <v>4</v>
      </c>
      <c r="N1304" s="71">
        <v>78</v>
      </c>
      <c r="O1304" s="71">
        <v>0</v>
      </c>
      <c r="P1304" s="71">
        <v>15</v>
      </c>
      <c r="Q1304" s="71">
        <v>24</v>
      </c>
      <c r="R1304" s="71">
        <v>144</v>
      </c>
      <c r="S1304" s="71" t="s">
        <v>96</v>
      </c>
      <c r="T1304" s="73" t="s">
        <v>4364</v>
      </c>
      <c r="U1304" s="71" t="s">
        <v>3397</v>
      </c>
      <c r="V1304" s="71" t="b">
        <v>0</v>
      </c>
    </row>
    <row r="1305" spans="1:22" ht="17.25">
      <c r="A1305" s="70">
        <v>935</v>
      </c>
      <c r="B1305" s="70" t="s">
        <v>1268</v>
      </c>
      <c r="C1305" s="70" t="s">
        <v>383</v>
      </c>
      <c r="D1305" s="70" t="s">
        <v>1267</v>
      </c>
      <c r="E1305" s="70" t="s">
        <v>381</v>
      </c>
      <c r="F1305" s="71">
        <v>23</v>
      </c>
      <c r="G1305" s="71">
        <v>20</v>
      </c>
      <c r="H1305" s="72">
        <v>0.11666666666666667</v>
      </c>
      <c r="I1305" s="71" t="b">
        <v>1</v>
      </c>
      <c r="J1305" s="71">
        <v>45</v>
      </c>
      <c r="K1305" s="71">
        <v>74</v>
      </c>
      <c r="L1305" s="71">
        <v>90</v>
      </c>
      <c r="M1305" s="71">
        <v>27</v>
      </c>
      <c r="N1305" s="71">
        <v>35</v>
      </c>
      <c r="O1305" s="71">
        <v>0</v>
      </c>
      <c r="P1305" s="71">
        <v>10</v>
      </c>
      <c r="Q1305" s="71">
        <v>18</v>
      </c>
      <c r="R1305" s="71">
        <v>148</v>
      </c>
      <c r="S1305" s="71" t="s">
        <v>96</v>
      </c>
      <c r="T1305" s="73">
        <v>45709</v>
      </c>
      <c r="U1305" s="71" t="s">
        <v>3411</v>
      </c>
      <c r="V1305" s="71" t="b">
        <v>0</v>
      </c>
    </row>
    <row r="1306" spans="1:22" ht="17.25">
      <c r="A1306" s="70">
        <v>936</v>
      </c>
      <c r="B1306" s="70" t="s">
        <v>1266</v>
      </c>
      <c r="C1306" s="70" t="s">
        <v>1003</v>
      </c>
      <c r="D1306" s="70" t="s">
        <v>1265</v>
      </c>
      <c r="E1306" s="70" t="s">
        <v>1001</v>
      </c>
      <c r="F1306" s="71">
        <v>39</v>
      </c>
      <c r="G1306" s="71">
        <v>99</v>
      </c>
      <c r="H1306" s="72">
        <v>0.15069444444444444</v>
      </c>
      <c r="I1306" s="71" t="b">
        <v>0</v>
      </c>
      <c r="J1306" s="71">
        <v>73</v>
      </c>
      <c r="K1306" s="71">
        <v>56</v>
      </c>
      <c r="L1306" s="71">
        <v>87</v>
      </c>
      <c r="M1306" s="71">
        <v>13</v>
      </c>
      <c r="N1306" s="71">
        <v>62</v>
      </c>
      <c r="O1306" s="71">
        <v>0</v>
      </c>
      <c r="P1306" s="71">
        <v>18</v>
      </c>
      <c r="Q1306" s="71">
        <v>35</v>
      </c>
      <c r="R1306" s="71">
        <v>100</v>
      </c>
      <c r="S1306" s="71" t="s">
        <v>96</v>
      </c>
      <c r="T1306" s="73">
        <v>42514</v>
      </c>
      <c r="U1306" s="71" t="s">
        <v>4051</v>
      </c>
      <c r="V1306" s="71" t="b">
        <v>0</v>
      </c>
    </row>
    <row r="1307" spans="1:22" ht="17.25">
      <c r="A1307" s="70">
        <v>936</v>
      </c>
      <c r="B1307" s="70" t="s">
        <v>1266</v>
      </c>
      <c r="C1307" s="70" t="s">
        <v>4438</v>
      </c>
      <c r="D1307" s="70" t="s">
        <v>1265</v>
      </c>
      <c r="E1307" s="70" t="s">
        <v>1001</v>
      </c>
      <c r="F1307" s="71">
        <v>39</v>
      </c>
      <c r="G1307" s="71">
        <v>99</v>
      </c>
      <c r="H1307" s="72">
        <v>0.15069444444444444</v>
      </c>
      <c r="I1307" s="71" t="b">
        <v>0</v>
      </c>
      <c r="J1307" s="71">
        <v>73</v>
      </c>
      <c r="K1307" s="71">
        <v>56</v>
      </c>
      <c r="L1307" s="71">
        <v>87</v>
      </c>
      <c r="M1307" s="71">
        <v>13</v>
      </c>
      <c r="N1307" s="71">
        <v>62</v>
      </c>
      <c r="O1307" s="71">
        <v>0</v>
      </c>
      <c r="P1307" s="71">
        <v>18</v>
      </c>
      <c r="Q1307" s="71">
        <v>35</v>
      </c>
      <c r="R1307" s="71">
        <v>100</v>
      </c>
      <c r="S1307" s="71" t="s">
        <v>96</v>
      </c>
      <c r="T1307" s="73">
        <v>42514</v>
      </c>
      <c r="U1307" s="71" t="s">
        <v>4051</v>
      </c>
      <c r="V1307" s="71" t="b">
        <v>0</v>
      </c>
    </row>
    <row r="1308" spans="1:22" ht="17.25">
      <c r="A1308" s="70">
        <v>937</v>
      </c>
      <c r="B1308" s="70" t="s">
        <v>1264</v>
      </c>
      <c r="C1308" s="70" t="s">
        <v>1263</v>
      </c>
      <c r="D1308" s="70" t="s">
        <v>1262</v>
      </c>
      <c r="E1308" s="70" t="s">
        <v>381</v>
      </c>
      <c r="F1308" s="71">
        <v>38</v>
      </c>
      <c r="G1308" s="71">
        <v>19</v>
      </c>
      <c r="H1308" s="72">
        <v>0.18611111111111112</v>
      </c>
      <c r="I1308" s="71" t="b">
        <v>0</v>
      </c>
      <c r="J1308" s="71">
        <v>45</v>
      </c>
      <c r="K1308" s="71">
        <v>50</v>
      </c>
      <c r="L1308" s="71">
        <v>73</v>
      </c>
      <c r="M1308" s="71">
        <v>3</v>
      </c>
      <c r="N1308" s="71">
        <v>60</v>
      </c>
      <c r="O1308" s="71">
        <v>0</v>
      </c>
      <c r="P1308" s="71">
        <v>15</v>
      </c>
      <c r="Q1308" s="71">
        <v>65</v>
      </c>
      <c r="R1308" s="71">
        <v>80</v>
      </c>
      <c r="S1308" s="71" t="s">
        <v>29</v>
      </c>
      <c r="T1308" s="73">
        <v>42664</v>
      </c>
      <c r="U1308" s="71" t="s">
        <v>4052</v>
      </c>
      <c r="V1308" s="71" t="b">
        <v>1</v>
      </c>
    </row>
    <row r="1309" spans="1:22" ht="17.25">
      <c r="A1309" s="70">
        <v>938</v>
      </c>
      <c r="B1309" s="70" t="s">
        <v>1261</v>
      </c>
      <c r="C1309" s="70" t="s">
        <v>1260</v>
      </c>
      <c r="D1309" s="70" t="s">
        <v>1259</v>
      </c>
      <c r="E1309" s="70" t="s">
        <v>349</v>
      </c>
      <c r="F1309" s="71">
        <v>128</v>
      </c>
      <c r="G1309" s="71">
        <v>1</v>
      </c>
      <c r="H1309" s="72" t="s">
        <v>4320</v>
      </c>
      <c r="I1309" s="71" t="b">
        <v>1</v>
      </c>
      <c r="J1309" s="71">
        <v>71</v>
      </c>
      <c r="K1309" s="71">
        <v>53</v>
      </c>
      <c r="L1309" s="71">
        <v>70</v>
      </c>
      <c r="M1309" s="71">
        <v>7</v>
      </c>
      <c r="N1309" s="71">
        <v>40</v>
      </c>
      <c r="O1309" s="71">
        <v>0</v>
      </c>
      <c r="P1309" s="71">
        <v>12</v>
      </c>
      <c r="Q1309" s="71">
        <v>45</v>
      </c>
      <c r="R1309" s="71">
        <v>105</v>
      </c>
      <c r="S1309" s="71" t="s">
        <v>26</v>
      </c>
      <c r="T1309" s="73" t="s">
        <v>4385</v>
      </c>
      <c r="U1309" s="71" t="s">
        <v>4053</v>
      </c>
      <c r="V1309" s="71" t="b">
        <v>0</v>
      </c>
    </row>
    <row r="1310" spans="1:22" ht="17.25">
      <c r="A1310" s="70">
        <v>939</v>
      </c>
      <c r="B1310" s="70" t="s">
        <v>1258</v>
      </c>
      <c r="C1310" s="70" t="s">
        <v>1257</v>
      </c>
      <c r="D1310" s="70" t="s">
        <v>1256</v>
      </c>
      <c r="E1310" s="70" t="s">
        <v>1224</v>
      </c>
      <c r="F1310" s="71">
        <v>32</v>
      </c>
      <c r="G1310" s="71">
        <v>16</v>
      </c>
      <c r="H1310" s="72" t="s">
        <v>4315</v>
      </c>
      <c r="I1310" s="71" t="b">
        <v>1</v>
      </c>
      <c r="J1310" s="71">
        <v>71</v>
      </c>
      <c r="K1310" s="71">
        <v>62</v>
      </c>
      <c r="L1310" s="71">
        <v>72</v>
      </c>
      <c r="M1310" s="71">
        <v>6</v>
      </c>
      <c r="N1310" s="71">
        <v>29</v>
      </c>
      <c r="O1310" s="71">
        <v>0</v>
      </c>
      <c r="P1310" s="71">
        <v>12</v>
      </c>
      <c r="Q1310" s="71">
        <v>54</v>
      </c>
      <c r="R1310" s="71">
        <v>124</v>
      </c>
      <c r="S1310" s="71" t="s">
        <v>1223</v>
      </c>
      <c r="T1310" s="73" t="s">
        <v>4354</v>
      </c>
      <c r="U1310" s="71" t="s">
        <v>4054</v>
      </c>
      <c r="V1310" s="71" t="b">
        <v>0</v>
      </c>
    </row>
    <row r="1311" spans="1:22" ht="17.25">
      <c r="A1311" s="70">
        <v>940</v>
      </c>
      <c r="B1311" s="70" t="s">
        <v>1255</v>
      </c>
      <c r="C1311" s="70" t="s">
        <v>241</v>
      </c>
      <c r="D1311" s="70" t="s">
        <v>240</v>
      </c>
      <c r="E1311" s="70" t="s">
        <v>239</v>
      </c>
      <c r="F1311" s="71">
        <v>6</v>
      </c>
      <c r="G1311" s="71">
        <v>27</v>
      </c>
      <c r="H1311" s="72" t="s">
        <v>4315</v>
      </c>
      <c r="I1311" s="71" t="b">
        <v>0</v>
      </c>
      <c r="J1311" s="71">
        <v>71</v>
      </c>
      <c r="K1311" s="71">
        <v>64</v>
      </c>
      <c r="L1311" s="71">
        <v>73</v>
      </c>
      <c r="M1311" s="71">
        <v>12</v>
      </c>
      <c r="N1311" s="71">
        <v>29</v>
      </c>
      <c r="O1311" s="71">
        <v>0</v>
      </c>
      <c r="P1311" s="71">
        <v>18</v>
      </c>
      <c r="Q1311" s="71">
        <v>55</v>
      </c>
      <c r="R1311" s="71">
        <v>130</v>
      </c>
      <c r="S1311" s="71" t="s">
        <v>96</v>
      </c>
      <c r="T1311" s="73" t="s">
        <v>4367</v>
      </c>
      <c r="U1311" s="71" t="s">
        <v>4055</v>
      </c>
      <c r="V1311" s="71" t="b">
        <v>0</v>
      </c>
    </row>
    <row r="1312" spans="1:22" ht="17.25">
      <c r="A1312" s="70">
        <v>942</v>
      </c>
      <c r="B1312" s="70" t="s">
        <v>1253</v>
      </c>
      <c r="C1312" s="70" t="s">
        <v>430</v>
      </c>
      <c r="D1312" s="70" t="s">
        <v>1252</v>
      </c>
      <c r="E1312" s="70" t="s">
        <v>75</v>
      </c>
      <c r="F1312" s="71">
        <v>36</v>
      </c>
      <c r="G1312" s="71">
        <v>2</v>
      </c>
      <c r="H1312" s="72" t="s">
        <v>4315</v>
      </c>
      <c r="I1312" s="71" t="b">
        <v>0</v>
      </c>
      <c r="J1312" s="71">
        <v>69</v>
      </c>
      <c r="K1312" s="71">
        <v>50</v>
      </c>
      <c r="L1312" s="71">
        <v>73</v>
      </c>
      <c r="M1312" s="71">
        <v>5</v>
      </c>
      <c r="N1312" s="71">
        <v>41</v>
      </c>
      <c r="O1312" s="71">
        <v>0</v>
      </c>
      <c r="P1312" s="71">
        <v>13</v>
      </c>
      <c r="Q1312" s="71">
        <v>48</v>
      </c>
      <c r="R1312" s="71">
        <v>115</v>
      </c>
      <c r="S1312" s="71" t="s">
        <v>96</v>
      </c>
      <c r="T1312" s="73" t="s">
        <v>4319</v>
      </c>
      <c r="U1312" s="71" t="s">
        <v>3515</v>
      </c>
      <c r="V1312" s="71" t="b">
        <v>0</v>
      </c>
    </row>
    <row r="1313" spans="1:22" ht="17.25">
      <c r="A1313" s="70">
        <v>943</v>
      </c>
      <c r="B1313" s="70" t="s">
        <v>1251</v>
      </c>
      <c r="C1313" s="70" t="s">
        <v>182</v>
      </c>
      <c r="D1313" s="70" t="s">
        <v>1250</v>
      </c>
      <c r="E1313" s="70" t="s">
        <v>180</v>
      </c>
      <c r="F1313" s="71">
        <v>10</v>
      </c>
      <c r="G1313" s="71">
        <v>2</v>
      </c>
      <c r="H1313" s="72" t="s">
        <v>4320</v>
      </c>
      <c r="I1313" s="71" t="b">
        <v>1</v>
      </c>
      <c r="J1313" s="71">
        <v>67</v>
      </c>
      <c r="K1313" s="71">
        <v>49</v>
      </c>
      <c r="L1313" s="71">
        <v>71</v>
      </c>
      <c r="M1313" s="71">
        <v>35</v>
      </c>
      <c r="N1313" s="71">
        <v>59</v>
      </c>
      <c r="O1313" s="71">
        <v>0</v>
      </c>
      <c r="P1313" s="71">
        <v>15</v>
      </c>
      <c r="Q1313" s="71">
        <v>25</v>
      </c>
      <c r="R1313" s="71">
        <v>118</v>
      </c>
      <c r="S1313" s="71" t="s">
        <v>48</v>
      </c>
      <c r="T1313" s="73" t="s">
        <v>4330</v>
      </c>
      <c r="U1313" s="71" t="s">
        <v>3683</v>
      </c>
      <c r="V1313" s="71" t="b">
        <v>0</v>
      </c>
    </row>
    <row r="1314" spans="1:22" ht="17.25">
      <c r="A1314" s="70">
        <v>944</v>
      </c>
      <c r="B1314" s="70" t="s">
        <v>1249</v>
      </c>
      <c r="C1314" s="70" t="s">
        <v>209</v>
      </c>
      <c r="D1314" s="70" t="s">
        <v>1248</v>
      </c>
      <c r="E1314" s="70" t="s">
        <v>207</v>
      </c>
      <c r="F1314" s="71">
        <v>24</v>
      </c>
      <c r="G1314" s="71">
        <v>103</v>
      </c>
      <c r="H1314" s="72">
        <v>0.17430555555555555</v>
      </c>
      <c r="I1314" s="71" t="b">
        <v>1</v>
      </c>
      <c r="J1314" s="71">
        <v>64</v>
      </c>
      <c r="K1314" s="71">
        <v>68</v>
      </c>
      <c r="L1314" s="71">
        <v>94</v>
      </c>
      <c r="M1314" s="71">
        <v>27</v>
      </c>
      <c r="N1314" s="71">
        <v>21</v>
      </c>
      <c r="O1314" s="71">
        <v>0</v>
      </c>
      <c r="P1314" s="71">
        <v>16</v>
      </c>
      <c r="Q1314" s="71">
        <v>25</v>
      </c>
      <c r="R1314" s="71">
        <v>84</v>
      </c>
      <c r="S1314" s="71" t="s">
        <v>48</v>
      </c>
      <c r="T1314" s="73">
        <v>38303</v>
      </c>
      <c r="U1314" s="71" t="s">
        <v>4056</v>
      </c>
      <c r="V1314" s="71" t="b">
        <v>0</v>
      </c>
    </row>
    <row r="1315" spans="1:22" ht="17.25">
      <c r="A1315" s="70">
        <v>945</v>
      </c>
      <c r="B1315" s="70" t="s">
        <v>1247</v>
      </c>
      <c r="C1315" s="70" t="s">
        <v>1613</v>
      </c>
      <c r="D1315" s="70" t="s">
        <v>1246</v>
      </c>
      <c r="E1315" s="70" t="s">
        <v>327</v>
      </c>
      <c r="F1315" s="71">
        <v>185</v>
      </c>
      <c r="G1315" s="71">
        <v>1</v>
      </c>
      <c r="H1315" s="72" t="s">
        <v>4320</v>
      </c>
      <c r="I1315" s="71" t="b">
        <v>1</v>
      </c>
      <c r="J1315" s="71">
        <v>70</v>
      </c>
      <c r="K1315" s="71">
        <v>58</v>
      </c>
      <c r="L1315" s="71">
        <v>71</v>
      </c>
      <c r="M1315" s="71">
        <v>15</v>
      </c>
      <c r="N1315" s="71">
        <v>29</v>
      </c>
      <c r="O1315" s="71">
        <v>0</v>
      </c>
      <c r="P1315" s="71">
        <v>15</v>
      </c>
      <c r="Q1315" s="71">
        <v>42</v>
      </c>
      <c r="R1315" s="71">
        <v>98</v>
      </c>
      <c r="S1315" s="71" t="s">
        <v>48</v>
      </c>
      <c r="T1315" s="73" t="s">
        <v>4337</v>
      </c>
      <c r="U1315" s="71" t="s">
        <v>3760</v>
      </c>
      <c r="V1315" s="71" t="b">
        <v>0</v>
      </c>
    </row>
    <row r="1316" spans="1:22" ht="17.25">
      <c r="A1316" s="70">
        <v>945</v>
      </c>
      <c r="B1316" s="70" t="s">
        <v>1247</v>
      </c>
      <c r="C1316" s="70" t="s">
        <v>4678</v>
      </c>
      <c r="D1316" s="70" t="s">
        <v>1246</v>
      </c>
      <c r="E1316" s="70" t="s">
        <v>327</v>
      </c>
      <c r="F1316" s="71">
        <v>185</v>
      </c>
      <c r="G1316" s="71">
        <v>1</v>
      </c>
      <c r="H1316" s="72" t="s">
        <v>4320</v>
      </c>
      <c r="I1316" s="71" t="b">
        <v>1</v>
      </c>
      <c r="J1316" s="71">
        <v>70</v>
      </c>
      <c r="K1316" s="71">
        <v>58</v>
      </c>
      <c r="L1316" s="71">
        <v>71</v>
      </c>
      <c r="M1316" s="71">
        <v>15</v>
      </c>
      <c r="N1316" s="71">
        <v>29</v>
      </c>
      <c r="O1316" s="71">
        <v>0</v>
      </c>
      <c r="P1316" s="71">
        <v>15</v>
      </c>
      <c r="Q1316" s="71">
        <v>42</v>
      </c>
      <c r="R1316" s="71">
        <v>98</v>
      </c>
      <c r="S1316" s="71" t="s">
        <v>48</v>
      </c>
      <c r="T1316" s="73" t="s">
        <v>4337</v>
      </c>
      <c r="U1316" s="71" t="s">
        <v>3760</v>
      </c>
      <c r="V1316" s="71" t="b">
        <v>0</v>
      </c>
    </row>
    <row r="1317" spans="1:22" ht="17.25">
      <c r="A1317" s="70">
        <v>946</v>
      </c>
      <c r="B1317" s="70" t="s">
        <v>1245</v>
      </c>
      <c r="C1317" s="70" t="s">
        <v>54</v>
      </c>
      <c r="D1317" s="70" t="s">
        <v>1244</v>
      </c>
      <c r="E1317" s="70" t="s">
        <v>44</v>
      </c>
      <c r="F1317" s="71">
        <v>1</v>
      </c>
      <c r="G1317" s="71">
        <v>191</v>
      </c>
      <c r="H1317" s="72">
        <v>9.7916666666666666E-2</v>
      </c>
      <c r="I1317" s="71" t="b">
        <v>1</v>
      </c>
      <c r="J1317" s="71">
        <v>59</v>
      </c>
      <c r="K1317" s="71">
        <v>76</v>
      </c>
      <c r="L1317" s="71">
        <v>91</v>
      </c>
      <c r="M1317" s="71">
        <v>5</v>
      </c>
      <c r="N1317" s="71">
        <v>4</v>
      </c>
      <c r="O1317" s="71">
        <v>0</v>
      </c>
      <c r="P1317" s="71">
        <v>10</v>
      </c>
      <c r="Q1317" s="71">
        <v>48</v>
      </c>
      <c r="R1317" s="71">
        <v>170</v>
      </c>
      <c r="S1317" s="71" t="s">
        <v>96</v>
      </c>
      <c r="T1317" s="73">
        <v>44386</v>
      </c>
      <c r="U1317" s="71" t="s">
        <v>4057</v>
      </c>
      <c r="V1317" s="71" t="b">
        <v>0</v>
      </c>
    </row>
    <row r="1318" spans="1:22" ht="17.25">
      <c r="A1318" s="70">
        <v>946</v>
      </c>
      <c r="B1318" s="70" t="s">
        <v>1245</v>
      </c>
      <c r="C1318" s="70" t="s">
        <v>661</v>
      </c>
      <c r="D1318" s="70" t="s">
        <v>1244</v>
      </c>
      <c r="E1318" s="70" t="s">
        <v>44</v>
      </c>
      <c r="F1318" s="71">
        <v>1</v>
      </c>
      <c r="G1318" s="71">
        <v>191</v>
      </c>
      <c r="H1318" s="72">
        <v>9.7916666666666666E-2</v>
      </c>
      <c r="I1318" s="71" t="b">
        <v>1</v>
      </c>
      <c r="J1318" s="71">
        <v>59</v>
      </c>
      <c r="K1318" s="71">
        <v>76</v>
      </c>
      <c r="L1318" s="71">
        <v>91</v>
      </c>
      <c r="M1318" s="71">
        <v>5</v>
      </c>
      <c r="N1318" s="71">
        <v>4</v>
      </c>
      <c r="O1318" s="71">
        <v>0</v>
      </c>
      <c r="P1318" s="71">
        <v>10</v>
      </c>
      <c r="Q1318" s="71">
        <v>48</v>
      </c>
      <c r="R1318" s="71">
        <v>170</v>
      </c>
      <c r="S1318" s="71" t="s">
        <v>96</v>
      </c>
      <c r="T1318" s="73">
        <v>44386</v>
      </c>
      <c r="U1318" s="71" t="s">
        <v>4057</v>
      </c>
      <c r="V1318" s="71" t="b">
        <v>0</v>
      </c>
    </row>
    <row r="1319" spans="1:22" ht="17.25">
      <c r="A1319" s="70">
        <v>947</v>
      </c>
      <c r="B1319" s="70" t="s">
        <v>1243</v>
      </c>
      <c r="C1319" s="70" t="s">
        <v>1242</v>
      </c>
      <c r="D1319" s="70" t="s">
        <v>1241</v>
      </c>
      <c r="E1319" s="70" t="s">
        <v>1240</v>
      </c>
      <c r="F1319" s="71">
        <v>88</v>
      </c>
      <c r="G1319" s="71">
        <v>4</v>
      </c>
      <c r="H1319" s="72">
        <v>0.16666666666666666</v>
      </c>
      <c r="I1319" s="71" t="b">
        <v>0</v>
      </c>
      <c r="J1319" s="71">
        <v>72</v>
      </c>
      <c r="K1319" s="71">
        <v>72</v>
      </c>
      <c r="L1319" s="71">
        <v>79</v>
      </c>
      <c r="M1319" s="71">
        <v>6</v>
      </c>
      <c r="N1319" s="71">
        <v>20</v>
      </c>
      <c r="O1319" s="71">
        <v>0</v>
      </c>
      <c r="P1319" s="71">
        <v>12</v>
      </c>
      <c r="Q1319" s="71">
        <v>72</v>
      </c>
      <c r="R1319" s="71">
        <v>116</v>
      </c>
      <c r="S1319" s="71" t="s">
        <v>96</v>
      </c>
      <c r="T1319" s="73">
        <v>30841</v>
      </c>
      <c r="U1319" s="71" t="s">
        <v>4058</v>
      </c>
      <c r="V1319" s="71" t="b">
        <v>0</v>
      </c>
    </row>
    <row r="1320" spans="1:22" ht="17.25">
      <c r="A1320" s="70">
        <v>948</v>
      </c>
      <c r="B1320" s="70" t="s">
        <v>1239</v>
      </c>
      <c r="C1320" s="70" t="s">
        <v>118</v>
      </c>
      <c r="D1320" s="70" t="s">
        <v>1238</v>
      </c>
      <c r="E1320" s="70" t="s">
        <v>116</v>
      </c>
      <c r="F1320" s="71">
        <v>42</v>
      </c>
      <c r="G1320" s="71">
        <v>1</v>
      </c>
      <c r="H1320" s="72" t="s">
        <v>4315</v>
      </c>
      <c r="I1320" s="71" t="b">
        <v>0</v>
      </c>
      <c r="J1320" s="71">
        <v>81</v>
      </c>
      <c r="K1320" s="71">
        <v>80</v>
      </c>
      <c r="L1320" s="71">
        <v>75</v>
      </c>
      <c r="M1320" s="71">
        <v>8</v>
      </c>
      <c r="N1320" s="71">
        <v>12</v>
      </c>
      <c r="O1320" s="71">
        <v>0</v>
      </c>
      <c r="P1320" s="71">
        <v>16</v>
      </c>
      <c r="Q1320" s="71">
        <v>79</v>
      </c>
      <c r="R1320" s="71">
        <v>126</v>
      </c>
      <c r="S1320" s="71" t="s">
        <v>115</v>
      </c>
      <c r="T1320" s="73" t="s">
        <v>4375</v>
      </c>
      <c r="U1320" s="71" t="s">
        <v>4059</v>
      </c>
      <c r="V1320" s="71" t="b">
        <v>0</v>
      </c>
    </row>
    <row r="1321" spans="1:22" ht="17.25">
      <c r="A1321" s="70">
        <v>949</v>
      </c>
      <c r="B1321" s="70" t="s">
        <v>1237</v>
      </c>
      <c r="C1321" s="70" t="s">
        <v>1333</v>
      </c>
      <c r="D1321" s="70" t="s">
        <v>915</v>
      </c>
      <c r="E1321" s="70" t="s">
        <v>914</v>
      </c>
      <c r="F1321" s="71">
        <v>30</v>
      </c>
      <c r="G1321" s="71">
        <v>41</v>
      </c>
      <c r="H1321" s="72">
        <v>0.13750000000000001</v>
      </c>
      <c r="I1321" s="71" t="b">
        <v>1</v>
      </c>
      <c r="J1321" s="71">
        <v>85</v>
      </c>
      <c r="K1321" s="71">
        <v>80</v>
      </c>
      <c r="L1321" s="71">
        <v>82</v>
      </c>
      <c r="M1321" s="71">
        <v>12</v>
      </c>
      <c r="N1321" s="71">
        <v>5</v>
      </c>
      <c r="O1321" s="71">
        <v>0</v>
      </c>
      <c r="P1321" s="71">
        <v>13</v>
      </c>
      <c r="Q1321" s="71">
        <v>68</v>
      </c>
      <c r="R1321" s="71">
        <v>96</v>
      </c>
      <c r="S1321" s="71" t="s">
        <v>128</v>
      </c>
      <c r="T1321" s="73">
        <v>45632</v>
      </c>
      <c r="U1321" s="71" t="s">
        <v>4060</v>
      </c>
      <c r="V1321" s="71" t="b">
        <v>0</v>
      </c>
    </row>
    <row r="1322" spans="1:22" ht="17.25">
      <c r="A1322" s="70">
        <v>949</v>
      </c>
      <c r="B1322" s="70" t="s">
        <v>1237</v>
      </c>
      <c r="C1322" s="70" t="s">
        <v>914</v>
      </c>
      <c r="D1322" s="70" t="s">
        <v>915</v>
      </c>
      <c r="E1322" s="70" t="s">
        <v>914</v>
      </c>
      <c r="F1322" s="71">
        <v>30</v>
      </c>
      <c r="G1322" s="71">
        <v>41</v>
      </c>
      <c r="H1322" s="72">
        <v>0.13750000000000001</v>
      </c>
      <c r="I1322" s="71" t="b">
        <v>1</v>
      </c>
      <c r="J1322" s="71">
        <v>85</v>
      </c>
      <c r="K1322" s="71">
        <v>80</v>
      </c>
      <c r="L1322" s="71">
        <v>82</v>
      </c>
      <c r="M1322" s="71">
        <v>12</v>
      </c>
      <c r="N1322" s="71">
        <v>5</v>
      </c>
      <c r="O1322" s="71">
        <v>0</v>
      </c>
      <c r="P1322" s="71">
        <v>13</v>
      </c>
      <c r="Q1322" s="71">
        <v>68</v>
      </c>
      <c r="R1322" s="71">
        <v>96</v>
      </c>
      <c r="S1322" s="71" t="s">
        <v>128</v>
      </c>
      <c r="T1322" s="73">
        <v>45632</v>
      </c>
      <c r="U1322" s="71" t="s">
        <v>4060</v>
      </c>
      <c r="V1322" s="71" t="b">
        <v>0</v>
      </c>
    </row>
    <row r="1323" spans="1:22" ht="17.25">
      <c r="A1323" s="70">
        <v>949</v>
      </c>
      <c r="B1323" s="70" t="s">
        <v>1237</v>
      </c>
      <c r="C1323" s="70" t="s">
        <v>419</v>
      </c>
      <c r="D1323" s="70" t="s">
        <v>915</v>
      </c>
      <c r="E1323" s="70" t="s">
        <v>914</v>
      </c>
      <c r="F1323" s="71">
        <v>30</v>
      </c>
      <c r="G1323" s="71">
        <v>41</v>
      </c>
      <c r="H1323" s="72">
        <v>0.13750000000000001</v>
      </c>
      <c r="I1323" s="71" t="b">
        <v>1</v>
      </c>
      <c r="J1323" s="71">
        <v>85</v>
      </c>
      <c r="K1323" s="71">
        <v>80</v>
      </c>
      <c r="L1323" s="71">
        <v>82</v>
      </c>
      <c r="M1323" s="71">
        <v>12</v>
      </c>
      <c r="N1323" s="71">
        <v>5</v>
      </c>
      <c r="O1323" s="71">
        <v>0</v>
      </c>
      <c r="P1323" s="71">
        <v>13</v>
      </c>
      <c r="Q1323" s="71">
        <v>68</v>
      </c>
      <c r="R1323" s="71">
        <v>96</v>
      </c>
      <c r="S1323" s="71" t="s">
        <v>128</v>
      </c>
      <c r="T1323" s="73">
        <v>45632</v>
      </c>
      <c r="U1323" s="71" t="s">
        <v>4060</v>
      </c>
      <c r="V1323" s="71" t="b">
        <v>0</v>
      </c>
    </row>
    <row r="1324" spans="1:22" ht="17.25">
      <c r="A1324" s="70">
        <v>949</v>
      </c>
      <c r="B1324" s="70" t="s">
        <v>1237</v>
      </c>
      <c r="C1324" s="70" t="s">
        <v>4638</v>
      </c>
      <c r="D1324" s="70" t="s">
        <v>915</v>
      </c>
      <c r="E1324" s="70" t="s">
        <v>914</v>
      </c>
      <c r="F1324" s="71">
        <v>30</v>
      </c>
      <c r="G1324" s="71">
        <v>41</v>
      </c>
      <c r="H1324" s="72">
        <v>0.13750000000000001</v>
      </c>
      <c r="I1324" s="71" t="b">
        <v>1</v>
      </c>
      <c r="J1324" s="71">
        <v>85</v>
      </c>
      <c r="K1324" s="71">
        <v>80</v>
      </c>
      <c r="L1324" s="71">
        <v>82</v>
      </c>
      <c r="M1324" s="71">
        <v>12</v>
      </c>
      <c r="N1324" s="71">
        <v>5</v>
      </c>
      <c r="O1324" s="71">
        <v>0</v>
      </c>
      <c r="P1324" s="71">
        <v>13</v>
      </c>
      <c r="Q1324" s="71">
        <v>68</v>
      </c>
      <c r="R1324" s="71">
        <v>96</v>
      </c>
      <c r="S1324" s="71" t="s">
        <v>128</v>
      </c>
      <c r="T1324" s="73">
        <v>45632</v>
      </c>
      <c r="U1324" s="71" t="s">
        <v>4060</v>
      </c>
      <c r="V1324" s="71" t="b">
        <v>0</v>
      </c>
    </row>
    <row r="1325" spans="1:22" ht="17.25">
      <c r="A1325" s="70">
        <v>950</v>
      </c>
      <c r="B1325" s="70" t="s">
        <v>1236</v>
      </c>
      <c r="C1325" s="70" t="s">
        <v>1235</v>
      </c>
      <c r="D1325" s="70" t="s">
        <v>1234</v>
      </c>
      <c r="E1325" s="70" t="s">
        <v>62</v>
      </c>
      <c r="F1325" s="71">
        <v>49</v>
      </c>
      <c r="G1325" s="71">
        <v>16</v>
      </c>
      <c r="H1325" s="72" t="s">
        <v>4315</v>
      </c>
      <c r="I1325" s="71" t="b">
        <v>1</v>
      </c>
      <c r="J1325" s="71">
        <v>72</v>
      </c>
      <c r="K1325" s="71">
        <v>65</v>
      </c>
      <c r="L1325" s="71">
        <v>73</v>
      </c>
      <c r="M1325" s="71">
        <v>5</v>
      </c>
      <c r="N1325" s="71">
        <v>28</v>
      </c>
      <c r="O1325" s="71">
        <v>0</v>
      </c>
      <c r="P1325" s="71">
        <v>12</v>
      </c>
      <c r="Q1325" s="71">
        <v>81</v>
      </c>
      <c r="R1325" s="71">
        <v>138</v>
      </c>
      <c r="S1325" s="71" t="s">
        <v>61</v>
      </c>
      <c r="T1325" s="73" t="s">
        <v>4392</v>
      </c>
      <c r="U1325" s="71" t="s">
        <v>4061</v>
      </c>
      <c r="V1325" s="71" t="b">
        <v>0</v>
      </c>
    </row>
    <row r="1326" spans="1:22" ht="17.25">
      <c r="A1326" s="70">
        <v>951</v>
      </c>
      <c r="B1326" s="70" t="s">
        <v>1233</v>
      </c>
      <c r="C1326" s="70" t="s">
        <v>151</v>
      </c>
      <c r="D1326" s="70" t="s">
        <v>1232</v>
      </c>
      <c r="E1326" s="70" t="s">
        <v>44</v>
      </c>
      <c r="F1326" s="71">
        <v>45</v>
      </c>
      <c r="G1326" s="71">
        <v>1</v>
      </c>
      <c r="H1326" s="72" t="s">
        <v>4320</v>
      </c>
      <c r="I1326" s="71" t="b">
        <v>0</v>
      </c>
      <c r="J1326" s="71">
        <v>65</v>
      </c>
      <c r="K1326" s="71">
        <v>56</v>
      </c>
      <c r="L1326" s="71">
        <v>72</v>
      </c>
      <c r="M1326" s="71">
        <v>4</v>
      </c>
      <c r="N1326" s="71">
        <v>38</v>
      </c>
      <c r="O1326" s="71">
        <v>0</v>
      </c>
      <c r="P1326" s="71">
        <v>10</v>
      </c>
      <c r="Q1326" s="71">
        <v>49</v>
      </c>
      <c r="R1326" s="71">
        <v>128</v>
      </c>
      <c r="S1326" s="71" t="s">
        <v>96</v>
      </c>
      <c r="T1326" s="73" t="s">
        <v>4345</v>
      </c>
      <c r="U1326" s="71" t="s">
        <v>3532</v>
      </c>
      <c r="V1326" s="71" t="b">
        <v>0</v>
      </c>
    </row>
    <row r="1327" spans="1:22" ht="17.25">
      <c r="A1327" s="70">
        <v>952</v>
      </c>
      <c r="B1327" s="70" t="s">
        <v>1231</v>
      </c>
      <c r="C1327" s="70" t="s">
        <v>1230</v>
      </c>
      <c r="D1327" s="70" t="s">
        <v>1229</v>
      </c>
      <c r="E1327" s="70" t="s">
        <v>1228</v>
      </c>
      <c r="F1327" s="71">
        <v>97</v>
      </c>
      <c r="G1327" s="71">
        <v>1</v>
      </c>
      <c r="H1327" s="72" t="s">
        <v>4320</v>
      </c>
      <c r="I1327" s="71" t="b">
        <v>1</v>
      </c>
      <c r="J1327" s="71">
        <v>76</v>
      </c>
      <c r="K1327" s="71">
        <v>65</v>
      </c>
      <c r="L1327" s="71">
        <v>72</v>
      </c>
      <c r="M1327" s="71">
        <v>28</v>
      </c>
      <c r="N1327" s="71">
        <v>21</v>
      </c>
      <c r="O1327" s="71">
        <v>0</v>
      </c>
      <c r="P1327" s="71">
        <v>14</v>
      </c>
      <c r="Q1327" s="71">
        <v>58</v>
      </c>
      <c r="R1327" s="71">
        <v>92</v>
      </c>
      <c r="S1327" s="71" t="s">
        <v>48</v>
      </c>
      <c r="T1327" s="73" t="s">
        <v>4341</v>
      </c>
      <c r="U1327" s="71" t="s">
        <v>4062</v>
      </c>
      <c r="V1327" s="71" t="b">
        <v>0</v>
      </c>
    </row>
    <row r="1328" spans="1:22" ht="17.25">
      <c r="A1328" s="70">
        <v>953</v>
      </c>
      <c r="B1328" s="70" t="s">
        <v>1227</v>
      </c>
      <c r="C1328" s="70" t="s">
        <v>182</v>
      </c>
      <c r="D1328" s="70" t="s">
        <v>181</v>
      </c>
      <c r="E1328" s="70" t="s">
        <v>180</v>
      </c>
      <c r="F1328" s="71">
        <v>30</v>
      </c>
      <c r="G1328" s="71">
        <v>4</v>
      </c>
      <c r="H1328" s="72" t="s">
        <v>4320</v>
      </c>
      <c r="I1328" s="71" t="b">
        <v>1</v>
      </c>
      <c r="J1328" s="71">
        <v>71</v>
      </c>
      <c r="K1328" s="71">
        <v>53</v>
      </c>
      <c r="L1328" s="71">
        <v>72</v>
      </c>
      <c r="M1328" s="71">
        <v>29</v>
      </c>
      <c r="N1328" s="71">
        <v>44</v>
      </c>
      <c r="O1328" s="71">
        <v>0</v>
      </c>
      <c r="P1328" s="71">
        <v>11</v>
      </c>
      <c r="Q1328" s="71">
        <v>36</v>
      </c>
      <c r="R1328" s="71">
        <v>125</v>
      </c>
      <c r="S1328" s="71" t="s">
        <v>48</v>
      </c>
      <c r="T1328" s="73" t="s">
        <v>4330</v>
      </c>
      <c r="U1328" s="71" t="s">
        <v>4063</v>
      </c>
      <c r="V1328" s="71" t="b">
        <v>0</v>
      </c>
    </row>
    <row r="1329" spans="1:22" ht="17.25">
      <c r="A1329" s="70">
        <v>954</v>
      </c>
      <c r="B1329" s="70" t="s">
        <v>1226</v>
      </c>
      <c r="C1329" s="70" t="s">
        <v>1257</v>
      </c>
      <c r="D1329" s="70" t="s">
        <v>1225</v>
      </c>
      <c r="E1329" s="70" t="s">
        <v>1224</v>
      </c>
      <c r="F1329" s="71">
        <v>45</v>
      </c>
      <c r="G1329" s="71">
        <v>15</v>
      </c>
      <c r="H1329" s="72" t="s">
        <v>4315</v>
      </c>
      <c r="I1329" s="71" t="b">
        <v>1</v>
      </c>
      <c r="J1329" s="71">
        <v>73</v>
      </c>
      <c r="K1329" s="71">
        <v>65</v>
      </c>
      <c r="L1329" s="71">
        <v>73</v>
      </c>
      <c r="M1329" s="71">
        <v>5</v>
      </c>
      <c r="N1329" s="71">
        <v>25</v>
      </c>
      <c r="O1329" s="71">
        <v>0</v>
      </c>
      <c r="P1329" s="71">
        <v>11</v>
      </c>
      <c r="Q1329" s="71">
        <v>58</v>
      </c>
      <c r="R1329" s="71">
        <v>126</v>
      </c>
      <c r="S1329" s="71" t="s">
        <v>1223</v>
      </c>
      <c r="T1329" s="73" t="s">
        <v>4354</v>
      </c>
      <c r="U1329" s="71" t="s">
        <v>4054</v>
      </c>
      <c r="V1329" s="71" t="b">
        <v>0</v>
      </c>
    </row>
    <row r="1330" spans="1:22" ht="17.25">
      <c r="A1330" s="70">
        <v>954</v>
      </c>
      <c r="B1330" s="70" t="s">
        <v>1226</v>
      </c>
      <c r="C1330" s="70" t="s">
        <v>4792</v>
      </c>
      <c r="D1330" s="70" t="s">
        <v>1225</v>
      </c>
      <c r="E1330" s="70" t="s">
        <v>1224</v>
      </c>
      <c r="F1330" s="71">
        <v>45</v>
      </c>
      <c r="G1330" s="71">
        <v>15</v>
      </c>
      <c r="H1330" s="72" t="s">
        <v>4315</v>
      </c>
      <c r="I1330" s="71" t="b">
        <v>1</v>
      </c>
      <c r="J1330" s="71">
        <v>73</v>
      </c>
      <c r="K1330" s="71">
        <v>65</v>
      </c>
      <c r="L1330" s="71">
        <v>73</v>
      </c>
      <c r="M1330" s="71">
        <v>5</v>
      </c>
      <c r="N1330" s="71">
        <v>25</v>
      </c>
      <c r="O1330" s="71">
        <v>0</v>
      </c>
      <c r="P1330" s="71">
        <v>11</v>
      </c>
      <c r="Q1330" s="71">
        <v>58</v>
      </c>
      <c r="R1330" s="71">
        <v>126</v>
      </c>
      <c r="S1330" s="71" t="s">
        <v>1223</v>
      </c>
      <c r="T1330" s="73" t="s">
        <v>4354</v>
      </c>
      <c r="U1330" s="71" t="s">
        <v>4054</v>
      </c>
      <c r="V1330" s="71" t="b">
        <v>0</v>
      </c>
    </row>
    <row r="1331" spans="1:22" ht="17.25">
      <c r="A1331" s="70">
        <v>955</v>
      </c>
      <c r="B1331" s="70" t="s">
        <v>1222</v>
      </c>
      <c r="C1331" s="70" t="s">
        <v>1221</v>
      </c>
      <c r="D1331" s="70" t="s">
        <v>1220</v>
      </c>
      <c r="E1331" s="70" t="s">
        <v>44</v>
      </c>
      <c r="F1331" s="71">
        <v>125</v>
      </c>
      <c r="G1331" s="71">
        <v>23</v>
      </c>
      <c r="H1331" s="72">
        <v>0.20277777777777778</v>
      </c>
      <c r="I1331" s="71" t="b">
        <v>0</v>
      </c>
      <c r="J1331" s="71">
        <v>50</v>
      </c>
      <c r="K1331" s="71">
        <v>89</v>
      </c>
      <c r="L1331" s="71">
        <v>91</v>
      </c>
      <c r="M1331" s="71">
        <v>4</v>
      </c>
      <c r="N1331" s="71">
        <v>0</v>
      </c>
      <c r="O1331" s="71">
        <v>1</v>
      </c>
      <c r="P1331" s="71">
        <v>22</v>
      </c>
      <c r="Q1331" s="71">
        <v>26</v>
      </c>
      <c r="R1331" s="71">
        <v>134</v>
      </c>
      <c r="S1331" s="71" t="s">
        <v>135</v>
      </c>
      <c r="T1331" s="73">
        <v>33140</v>
      </c>
      <c r="U1331" s="71" t="s">
        <v>4064</v>
      </c>
      <c r="V1331" s="71" t="b">
        <v>0</v>
      </c>
    </row>
    <row r="1332" spans="1:22" ht="17.25">
      <c r="A1332" s="70">
        <v>956</v>
      </c>
      <c r="B1332" s="70" t="s">
        <v>1219</v>
      </c>
      <c r="C1332" s="70" t="s">
        <v>182</v>
      </c>
      <c r="D1332" s="70" t="s">
        <v>1218</v>
      </c>
      <c r="E1332" s="70" t="s">
        <v>180</v>
      </c>
      <c r="F1332" s="71">
        <v>15</v>
      </c>
      <c r="G1332" s="71">
        <v>2</v>
      </c>
      <c r="H1332" s="72" t="s">
        <v>4320</v>
      </c>
      <c r="I1332" s="71" t="b">
        <v>1</v>
      </c>
      <c r="J1332" s="71">
        <v>76</v>
      </c>
      <c r="K1332" s="71">
        <v>60</v>
      </c>
      <c r="L1332" s="71">
        <v>73</v>
      </c>
      <c r="M1332" s="71">
        <v>33</v>
      </c>
      <c r="N1332" s="71">
        <v>31</v>
      </c>
      <c r="O1332" s="71">
        <v>0</v>
      </c>
      <c r="P1332" s="71">
        <v>13</v>
      </c>
      <c r="Q1332" s="71">
        <v>40</v>
      </c>
      <c r="R1332" s="71">
        <v>132</v>
      </c>
      <c r="S1332" s="71" t="s">
        <v>48</v>
      </c>
      <c r="T1332" s="73" t="s">
        <v>4330</v>
      </c>
      <c r="U1332" s="71" t="s">
        <v>3649</v>
      </c>
      <c r="V1332" s="71" t="b">
        <v>0</v>
      </c>
    </row>
    <row r="1333" spans="1:22" ht="17.25">
      <c r="A1333" s="70">
        <v>957</v>
      </c>
      <c r="B1333" s="70" t="s">
        <v>1217</v>
      </c>
      <c r="C1333" s="70" t="s">
        <v>1216</v>
      </c>
      <c r="D1333" s="70" t="s">
        <v>1215</v>
      </c>
      <c r="E1333" s="70" t="s">
        <v>1214</v>
      </c>
      <c r="F1333" s="71">
        <v>184</v>
      </c>
      <c r="G1333" s="71">
        <v>1</v>
      </c>
      <c r="H1333" s="72" t="s">
        <v>4315</v>
      </c>
      <c r="I1333" s="71" t="b">
        <v>0</v>
      </c>
      <c r="J1333" s="71">
        <v>71</v>
      </c>
      <c r="K1333" s="71">
        <v>55</v>
      </c>
      <c r="L1333" s="71">
        <v>71</v>
      </c>
      <c r="M1333" s="71">
        <v>5</v>
      </c>
      <c r="N1333" s="71">
        <v>48</v>
      </c>
      <c r="O1333" s="71">
        <v>0</v>
      </c>
      <c r="P1333" s="71">
        <v>13</v>
      </c>
      <c r="Q1333" s="71">
        <v>58</v>
      </c>
      <c r="R1333" s="71">
        <v>116</v>
      </c>
      <c r="S1333" s="71" t="s">
        <v>74</v>
      </c>
      <c r="T1333" s="73" t="s">
        <v>4388</v>
      </c>
      <c r="U1333" s="71" t="s">
        <v>4065</v>
      </c>
      <c r="V1333" s="71" t="b">
        <v>0</v>
      </c>
    </row>
    <row r="1334" spans="1:22" ht="17.25">
      <c r="A1334" s="70">
        <v>958</v>
      </c>
      <c r="B1334" s="70" t="s">
        <v>1213</v>
      </c>
      <c r="C1334" s="70" t="s">
        <v>1031</v>
      </c>
      <c r="D1334" s="70" t="s">
        <v>1212</v>
      </c>
      <c r="E1334" s="70" t="s">
        <v>1029</v>
      </c>
      <c r="F1334" s="71">
        <v>43</v>
      </c>
      <c r="G1334" s="71">
        <v>247</v>
      </c>
      <c r="H1334" s="72">
        <v>0.17569444444444443</v>
      </c>
      <c r="I1334" s="71" t="b">
        <v>0</v>
      </c>
      <c r="J1334" s="71">
        <v>53</v>
      </c>
      <c r="K1334" s="71">
        <v>87</v>
      </c>
      <c r="L1334" s="71">
        <v>90</v>
      </c>
      <c r="M1334" s="71">
        <v>6</v>
      </c>
      <c r="N1334" s="71">
        <v>0</v>
      </c>
      <c r="O1334" s="71">
        <v>0</v>
      </c>
      <c r="P1334" s="71">
        <v>9</v>
      </c>
      <c r="Q1334" s="71">
        <v>25</v>
      </c>
      <c r="R1334" s="71">
        <v>140</v>
      </c>
      <c r="S1334" s="71" t="s">
        <v>1028</v>
      </c>
      <c r="T1334" s="73">
        <v>39195</v>
      </c>
      <c r="U1334" s="71" t="s">
        <v>4066</v>
      </c>
      <c r="V1334" s="71" t="b">
        <v>0</v>
      </c>
    </row>
    <row r="1335" spans="1:22" ht="17.25">
      <c r="A1335" s="70">
        <v>959</v>
      </c>
      <c r="B1335" s="70" t="s">
        <v>1211</v>
      </c>
      <c r="C1335" s="70" t="s">
        <v>131</v>
      </c>
      <c r="D1335" s="70" t="s">
        <v>1210</v>
      </c>
      <c r="E1335" s="70" t="s">
        <v>1209</v>
      </c>
      <c r="F1335" s="71">
        <v>2</v>
      </c>
      <c r="G1335" s="71">
        <v>76</v>
      </c>
      <c r="H1335" s="72">
        <v>0.17569444444444443</v>
      </c>
      <c r="I1335" s="71" t="b">
        <v>1</v>
      </c>
      <c r="J1335" s="71">
        <v>82</v>
      </c>
      <c r="K1335" s="71">
        <v>73</v>
      </c>
      <c r="L1335" s="71">
        <v>93</v>
      </c>
      <c r="M1335" s="71">
        <v>13</v>
      </c>
      <c r="N1335" s="71">
        <v>10</v>
      </c>
      <c r="O1335" s="71">
        <v>0</v>
      </c>
      <c r="P1335" s="71">
        <v>37</v>
      </c>
      <c r="Q1335" s="71">
        <v>65</v>
      </c>
      <c r="R1335" s="71">
        <v>136</v>
      </c>
      <c r="S1335" s="71" t="s">
        <v>128</v>
      </c>
      <c r="T1335" s="73">
        <v>43245</v>
      </c>
      <c r="U1335" s="71" t="s">
        <v>4067</v>
      </c>
      <c r="V1335" s="71" t="b">
        <v>0</v>
      </c>
    </row>
    <row r="1336" spans="1:22" ht="17.25">
      <c r="A1336" s="70">
        <v>959</v>
      </c>
      <c r="B1336" s="70" t="s">
        <v>1211</v>
      </c>
      <c r="C1336" s="70" t="s">
        <v>4519</v>
      </c>
      <c r="D1336" s="70" t="s">
        <v>1210</v>
      </c>
      <c r="E1336" s="70" t="s">
        <v>1209</v>
      </c>
      <c r="F1336" s="71">
        <v>2</v>
      </c>
      <c r="G1336" s="71">
        <v>76</v>
      </c>
      <c r="H1336" s="72">
        <v>0.17569444444444443</v>
      </c>
      <c r="I1336" s="71" t="b">
        <v>1</v>
      </c>
      <c r="J1336" s="71">
        <v>82</v>
      </c>
      <c r="K1336" s="71">
        <v>73</v>
      </c>
      <c r="L1336" s="71">
        <v>93</v>
      </c>
      <c r="M1336" s="71">
        <v>13</v>
      </c>
      <c r="N1336" s="71">
        <v>10</v>
      </c>
      <c r="O1336" s="71">
        <v>0</v>
      </c>
      <c r="P1336" s="71">
        <v>37</v>
      </c>
      <c r="Q1336" s="71">
        <v>65</v>
      </c>
      <c r="R1336" s="71">
        <v>136</v>
      </c>
      <c r="S1336" s="71" t="s">
        <v>128</v>
      </c>
      <c r="T1336" s="73">
        <v>43245</v>
      </c>
      <c r="U1336" s="71" t="s">
        <v>4067</v>
      </c>
      <c r="V1336" s="71" t="b">
        <v>0</v>
      </c>
    </row>
    <row r="1337" spans="1:22" ht="17.25">
      <c r="A1337" s="70">
        <v>959</v>
      </c>
      <c r="B1337" s="70" t="s">
        <v>1211</v>
      </c>
      <c r="C1337" s="70" t="s">
        <v>4423</v>
      </c>
      <c r="D1337" s="70" t="s">
        <v>1210</v>
      </c>
      <c r="E1337" s="70" t="s">
        <v>1209</v>
      </c>
      <c r="F1337" s="71">
        <v>2</v>
      </c>
      <c r="G1337" s="71">
        <v>76</v>
      </c>
      <c r="H1337" s="72">
        <v>0.17569444444444443</v>
      </c>
      <c r="I1337" s="71" t="b">
        <v>1</v>
      </c>
      <c r="J1337" s="71">
        <v>82</v>
      </c>
      <c r="K1337" s="71">
        <v>73</v>
      </c>
      <c r="L1337" s="71">
        <v>93</v>
      </c>
      <c r="M1337" s="71">
        <v>13</v>
      </c>
      <c r="N1337" s="71">
        <v>10</v>
      </c>
      <c r="O1337" s="71">
        <v>0</v>
      </c>
      <c r="P1337" s="71">
        <v>37</v>
      </c>
      <c r="Q1337" s="71">
        <v>65</v>
      </c>
      <c r="R1337" s="71">
        <v>136</v>
      </c>
      <c r="S1337" s="71" t="s">
        <v>128</v>
      </c>
      <c r="T1337" s="73">
        <v>43245</v>
      </c>
      <c r="U1337" s="71" t="s">
        <v>4067</v>
      </c>
      <c r="V1337" s="71" t="b">
        <v>0</v>
      </c>
    </row>
    <row r="1338" spans="1:22" ht="17.25">
      <c r="A1338" s="70">
        <v>960</v>
      </c>
      <c r="B1338" s="70" t="s">
        <v>1208</v>
      </c>
      <c r="C1338" s="70" t="s">
        <v>131</v>
      </c>
      <c r="D1338" s="70" t="s">
        <v>1207</v>
      </c>
      <c r="E1338" s="70" t="s">
        <v>129</v>
      </c>
      <c r="F1338" s="71">
        <v>8</v>
      </c>
      <c r="G1338" s="71">
        <v>60</v>
      </c>
      <c r="H1338" s="72">
        <v>0.15138888888888888</v>
      </c>
      <c r="I1338" s="71" t="b">
        <v>1</v>
      </c>
      <c r="J1338" s="71">
        <v>15</v>
      </c>
      <c r="K1338" s="71">
        <v>60</v>
      </c>
      <c r="L1338" s="71">
        <v>42</v>
      </c>
      <c r="M1338" s="71">
        <v>6</v>
      </c>
      <c r="N1338" s="71">
        <v>92</v>
      </c>
      <c r="O1338" s="71">
        <v>45</v>
      </c>
      <c r="P1338" s="71">
        <v>40</v>
      </c>
      <c r="Q1338" s="71">
        <v>0</v>
      </c>
      <c r="R1338" s="71">
        <v>106</v>
      </c>
      <c r="S1338" s="71" t="s">
        <v>128</v>
      </c>
      <c r="T1338" s="73">
        <v>45662</v>
      </c>
      <c r="U1338" s="71" t="s">
        <v>3505</v>
      </c>
      <c r="V1338" s="71" t="b">
        <v>0</v>
      </c>
    </row>
    <row r="1339" spans="1:22" ht="17.25">
      <c r="A1339" s="70">
        <v>961</v>
      </c>
      <c r="B1339" s="70" t="s">
        <v>1206</v>
      </c>
      <c r="C1339" s="70" t="s">
        <v>4520</v>
      </c>
      <c r="D1339" s="70" t="s">
        <v>1205</v>
      </c>
      <c r="E1339" s="70" t="s">
        <v>1204</v>
      </c>
      <c r="F1339" s="71">
        <v>119</v>
      </c>
      <c r="G1339" s="71">
        <v>3</v>
      </c>
      <c r="H1339" s="72">
        <v>0.18611111111111112</v>
      </c>
      <c r="I1339" s="71" t="b">
        <v>0</v>
      </c>
      <c r="J1339" s="71">
        <v>69</v>
      </c>
      <c r="K1339" s="71">
        <v>85</v>
      </c>
      <c r="L1339" s="71">
        <v>90</v>
      </c>
      <c r="M1339" s="71">
        <v>5</v>
      </c>
      <c r="N1339" s="71">
        <v>39</v>
      </c>
      <c r="O1339" s="71">
        <v>0</v>
      </c>
      <c r="P1339" s="71">
        <v>9</v>
      </c>
      <c r="Q1339" s="71">
        <v>74</v>
      </c>
      <c r="R1339" s="71">
        <v>104</v>
      </c>
      <c r="S1339" s="71" t="s">
        <v>96</v>
      </c>
      <c r="T1339" s="73">
        <v>40162</v>
      </c>
      <c r="U1339" s="71" t="s">
        <v>4068</v>
      </c>
      <c r="V1339" s="71" t="b">
        <v>0</v>
      </c>
    </row>
    <row r="1340" spans="1:22" ht="17.25">
      <c r="A1340" s="70">
        <v>961</v>
      </c>
      <c r="B1340" s="70" t="s">
        <v>1206</v>
      </c>
      <c r="C1340" s="70" t="s">
        <v>366</v>
      </c>
      <c r="D1340" s="70" t="s">
        <v>1205</v>
      </c>
      <c r="E1340" s="70" t="s">
        <v>1204</v>
      </c>
      <c r="F1340" s="71">
        <v>119</v>
      </c>
      <c r="G1340" s="71">
        <v>3</v>
      </c>
      <c r="H1340" s="72">
        <v>0.18611111111111112</v>
      </c>
      <c r="I1340" s="71" t="b">
        <v>0</v>
      </c>
      <c r="J1340" s="71">
        <v>69</v>
      </c>
      <c r="K1340" s="71">
        <v>85</v>
      </c>
      <c r="L1340" s="71">
        <v>90</v>
      </c>
      <c r="M1340" s="71">
        <v>5</v>
      </c>
      <c r="N1340" s="71">
        <v>39</v>
      </c>
      <c r="O1340" s="71">
        <v>0</v>
      </c>
      <c r="P1340" s="71">
        <v>9</v>
      </c>
      <c r="Q1340" s="71">
        <v>74</v>
      </c>
      <c r="R1340" s="71">
        <v>104</v>
      </c>
      <c r="S1340" s="71" t="s">
        <v>96</v>
      </c>
      <c r="T1340" s="73">
        <v>40162</v>
      </c>
      <c r="U1340" s="71" t="s">
        <v>4068</v>
      </c>
      <c r="V1340" s="71" t="b">
        <v>0</v>
      </c>
    </row>
    <row r="1341" spans="1:22" ht="17.25">
      <c r="A1341" s="70">
        <v>962</v>
      </c>
      <c r="B1341" s="70" t="s">
        <v>1203</v>
      </c>
      <c r="C1341" s="70" t="s">
        <v>1202</v>
      </c>
      <c r="D1341" s="70" t="s">
        <v>1201</v>
      </c>
      <c r="E1341" s="70" t="s">
        <v>1200</v>
      </c>
      <c r="F1341" s="71">
        <v>91</v>
      </c>
      <c r="G1341" s="71">
        <v>9</v>
      </c>
      <c r="H1341" s="72" t="s">
        <v>4315</v>
      </c>
      <c r="I1341" s="71" t="b">
        <v>0</v>
      </c>
      <c r="J1341" s="71">
        <v>58</v>
      </c>
      <c r="K1341" s="71">
        <v>74</v>
      </c>
      <c r="L1341" s="71">
        <v>75</v>
      </c>
      <c r="M1341" s="71">
        <v>5</v>
      </c>
      <c r="N1341" s="71">
        <v>16</v>
      </c>
      <c r="O1341" s="71">
        <v>0</v>
      </c>
      <c r="P1341" s="71">
        <v>18</v>
      </c>
      <c r="Q1341" s="71">
        <v>46</v>
      </c>
      <c r="R1341" s="71">
        <v>148</v>
      </c>
      <c r="S1341" s="71" t="s">
        <v>1199</v>
      </c>
      <c r="T1341" s="73" t="s">
        <v>4371</v>
      </c>
      <c r="U1341" s="71" t="s">
        <v>4069</v>
      </c>
      <c r="V1341" s="71" t="b">
        <v>0</v>
      </c>
    </row>
    <row r="1342" spans="1:22" ht="17.25">
      <c r="A1342" s="70">
        <v>963</v>
      </c>
      <c r="B1342" s="70" t="s">
        <v>1198</v>
      </c>
      <c r="C1342" s="70" t="s">
        <v>1197</v>
      </c>
      <c r="D1342" s="70" t="s">
        <v>1196</v>
      </c>
      <c r="E1342" s="70" t="s">
        <v>92</v>
      </c>
      <c r="F1342" s="71">
        <v>161</v>
      </c>
      <c r="G1342" s="71">
        <v>30</v>
      </c>
      <c r="H1342" s="72">
        <v>0.15208333333333332</v>
      </c>
      <c r="I1342" s="71" t="b">
        <v>0</v>
      </c>
      <c r="J1342" s="71">
        <v>50</v>
      </c>
      <c r="K1342" s="71">
        <v>82</v>
      </c>
      <c r="L1342" s="71">
        <v>90</v>
      </c>
      <c r="M1342" s="71">
        <v>4</v>
      </c>
      <c r="N1342" s="71">
        <v>0</v>
      </c>
      <c r="O1342" s="71">
        <v>0</v>
      </c>
      <c r="P1342" s="71">
        <v>9</v>
      </c>
      <c r="Q1342" s="71">
        <v>54</v>
      </c>
      <c r="R1342" s="71">
        <v>120</v>
      </c>
      <c r="S1342" s="71" t="s">
        <v>1195</v>
      </c>
      <c r="T1342" s="73">
        <v>33491</v>
      </c>
      <c r="U1342" s="71" t="s">
        <v>3500</v>
      </c>
      <c r="V1342" s="71" t="b">
        <v>0</v>
      </c>
    </row>
    <row r="1343" spans="1:22" ht="17.25">
      <c r="A1343" s="70">
        <v>964</v>
      </c>
      <c r="B1343" s="70" t="s">
        <v>1194</v>
      </c>
      <c r="C1343" s="70" t="s">
        <v>1193</v>
      </c>
      <c r="D1343" s="70" t="s">
        <v>1192</v>
      </c>
      <c r="E1343" s="70" t="s">
        <v>1191</v>
      </c>
      <c r="F1343" s="71">
        <v>1</v>
      </c>
      <c r="G1343" s="71">
        <v>46</v>
      </c>
      <c r="H1343" s="72">
        <v>0.1076388888888889</v>
      </c>
      <c r="I1343" s="71" t="b">
        <v>0</v>
      </c>
      <c r="J1343" s="71">
        <v>85</v>
      </c>
      <c r="K1343" s="71">
        <v>70</v>
      </c>
      <c r="L1343" s="71">
        <v>91</v>
      </c>
      <c r="M1343" s="71">
        <v>4</v>
      </c>
      <c r="N1343" s="71">
        <v>10</v>
      </c>
      <c r="O1343" s="71">
        <v>0</v>
      </c>
      <c r="P1343" s="71">
        <v>7</v>
      </c>
      <c r="Q1343" s="71">
        <v>92</v>
      </c>
      <c r="R1343" s="71">
        <v>138</v>
      </c>
      <c r="S1343" s="71" t="s">
        <v>96</v>
      </c>
      <c r="T1343" s="73">
        <v>45408</v>
      </c>
      <c r="U1343" s="71" t="s">
        <v>4070</v>
      </c>
      <c r="V1343" s="71" t="b">
        <v>0</v>
      </c>
    </row>
    <row r="1344" spans="1:22" ht="17.25">
      <c r="A1344" s="70">
        <v>965</v>
      </c>
      <c r="B1344" s="70" t="s">
        <v>1190</v>
      </c>
      <c r="C1344" s="70" t="s">
        <v>32</v>
      </c>
      <c r="D1344" s="70" t="s">
        <v>1189</v>
      </c>
      <c r="E1344" s="70" t="s">
        <v>30</v>
      </c>
      <c r="F1344" s="71">
        <v>13</v>
      </c>
      <c r="G1344" s="71">
        <v>4</v>
      </c>
      <c r="H1344" s="72" t="s">
        <v>4315</v>
      </c>
      <c r="I1344" s="71" t="b">
        <v>0</v>
      </c>
      <c r="J1344" s="71">
        <v>78</v>
      </c>
      <c r="K1344" s="71">
        <v>65</v>
      </c>
      <c r="L1344" s="71">
        <v>73</v>
      </c>
      <c r="M1344" s="71">
        <v>6</v>
      </c>
      <c r="N1344" s="71">
        <v>19</v>
      </c>
      <c r="O1344" s="71">
        <v>0</v>
      </c>
      <c r="P1344" s="71">
        <v>11</v>
      </c>
      <c r="Q1344" s="71">
        <v>71</v>
      </c>
      <c r="R1344" s="71">
        <v>116</v>
      </c>
      <c r="S1344" s="71" t="s">
        <v>96</v>
      </c>
      <c r="T1344" s="73" t="s">
        <v>4372</v>
      </c>
      <c r="U1344" s="71" t="s">
        <v>3507</v>
      </c>
      <c r="V1344" s="71" t="b">
        <v>0</v>
      </c>
    </row>
    <row r="1345" spans="1:22" ht="17.25">
      <c r="A1345" s="70">
        <v>966</v>
      </c>
      <c r="B1345" s="70" t="s">
        <v>1188</v>
      </c>
      <c r="C1345" s="70" t="s">
        <v>4453</v>
      </c>
      <c r="D1345" s="70" t="s">
        <v>1187</v>
      </c>
      <c r="E1345" s="70" t="s">
        <v>157</v>
      </c>
      <c r="F1345" s="71">
        <v>72</v>
      </c>
      <c r="G1345" s="71">
        <v>8</v>
      </c>
      <c r="H1345" s="72" t="s">
        <v>4315</v>
      </c>
      <c r="I1345" s="71" t="b">
        <v>0</v>
      </c>
      <c r="J1345" s="71">
        <v>69</v>
      </c>
      <c r="K1345" s="71">
        <v>62</v>
      </c>
      <c r="L1345" s="71">
        <v>72</v>
      </c>
      <c r="M1345" s="71">
        <v>5</v>
      </c>
      <c r="N1345" s="71">
        <v>40</v>
      </c>
      <c r="O1345" s="71">
        <v>1</v>
      </c>
      <c r="P1345" s="71">
        <v>13</v>
      </c>
      <c r="Q1345" s="71">
        <v>47</v>
      </c>
      <c r="R1345" s="71">
        <v>124</v>
      </c>
      <c r="S1345" s="71" t="s">
        <v>128</v>
      </c>
      <c r="T1345" s="73" t="s">
        <v>4355</v>
      </c>
      <c r="U1345" s="71" t="s">
        <v>4071</v>
      </c>
      <c r="V1345" s="71" t="b">
        <v>0</v>
      </c>
    </row>
    <row r="1346" spans="1:22" ht="17.25">
      <c r="A1346" s="70">
        <v>966</v>
      </c>
      <c r="B1346" s="70" t="s">
        <v>1188</v>
      </c>
      <c r="C1346" s="70" t="s">
        <v>4521</v>
      </c>
      <c r="D1346" s="70" t="s">
        <v>1187</v>
      </c>
      <c r="E1346" s="70" t="s">
        <v>157</v>
      </c>
      <c r="F1346" s="71">
        <v>72</v>
      </c>
      <c r="G1346" s="71">
        <v>8</v>
      </c>
      <c r="H1346" s="72" t="s">
        <v>4315</v>
      </c>
      <c r="I1346" s="71" t="b">
        <v>0</v>
      </c>
      <c r="J1346" s="71">
        <v>69</v>
      </c>
      <c r="K1346" s="71">
        <v>62</v>
      </c>
      <c r="L1346" s="71">
        <v>72</v>
      </c>
      <c r="M1346" s="71">
        <v>5</v>
      </c>
      <c r="N1346" s="71">
        <v>40</v>
      </c>
      <c r="O1346" s="71">
        <v>1</v>
      </c>
      <c r="P1346" s="71">
        <v>13</v>
      </c>
      <c r="Q1346" s="71">
        <v>47</v>
      </c>
      <c r="R1346" s="71">
        <v>124</v>
      </c>
      <c r="S1346" s="71" t="s">
        <v>128</v>
      </c>
      <c r="T1346" s="73" t="s">
        <v>4355</v>
      </c>
      <c r="U1346" s="71" t="s">
        <v>4071</v>
      </c>
      <c r="V1346" s="71" t="b">
        <v>0</v>
      </c>
    </row>
    <row r="1347" spans="1:22" ht="17.25">
      <c r="A1347" s="70">
        <v>967</v>
      </c>
      <c r="B1347" s="70" t="s">
        <v>1186</v>
      </c>
      <c r="C1347" s="70" t="s">
        <v>178</v>
      </c>
      <c r="D1347" s="70" t="s">
        <v>1185</v>
      </c>
      <c r="E1347" s="70" t="s">
        <v>1184</v>
      </c>
      <c r="F1347" s="71">
        <v>12</v>
      </c>
      <c r="G1347" s="71">
        <v>23</v>
      </c>
      <c r="H1347" s="72">
        <v>0.1701388888888889</v>
      </c>
      <c r="I1347" s="71" t="b">
        <v>0</v>
      </c>
      <c r="J1347" s="71">
        <v>61</v>
      </c>
      <c r="K1347" s="71">
        <v>76</v>
      </c>
      <c r="L1347" s="71">
        <v>96</v>
      </c>
      <c r="M1347" s="71">
        <v>18</v>
      </c>
      <c r="N1347" s="71">
        <v>8</v>
      </c>
      <c r="O1347" s="71">
        <v>0</v>
      </c>
      <c r="P1347" s="71">
        <v>19</v>
      </c>
      <c r="Q1347" s="71">
        <v>55</v>
      </c>
      <c r="R1347" s="71">
        <v>176</v>
      </c>
      <c r="S1347" s="71" t="s">
        <v>96</v>
      </c>
      <c r="T1347" s="73">
        <v>41772</v>
      </c>
      <c r="U1347" s="71" t="s">
        <v>4072</v>
      </c>
      <c r="V1347" s="71" t="b">
        <v>0</v>
      </c>
    </row>
    <row r="1348" spans="1:22" ht="17.25">
      <c r="A1348" s="70">
        <v>968</v>
      </c>
      <c r="B1348" s="70" t="s">
        <v>1183</v>
      </c>
      <c r="C1348" s="70" t="s">
        <v>54</v>
      </c>
      <c r="D1348" s="70" t="s">
        <v>1182</v>
      </c>
      <c r="E1348" s="70" t="s">
        <v>324</v>
      </c>
      <c r="F1348" s="71">
        <v>2</v>
      </c>
      <c r="G1348" s="71">
        <v>64</v>
      </c>
      <c r="H1348" s="72" t="s">
        <v>4320</v>
      </c>
      <c r="I1348" s="71" t="b">
        <v>0</v>
      </c>
      <c r="J1348" s="71">
        <v>72</v>
      </c>
      <c r="K1348" s="71">
        <v>53</v>
      </c>
      <c r="L1348" s="71">
        <v>71</v>
      </c>
      <c r="M1348" s="71">
        <v>5</v>
      </c>
      <c r="N1348" s="71">
        <v>41</v>
      </c>
      <c r="O1348" s="71">
        <v>0</v>
      </c>
      <c r="P1348" s="71">
        <v>10</v>
      </c>
      <c r="Q1348" s="71">
        <v>52</v>
      </c>
      <c r="R1348" s="71">
        <v>120</v>
      </c>
      <c r="S1348" s="71" t="s">
        <v>96</v>
      </c>
      <c r="T1348" s="73" t="s">
        <v>4368</v>
      </c>
      <c r="U1348" s="71" t="s">
        <v>3387</v>
      </c>
      <c r="V1348" s="71" t="b">
        <v>0</v>
      </c>
    </row>
    <row r="1349" spans="1:22" ht="17.25">
      <c r="A1349" s="70">
        <v>969</v>
      </c>
      <c r="B1349" s="70" t="s">
        <v>1181</v>
      </c>
      <c r="C1349" s="70" t="s">
        <v>2616</v>
      </c>
      <c r="D1349" s="70" t="s">
        <v>1180</v>
      </c>
      <c r="E1349" s="70" t="s">
        <v>1179</v>
      </c>
      <c r="F1349" s="71">
        <v>130</v>
      </c>
      <c r="G1349" s="71">
        <v>1</v>
      </c>
      <c r="H1349" s="72" t="s">
        <v>4315</v>
      </c>
      <c r="I1349" s="71" t="b">
        <v>1</v>
      </c>
      <c r="J1349" s="71">
        <v>82</v>
      </c>
      <c r="K1349" s="71">
        <v>64</v>
      </c>
      <c r="L1349" s="71">
        <v>69</v>
      </c>
      <c r="M1349" s="71">
        <v>7</v>
      </c>
      <c r="N1349" s="71">
        <v>26</v>
      </c>
      <c r="O1349" s="71">
        <v>0</v>
      </c>
      <c r="P1349" s="71">
        <v>13</v>
      </c>
      <c r="Q1349" s="71">
        <v>55</v>
      </c>
      <c r="R1349" s="71">
        <v>120</v>
      </c>
      <c r="S1349" s="71" t="s">
        <v>128</v>
      </c>
      <c r="T1349" s="73" t="s">
        <v>4316</v>
      </c>
      <c r="U1349" s="71" t="s">
        <v>4073</v>
      </c>
      <c r="V1349" s="71" t="b">
        <v>0</v>
      </c>
    </row>
    <row r="1350" spans="1:22" ht="17.25">
      <c r="A1350" s="70">
        <v>969</v>
      </c>
      <c r="B1350" s="70" t="s">
        <v>1181</v>
      </c>
      <c r="C1350" s="70" t="s">
        <v>4522</v>
      </c>
      <c r="D1350" s="70" t="s">
        <v>1180</v>
      </c>
      <c r="E1350" s="70" t="s">
        <v>1179</v>
      </c>
      <c r="F1350" s="71">
        <v>130</v>
      </c>
      <c r="G1350" s="71">
        <v>1</v>
      </c>
      <c r="H1350" s="72" t="s">
        <v>4315</v>
      </c>
      <c r="I1350" s="71" t="b">
        <v>1</v>
      </c>
      <c r="J1350" s="71">
        <v>82</v>
      </c>
      <c r="K1350" s="71">
        <v>64</v>
      </c>
      <c r="L1350" s="71">
        <v>69</v>
      </c>
      <c r="M1350" s="71">
        <v>7</v>
      </c>
      <c r="N1350" s="71">
        <v>26</v>
      </c>
      <c r="O1350" s="71">
        <v>0</v>
      </c>
      <c r="P1350" s="71">
        <v>13</v>
      </c>
      <c r="Q1350" s="71">
        <v>55</v>
      </c>
      <c r="R1350" s="71">
        <v>120</v>
      </c>
      <c r="S1350" s="71" t="s">
        <v>128</v>
      </c>
      <c r="T1350" s="73" t="s">
        <v>4316</v>
      </c>
      <c r="U1350" s="71" t="s">
        <v>4073</v>
      </c>
      <c r="V1350" s="71" t="b">
        <v>0</v>
      </c>
    </row>
    <row r="1351" spans="1:22" ht="17.25">
      <c r="A1351" s="70">
        <v>970</v>
      </c>
      <c r="B1351" s="70" t="s">
        <v>1178</v>
      </c>
      <c r="C1351" s="70" t="s">
        <v>318</v>
      </c>
      <c r="D1351" s="70" t="s">
        <v>1177</v>
      </c>
      <c r="E1351" s="70" t="s">
        <v>316</v>
      </c>
      <c r="F1351" s="71">
        <v>7</v>
      </c>
      <c r="G1351" s="71">
        <v>86</v>
      </c>
      <c r="H1351" s="72">
        <v>0.15902777777777777</v>
      </c>
      <c r="I1351" s="71" t="b">
        <v>0</v>
      </c>
      <c r="J1351" s="71">
        <v>38</v>
      </c>
      <c r="K1351" s="71">
        <v>34</v>
      </c>
      <c r="L1351" s="71">
        <v>87</v>
      </c>
      <c r="M1351" s="71">
        <v>3</v>
      </c>
      <c r="N1351" s="71">
        <v>69</v>
      </c>
      <c r="O1351" s="71">
        <v>0</v>
      </c>
      <c r="P1351" s="71">
        <v>12</v>
      </c>
      <c r="Q1351" s="71">
        <v>8</v>
      </c>
      <c r="R1351" s="71">
        <v>101</v>
      </c>
      <c r="S1351" s="71" t="s">
        <v>74</v>
      </c>
      <c r="T1351" s="73">
        <v>44337</v>
      </c>
      <c r="U1351" s="71" t="s">
        <v>4074</v>
      </c>
      <c r="V1351" s="71" t="b">
        <v>0</v>
      </c>
    </row>
    <row r="1352" spans="1:22" ht="17.25">
      <c r="A1352" s="70">
        <v>971</v>
      </c>
      <c r="B1352" s="70" t="s">
        <v>1176</v>
      </c>
      <c r="C1352" s="70" t="s">
        <v>4906</v>
      </c>
      <c r="D1352" s="70" t="s">
        <v>1175</v>
      </c>
      <c r="E1352" s="70" t="s">
        <v>44</v>
      </c>
      <c r="F1352" s="71">
        <v>131</v>
      </c>
      <c r="G1352" s="71">
        <v>1</v>
      </c>
      <c r="H1352" s="72" t="s">
        <v>4320</v>
      </c>
      <c r="I1352" s="71" t="b">
        <v>1</v>
      </c>
      <c r="J1352" s="71">
        <v>76</v>
      </c>
      <c r="K1352" s="71">
        <v>63</v>
      </c>
      <c r="L1352" s="71">
        <v>73</v>
      </c>
      <c r="M1352" s="71">
        <v>28</v>
      </c>
      <c r="N1352" s="71">
        <v>21</v>
      </c>
      <c r="O1352" s="71">
        <v>0</v>
      </c>
      <c r="P1352" s="71">
        <v>16</v>
      </c>
      <c r="Q1352" s="71">
        <v>48</v>
      </c>
      <c r="R1352" s="71">
        <v>132</v>
      </c>
      <c r="S1352" s="71" t="s">
        <v>48</v>
      </c>
      <c r="T1352" s="73" t="s">
        <v>4381</v>
      </c>
      <c r="U1352" s="71" t="s">
        <v>3891</v>
      </c>
      <c r="V1352" s="71" t="b">
        <v>0</v>
      </c>
    </row>
    <row r="1353" spans="1:22" ht="17.25">
      <c r="A1353" s="70">
        <v>972</v>
      </c>
      <c r="B1353" s="70" t="s">
        <v>1174</v>
      </c>
      <c r="C1353" s="70" t="s">
        <v>430</v>
      </c>
      <c r="D1353" s="70" t="s">
        <v>1173</v>
      </c>
      <c r="E1353" s="70" t="s">
        <v>75</v>
      </c>
      <c r="F1353" s="71">
        <v>20</v>
      </c>
      <c r="G1353" s="71">
        <v>2</v>
      </c>
      <c r="H1353" s="72" t="s">
        <v>4315</v>
      </c>
      <c r="I1353" s="71" t="b">
        <v>0</v>
      </c>
      <c r="J1353" s="71">
        <v>60</v>
      </c>
      <c r="K1353" s="71">
        <v>40</v>
      </c>
      <c r="L1353" s="71">
        <v>69</v>
      </c>
      <c r="M1353" s="71">
        <v>4</v>
      </c>
      <c r="N1353" s="71">
        <v>64</v>
      </c>
      <c r="O1353" s="71">
        <v>0</v>
      </c>
      <c r="P1353" s="71">
        <v>11</v>
      </c>
      <c r="Q1353" s="71">
        <v>33</v>
      </c>
      <c r="R1353" s="71">
        <v>92</v>
      </c>
      <c r="S1353" s="71" t="s">
        <v>96</v>
      </c>
      <c r="T1353" s="73" t="s">
        <v>4319</v>
      </c>
      <c r="U1353" s="71" t="s">
        <v>3451</v>
      </c>
      <c r="V1353" s="71" t="b">
        <v>0</v>
      </c>
    </row>
    <row r="1354" spans="1:22" ht="17.25">
      <c r="A1354" s="70">
        <v>973</v>
      </c>
      <c r="B1354" s="70" t="s">
        <v>1172</v>
      </c>
      <c r="C1354" s="70" t="s">
        <v>4556</v>
      </c>
      <c r="D1354" s="70" t="s">
        <v>1171</v>
      </c>
      <c r="E1354" s="70" t="s">
        <v>924</v>
      </c>
      <c r="F1354" s="71">
        <v>14</v>
      </c>
      <c r="G1354" s="71">
        <v>23</v>
      </c>
      <c r="H1354" s="72" t="s">
        <v>4315</v>
      </c>
      <c r="I1354" s="71" t="b">
        <v>0</v>
      </c>
      <c r="J1354" s="71">
        <v>65</v>
      </c>
      <c r="K1354" s="71">
        <v>50</v>
      </c>
      <c r="L1354" s="71">
        <v>70</v>
      </c>
      <c r="M1354" s="71">
        <v>5</v>
      </c>
      <c r="N1354" s="71">
        <v>58</v>
      </c>
      <c r="O1354" s="71">
        <v>0</v>
      </c>
      <c r="P1354" s="71">
        <v>11</v>
      </c>
      <c r="Q1354" s="71">
        <v>42</v>
      </c>
      <c r="R1354" s="71">
        <v>94</v>
      </c>
      <c r="S1354" s="71" t="s">
        <v>115</v>
      </c>
      <c r="T1354" s="73" t="s">
        <v>4386</v>
      </c>
      <c r="U1354" s="71" t="s">
        <v>3394</v>
      </c>
      <c r="V1354" s="71" t="b">
        <v>0</v>
      </c>
    </row>
    <row r="1355" spans="1:22" ht="17.25">
      <c r="A1355" s="70">
        <v>973</v>
      </c>
      <c r="B1355" s="70" t="s">
        <v>1172</v>
      </c>
      <c r="C1355" s="70" t="s">
        <v>4578</v>
      </c>
      <c r="D1355" s="70" t="s">
        <v>1171</v>
      </c>
      <c r="E1355" s="70" t="s">
        <v>924</v>
      </c>
      <c r="F1355" s="71">
        <v>14</v>
      </c>
      <c r="G1355" s="71">
        <v>23</v>
      </c>
      <c r="H1355" s="72" t="s">
        <v>4315</v>
      </c>
      <c r="I1355" s="71" t="b">
        <v>0</v>
      </c>
      <c r="J1355" s="71">
        <v>65</v>
      </c>
      <c r="K1355" s="71">
        <v>50</v>
      </c>
      <c r="L1355" s="71">
        <v>70</v>
      </c>
      <c r="M1355" s="71">
        <v>5</v>
      </c>
      <c r="N1355" s="71">
        <v>58</v>
      </c>
      <c r="O1355" s="71">
        <v>0</v>
      </c>
      <c r="P1355" s="71">
        <v>11</v>
      </c>
      <c r="Q1355" s="71">
        <v>42</v>
      </c>
      <c r="R1355" s="71">
        <v>94</v>
      </c>
      <c r="S1355" s="71" t="s">
        <v>115</v>
      </c>
      <c r="T1355" s="73" t="s">
        <v>4386</v>
      </c>
      <c r="U1355" s="71" t="s">
        <v>3394</v>
      </c>
      <c r="V1355" s="71" t="b">
        <v>0</v>
      </c>
    </row>
    <row r="1356" spans="1:22" ht="17.25">
      <c r="A1356" s="70">
        <v>973</v>
      </c>
      <c r="B1356" s="70" t="s">
        <v>1172</v>
      </c>
      <c r="C1356" s="70" t="s">
        <v>4793</v>
      </c>
      <c r="D1356" s="70" t="s">
        <v>1171</v>
      </c>
      <c r="E1356" s="70" t="s">
        <v>924</v>
      </c>
      <c r="F1356" s="71">
        <v>14</v>
      </c>
      <c r="G1356" s="71">
        <v>23</v>
      </c>
      <c r="H1356" s="72" t="s">
        <v>4315</v>
      </c>
      <c r="I1356" s="71" t="b">
        <v>0</v>
      </c>
      <c r="J1356" s="71">
        <v>65</v>
      </c>
      <c r="K1356" s="71">
        <v>50</v>
      </c>
      <c r="L1356" s="71">
        <v>70</v>
      </c>
      <c r="M1356" s="71">
        <v>5</v>
      </c>
      <c r="N1356" s="71">
        <v>58</v>
      </c>
      <c r="O1356" s="71">
        <v>0</v>
      </c>
      <c r="P1356" s="71">
        <v>11</v>
      </c>
      <c r="Q1356" s="71">
        <v>42</v>
      </c>
      <c r="R1356" s="71">
        <v>94</v>
      </c>
      <c r="S1356" s="71" t="s">
        <v>115</v>
      </c>
      <c r="T1356" s="73" t="s">
        <v>4386</v>
      </c>
      <c r="U1356" s="71" t="s">
        <v>3394</v>
      </c>
      <c r="V1356" s="71" t="b">
        <v>0</v>
      </c>
    </row>
    <row r="1357" spans="1:22" ht="17.25">
      <c r="A1357" s="70">
        <v>973</v>
      </c>
      <c r="B1357" s="70" t="s">
        <v>1172</v>
      </c>
      <c r="C1357" s="70" t="s">
        <v>4561</v>
      </c>
      <c r="D1357" s="70" t="s">
        <v>1171</v>
      </c>
      <c r="E1357" s="70" t="s">
        <v>924</v>
      </c>
      <c r="F1357" s="71">
        <v>14</v>
      </c>
      <c r="G1357" s="71">
        <v>23</v>
      </c>
      <c r="H1357" s="72" t="s">
        <v>4315</v>
      </c>
      <c r="I1357" s="71" t="b">
        <v>0</v>
      </c>
      <c r="J1357" s="71">
        <v>65</v>
      </c>
      <c r="K1357" s="71">
        <v>50</v>
      </c>
      <c r="L1357" s="71">
        <v>70</v>
      </c>
      <c r="M1357" s="71">
        <v>5</v>
      </c>
      <c r="N1357" s="71">
        <v>58</v>
      </c>
      <c r="O1357" s="71">
        <v>0</v>
      </c>
      <c r="P1357" s="71">
        <v>11</v>
      </c>
      <c r="Q1357" s="71">
        <v>42</v>
      </c>
      <c r="R1357" s="71">
        <v>94</v>
      </c>
      <c r="S1357" s="71" t="s">
        <v>115</v>
      </c>
      <c r="T1357" s="73" t="s">
        <v>4386</v>
      </c>
      <c r="U1357" s="71" t="s">
        <v>3394</v>
      </c>
      <c r="V1357" s="71" t="b">
        <v>0</v>
      </c>
    </row>
    <row r="1358" spans="1:22" ht="17.25">
      <c r="A1358" s="70">
        <v>973</v>
      </c>
      <c r="B1358" s="70" t="s">
        <v>1172</v>
      </c>
      <c r="C1358" s="70" t="s">
        <v>4523</v>
      </c>
      <c r="D1358" s="70" t="s">
        <v>1171</v>
      </c>
      <c r="E1358" s="70" t="s">
        <v>924</v>
      </c>
      <c r="F1358" s="71">
        <v>14</v>
      </c>
      <c r="G1358" s="71">
        <v>23</v>
      </c>
      <c r="H1358" s="72" t="s">
        <v>4315</v>
      </c>
      <c r="I1358" s="71" t="b">
        <v>0</v>
      </c>
      <c r="J1358" s="71">
        <v>65</v>
      </c>
      <c r="K1358" s="71">
        <v>50</v>
      </c>
      <c r="L1358" s="71">
        <v>70</v>
      </c>
      <c r="M1358" s="71">
        <v>5</v>
      </c>
      <c r="N1358" s="71">
        <v>58</v>
      </c>
      <c r="O1358" s="71">
        <v>0</v>
      </c>
      <c r="P1358" s="71">
        <v>11</v>
      </c>
      <c r="Q1358" s="71">
        <v>42</v>
      </c>
      <c r="R1358" s="71">
        <v>94</v>
      </c>
      <c r="S1358" s="71" t="s">
        <v>115</v>
      </c>
      <c r="T1358" s="73" t="s">
        <v>4386</v>
      </c>
      <c r="U1358" s="71" t="s">
        <v>3394</v>
      </c>
      <c r="V1358" s="71" t="b">
        <v>0</v>
      </c>
    </row>
    <row r="1359" spans="1:22" ht="17.25">
      <c r="A1359" s="70">
        <v>975</v>
      </c>
      <c r="B1359" s="70" t="s">
        <v>1169</v>
      </c>
      <c r="C1359" s="70" t="s">
        <v>37</v>
      </c>
      <c r="D1359" s="70" t="s">
        <v>1168</v>
      </c>
      <c r="E1359" s="70" t="s">
        <v>35</v>
      </c>
      <c r="F1359" s="71">
        <v>39</v>
      </c>
      <c r="G1359" s="71">
        <v>50</v>
      </c>
      <c r="H1359" s="72">
        <v>0.1388888888888889</v>
      </c>
      <c r="I1359" s="71" t="b">
        <v>0</v>
      </c>
      <c r="J1359" s="71">
        <v>80</v>
      </c>
      <c r="K1359" s="71">
        <v>67</v>
      </c>
      <c r="L1359" s="71">
        <v>93</v>
      </c>
      <c r="M1359" s="71">
        <v>3</v>
      </c>
      <c r="N1359" s="71">
        <v>0</v>
      </c>
      <c r="O1359" s="71">
        <v>0</v>
      </c>
      <c r="P1359" s="71">
        <v>9</v>
      </c>
      <c r="Q1359" s="71">
        <v>88</v>
      </c>
      <c r="R1359" s="71">
        <v>125</v>
      </c>
      <c r="S1359" s="71" t="s">
        <v>34</v>
      </c>
      <c r="T1359" s="73">
        <v>39234</v>
      </c>
      <c r="U1359" s="71" t="s">
        <v>3600</v>
      </c>
      <c r="V1359" s="71" t="b">
        <v>0</v>
      </c>
    </row>
    <row r="1360" spans="1:22" ht="17.25">
      <c r="A1360" s="70">
        <v>976</v>
      </c>
      <c r="B1360" s="70" t="s">
        <v>1167</v>
      </c>
      <c r="C1360" s="70" t="s">
        <v>589</v>
      </c>
      <c r="D1360" s="70" t="s">
        <v>1166</v>
      </c>
      <c r="E1360" s="70" t="s">
        <v>171</v>
      </c>
      <c r="F1360" s="71">
        <v>189</v>
      </c>
      <c r="G1360" s="71">
        <v>1</v>
      </c>
      <c r="H1360" s="72" t="s">
        <v>4315</v>
      </c>
      <c r="I1360" s="71" t="b">
        <v>0</v>
      </c>
      <c r="J1360" s="71">
        <v>81</v>
      </c>
      <c r="K1360" s="71">
        <v>65</v>
      </c>
      <c r="L1360" s="71">
        <v>72</v>
      </c>
      <c r="M1360" s="71">
        <v>7</v>
      </c>
      <c r="N1360" s="71">
        <v>24</v>
      </c>
      <c r="O1360" s="71">
        <v>0</v>
      </c>
      <c r="P1360" s="71">
        <v>11</v>
      </c>
      <c r="Q1360" s="71">
        <v>70</v>
      </c>
      <c r="R1360" s="71">
        <v>96</v>
      </c>
      <c r="S1360" s="71" t="s">
        <v>128</v>
      </c>
      <c r="T1360" s="73" t="s">
        <v>4329</v>
      </c>
      <c r="U1360" s="71" t="s">
        <v>4075</v>
      </c>
      <c r="V1360" s="71" t="b">
        <v>0</v>
      </c>
    </row>
    <row r="1361" spans="1:22" ht="17.25">
      <c r="A1361" s="70">
        <v>976</v>
      </c>
      <c r="B1361" s="70" t="s">
        <v>1167</v>
      </c>
      <c r="C1361" s="70" t="s">
        <v>4794</v>
      </c>
      <c r="D1361" s="70" t="s">
        <v>1166</v>
      </c>
      <c r="E1361" s="70" t="s">
        <v>171</v>
      </c>
      <c r="F1361" s="71">
        <v>189</v>
      </c>
      <c r="G1361" s="71">
        <v>1</v>
      </c>
      <c r="H1361" s="72" t="s">
        <v>4315</v>
      </c>
      <c r="I1361" s="71" t="b">
        <v>0</v>
      </c>
      <c r="J1361" s="71">
        <v>81</v>
      </c>
      <c r="K1361" s="71">
        <v>65</v>
      </c>
      <c r="L1361" s="71">
        <v>72</v>
      </c>
      <c r="M1361" s="71">
        <v>7</v>
      </c>
      <c r="N1361" s="71">
        <v>24</v>
      </c>
      <c r="O1361" s="71">
        <v>0</v>
      </c>
      <c r="P1361" s="71">
        <v>11</v>
      </c>
      <c r="Q1361" s="71">
        <v>70</v>
      </c>
      <c r="R1361" s="71">
        <v>96</v>
      </c>
      <c r="S1361" s="71" t="s">
        <v>128</v>
      </c>
      <c r="T1361" s="73" t="s">
        <v>4329</v>
      </c>
      <c r="U1361" s="71" t="s">
        <v>4075</v>
      </c>
      <c r="V1361" s="71" t="b">
        <v>0</v>
      </c>
    </row>
    <row r="1362" spans="1:22" ht="17.25">
      <c r="A1362" s="70">
        <v>979</v>
      </c>
      <c r="B1362" s="70" t="s">
        <v>1163</v>
      </c>
      <c r="C1362" s="70" t="s">
        <v>511</v>
      </c>
      <c r="D1362" s="70" t="s">
        <v>1162</v>
      </c>
      <c r="E1362" s="70" t="s">
        <v>124</v>
      </c>
      <c r="F1362" s="71">
        <v>4</v>
      </c>
      <c r="G1362" s="71">
        <v>30</v>
      </c>
      <c r="H1362" s="72">
        <v>0.13750000000000001</v>
      </c>
      <c r="I1362" s="71" t="b">
        <v>0</v>
      </c>
      <c r="J1362" s="71">
        <v>57</v>
      </c>
      <c r="K1362" s="71">
        <v>72</v>
      </c>
      <c r="L1362" s="71">
        <v>90</v>
      </c>
      <c r="M1362" s="71">
        <v>4</v>
      </c>
      <c r="N1362" s="71">
        <v>1</v>
      </c>
      <c r="O1362" s="71">
        <v>0</v>
      </c>
      <c r="P1362" s="71">
        <v>37</v>
      </c>
      <c r="Q1362" s="71">
        <v>45</v>
      </c>
      <c r="R1362" s="71">
        <v>81</v>
      </c>
      <c r="S1362" s="71" t="s">
        <v>115</v>
      </c>
      <c r="T1362" s="73">
        <v>44155</v>
      </c>
      <c r="U1362" s="71" t="s">
        <v>4076</v>
      </c>
      <c r="V1362" s="71" t="b">
        <v>0</v>
      </c>
    </row>
    <row r="1363" spans="1:22" ht="17.25">
      <c r="A1363" s="70">
        <v>980</v>
      </c>
      <c r="B1363" s="70" t="s">
        <v>1161</v>
      </c>
      <c r="C1363" s="70" t="s">
        <v>1031</v>
      </c>
      <c r="D1363" s="70" t="s">
        <v>1160</v>
      </c>
      <c r="E1363" s="70" t="s">
        <v>1029</v>
      </c>
      <c r="F1363" s="71">
        <v>95</v>
      </c>
      <c r="G1363" s="71">
        <v>157</v>
      </c>
      <c r="H1363" s="72">
        <v>0.18888888888888888</v>
      </c>
      <c r="I1363" s="71" t="b">
        <v>0</v>
      </c>
      <c r="J1363" s="71">
        <v>55</v>
      </c>
      <c r="K1363" s="71">
        <v>53</v>
      </c>
      <c r="L1363" s="71">
        <v>87</v>
      </c>
      <c r="M1363" s="71">
        <v>3</v>
      </c>
      <c r="N1363" s="71">
        <v>19</v>
      </c>
      <c r="O1363" s="71">
        <v>0</v>
      </c>
      <c r="P1363" s="71">
        <v>22</v>
      </c>
      <c r="Q1363" s="71">
        <v>40</v>
      </c>
      <c r="R1363" s="71">
        <v>85</v>
      </c>
      <c r="S1363" s="71" t="s">
        <v>1028</v>
      </c>
      <c r="T1363" s="73">
        <v>41444</v>
      </c>
      <c r="U1363" s="71" t="s">
        <v>4077</v>
      </c>
      <c r="V1363" s="71" t="b">
        <v>0</v>
      </c>
    </row>
    <row r="1364" spans="1:22" ht="17.25">
      <c r="A1364" s="70">
        <v>981</v>
      </c>
      <c r="B1364" s="70" t="s">
        <v>1159</v>
      </c>
      <c r="C1364" s="70" t="s">
        <v>1158</v>
      </c>
      <c r="D1364" s="70" t="s">
        <v>1157</v>
      </c>
      <c r="E1364" s="70" t="s">
        <v>124</v>
      </c>
      <c r="F1364" s="71">
        <v>27</v>
      </c>
      <c r="G1364" s="71">
        <v>8</v>
      </c>
      <c r="H1364" s="72">
        <v>0.13750000000000001</v>
      </c>
      <c r="I1364" s="71" t="b">
        <v>0</v>
      </c>
      <c r="J1364" s="71">
        <v>80</v>
      </c>
      <c r="K1364" s="71">
        <v>80</v>
      </c>
      <c r="L1364" s="71">
        <v>92</v>
      </c>
      <c r="M1364" s="71">
        <v>4</v>
      </c>
      <c r="N1364" s="71">
        <v>3</v>
      </c>
      <c r="O1364" s="71">
        <v>0</v>
      </c>
      <c r="P1364" s="71">
        <v>5</v>
      </c>
      <c r="Q1364" s="71">
        <v>96</v>
      </c>
      <c r="R1364" s="71">
        <v>138</v>
      </c>
      <c r="S1364" s="71" t="s">
        <v>115</v>
      </c>
      <c r="T1364" s="73">
        <v>45737</v>
      </c>
      <c r="U1364" s="71" t="s">
        <v>4078</v>
      </c>
      <c r="V1364" s="71" t="b">
        <v>0</v>
      </c>
    </row>
    <row r="1365" spans="1:22" ht="17.25">
      <c r="A1365" s="70">
        <v>982</v>
      </c>
      <c r="B1365" s="70" t="s">
        <v>1156</v>
      </c>
      <c r="C1365" s="70" t="s">
        <v>32</v>
      </c>
      <c r="D1365" s="70" t="s">
        <v>1155</v>
      </c>
      <c r="E1365" s="70" t="s">
        <v>30</v>
      </c>
      <c r="F1365" s="71">
        <v>3</v>
      </c>
      <c r="G1365" s="71">
        <v>61</v>
      </c>
      <c r="H1365" s="72">
        <v>0.10902777777777778</v>
      </c>
      <c r="I1365" s="71" t="b">
        <v>0</v>
      </c>
      <c r="J1365" s="71">
        <v>67</v>
      </c>
      <c r="K1365" s="71">
        <v>91</v>
      </c>
      <c r="L1365" s="71">
        <v>93</v>
      </c>
      <c r="M1365" s="71">
        <v>6</v>
      </c>
      <c r="N1365" s="71">
        <v>10</v>
      </c>
      <c r="O1365" s="71">
        <v>0</v>
      </c>
      <c r="P1365" s="71">
        <v>30</v>
      </c>
      <c r="Q1365" s="71">
        <v>72</v>
      </c>
      <c r="R1365" s="71">
        <v>113</v>
      </c>
      <c r="S1365" s="71" t="s">
        <v>96</v>
      </c>
      <c r="T1365" s="73">
        <v>45527</v>
      </c>
      <c r="U1365" s="71" t="s">
        <v>3621</v>
      </c>
      <c r="V1365" s="71" t="b">
        <v>0</v>
      </c>
    </row>
    <row r="1366" spans="1:22" ht="17.25">
      <c r="A1366" s="70">
        <v>983</v>
      </c>
      <c r="B1366" s="70" t="s">
        <v>1154</v>
      </c>
      <c r="C1366" s="70" t="s">
        <v>1153</v>
      </c>
      <c r="D1366" s="70" t="s">
        <v>1152</v>
      </c>
      <c r="E1366" s="70" t="s">
        <v>428</v>
      </c>
      <c r="F1366" s="71">
        <v>85</v>
      </c>
      <c r="G1366" s="71">
        <v>5</v>
      </c>
      <c r="H1366" s="72">
        <v>0.10277777777777777</v>
      </c>
      <c r="I1366" s="71" t="b">
        <v>0</v>
      </c>
      <c r="J1366" s="71">
        <v>55</v>
      </c>
      <c r="K1366" s="71">
        <v>50</v>
      </c>
      <c r="L1366" s="71">
        <v>73</v>
      </c>
      <c r="M1366" s="71">
        <v>4</v>
      </c>
      <c r="N1366" s="71">
        <v>55</v>
      </c>
      <c r="O1366" s="71">
        <v>0</v>
      </c>
      <c r="P1366" s="71">
        <v>15</v>
      </c>
      <c r="Q1366" s="71">
        <v>72</v>
      </c>
      <c r="R1366" s="71">
        <v>120</v>
      </c>
      <c r="S1366" s="71" t="s">
        <v>96</v>
      </c>
      <c r="T1366" s="73">
        <v>22647</v>
      </c>
      <c r="U1366" s="71" t="s">
        <v>4079</v>
      </c>
      <c r="V1366" s="71" t="b">
        <v>0</v>
      </c>
    </row>
    <row r="1367" spans="1:22" ht="17.25">
      <c r="A1367" s="70">
        <v>984</v>
      </c>
      <c r="B1367" s="70" t="s">
        <v>1151</v>
      </c>
      <c r="C1367" s="70" t="s">
        <v>4795</v>
      </c>
      <c r="D1367" s="70" t="s">
        <v>1150</v>
      </c>
      <c r="E1367" s="70" t="s">
        <v>52</v>
      </c>
      <c r="F1367" s="71">
        <v>47</v>
      </c>
      <c r="G1367" s="71">
        <v>4</v>
      </c>
      <c r="H1367" s="72">
        <v>0.15763888888888888</v>
      </c>
      <c r="I1367" s="71" t="b">
        <v>0</v>
      </c>
      <c r="J1367" s="71">
        <v>74</v>
      </c>
      <c r="K1367" s="71">
        <v>81</v>
      </c>
      <c r="L1367" s="71">
        <v>92</v>
      </c>
      <c r="M1367" s="71">
        <v>7</v>
      </c>
      <c r="N1367" s="71">
        <v>2</v>
      </c>
      <c r="O1367" s="71">
        <v>0</v>
      </c>
      <c r="P1367" s="71">
        <v>30</v>
      </c>
      <c r="Q1367" s="71">
        <v>63</v>
      </c>
      <c r="R1367" s="71">
        <v>97</v>
      </c>
      <c r="S1367" s="71" t="s">
        <v>96</v>
      </c>
      <c r="T1367" s="73">
        <v>40337</v>
      </c>
      <c r="U1367" s="71" t="s">
        <v>4080</v>
      </c>
      <c r="V1367" s="71" t="b">
        <v>0</v>
      </c>
    </row>
    <row r="1368" spans="1:22" ht="17.25">
      <c r="A1368" s="70">
        <v>984</v>
      </c>
      <c r="B1368" s="70" t="s">
        <v>1151</v>
      </c>
      <c r="C1368" s="70" t="s">
        <v>54</v>
      </c>
      <c r="D1368" s="70" t="s">
        <v>1150</v>
      </c>
      <c r="E1368" s="70" t="s">
        <v>52</v>
      </c>
      <c r="F1368" s="71">
        <v>47</v>
      </c>
      <c r="G1368" s="71">
        <v>4</v>
      </c>
      <c r="H1368" s="72">
        <v>0.15763888888888888</v>
      </c>
      <c r="I1368" s="71" t="b">
        <v>0</v>
      </c>
      <c r="J1368" s="71">
        <v>74</v>
      </c>
      <c r="K1368" s="71">
        <v>81</v>
      </c>
      <c r="L1368" s="71">
        <v>92</v>
      </c>
      <c r="M1368" s="71">
        <v>7</v>
      </c>
      <c r="N1368" s="71">
        <v>2</v>
      </c>
      <c r="O1368" s="71">
        <v>0</v>
      </c>
      <c r="P1368" s="71">
        <v>30</v>
      </c>
      <c r="Q1368" s="71">
        <v>63</v>
      </c>
      <c r="R1368" s="71">
        <v>97</v>
      </c>
      <c r="S1368" s="71" t="s">
        <v>96</v>
      </c>
      <c r="T1368" s="73">
        <v>40337</v>
      </c>
      <c r="U1368" s="71" t="s">
        <v>4080</v>
      </c>
      <c r="V1368" s="71" t="b">
        <v>0</v>
      </c>
    </row>
    <row r="1369" spans="1:22" ht="17.25">
      <c r="A1369" s="70">
        <v>985</v>
      </c>
      <c r="B1369" s="70" t="s">
        <v>1149</v>
      </c>
      <c r="C1369" s="70" t="s">
        <v>1115</v>
      </c>
      <c r="D1369" s="70" t="s">
        <v>1148</v>
      </c>
      <c r="E1369" s="70" t="s">
        <v>1113</v>
      </c>
      <c r="F1369" s="71">
        <v>1</v>
      </c>
      <c r="G1369" s="71">
        <v>28</v>
      </c>
      <c r="H1369" s="72" t="s">
        <v>4317</v>
      </c>
      <c r="I1369" s="71" t="b">
        <v>0</v>
      </c>
      <c r="J1369" s="71">
        <v>84</v>
      </c>
      <c r="K1369" s="71">
        <v>83</v>
      </c>
      <c r="L1369" s="71">
        <v>78</v>
      </c>
      <c r="M1369" s="71">
        <v>10</v>
      </c>
      <c r="N1369" s="71">
        <v>8</v>
      </c>
      <c r="O1369" s="71">
        <v>0</v>
      </c>
      <c r="P1369" s="71">
        <v>24</v>
      </c>
      <c r="Q1369" s="71">
        <v>79</v>
      </c>
      <c r="R1369" s="71">
        <v>128</v>
      </c>
      <c r="S1369" s="71" t="s">
        <v>115</v>
      </c>
      <c r="T1369" s="73" t="s">
        <v>4341</v>
      </c>
      <c r="U1369" s="71" t="s">
        <v>4081</v>
      </c>
      <c r="V1369" s="71" t="b">
        <v>0</v>
      </c>
    </row>
    <row r="1370" spans="1:22" ht="17.25">
      <c r="A1370" s="70">
        <v>987</v>
      </c>
      <c r="B1370" s="70" t="s">
        <v>1146</v>
      </c>
      <c r="C1370" s="70" t="s">
        <v>862</v>
      </c>
      <c r="D1370" s="70" t="s">
        <v>1145</v>
      </c>
      <c r="E1370" s="70" t="s">
        <v>120</v>
      </c>
      <c r="F1370" s="71">
        <v>88</v>
      </c>
      <c r="G1370" s="71">
        <v>1</v>
      </c>
      <c r="H1370" s="72" t="s">
        <v>4320</v>
      </c>
      <c r="I1370" s="71" t="b">
        <v>0</v>
      </c>
      <c r="J1370" s="71">
        <v>55</v>
      </c>
      <c r="K1370" s="71">
        <v>84</v>
      </c>
      <c r="L1370" s="71">
        <v>77</v>
      </c>
      <c r="M1370" s="71">
        <v>7</v>
      </c>
      <c r="N1370" s="71">
        <v>8</v>
      </c>
      <c r="O1370" s="71">
        <v>1</v>
      </c>
      <c r="P1370" s="71">
        <v>18</v>
      </c>
      <c r="Q1370" s="71">
        <v>43</v>
      </c>
      <c r="R1370" s="71">
        <v>155</v>
      </c>
      <c r="S1370" s="71" t="s">
        <v>860</v>
      </c>
      <c r="T1370" s="73" t="s">
        <v>4339</v>
      </c>
      <c r="U1370" s="71" t="s">
        <v>4082</v>
      </c>
      <c r="V1370" s="71" t="b">
        <v>0</v>
      </c>
    </row>
    <row r="1371" spans="1:22" ht="17.25">
      <c r="A1371" s="70">
        <v>990</v>
      </c>
      <c r="B1371" s="70" t="s">
        <v>1139</v>
      </c>
      <c r="C1371" s="70" t="s">
        <v>221</v>
      </c>
      <c r="D1371" s="70" t="s">
        <v>1138</v>
      </c>
      <c r="E1371" s="70" t="s">
        <v>1137</v>
      </c>
      <c r="F1371" s="71">
        <v>3</v>
      </c>
      <c r="G1371" s="71">
        <v>69</v>
      </c>
      <c r="H1371" s="72">
        <v>0.12361111111111112</v>
      </c>
      <c r="I1371" s="71" t="b">
        <v>1</v>
      </c>
      <c r="J1371" s="71">
        <v>64</v>
      </c>
      <c r="K1371" s="71">
        <v>87</v>
      </c>
      <c r="L1371" s="71">
        <v>92</v>
      </c>
      <c r="M1371" s="71">
        <v>3</v>
      </c>
      <c r="N1371" s="71">
        <v>1</v>
      </c>
      <c r="O1371" s="71">
        <v>0</v>
      </c>
      <c r="P1371" s="71">
        <v>23</v>
      </c>
      <c r="Q1371" s="71">
        <v>75</v>
      </c>
      <c r="R1371" s="71">
        <v>128</v>
      </c>
      <c r="S1371" s="71" t="s">
        <v>143</v>
      </c>
      <c r="T1371" s="73">
        <v>45422</v>
      </c>
      <c r="U1371" s="71" t="s">
        <v>4083</v>
      </c>
      <c r="V1371" s="71" t="b">
        <v>0</v>
      </c>
    </row>
    <row r="1372" spans="1:22" ht="17.25">
      <c r="A1372" s="70">
        <v>990</v>
      </c>
      <c r="B1372" s="70" t="s">
        <v>1139</v>
      </c>
      <c r="C1372" s="70" t="s">
        <v>2556</v>
      </c>
      <c r="D1372" s="70" t="s">
        <v>1138</v>
      </c>
      <c r="E1372" s="70" t="s">
        <v>1137</v>
      </c>
      <c r="F1372" s="71">
        <v>3</v>
      </c>
      <c r="G1372" s="71">
        <v>69</v>
      </c>
      <c r="H1372" s="72">
        <v>0.12361111111111112</v>
      </c>
      <c r="I1372" s="71" t="b">
        <v>1</v>
      </c>
      <c r="J1372" s="71">
        <v>64</v>
      </c>
      <c r="K1372" s="71">
        <v>87</v>
      </c>
      <c r="L1372" s="71">
        <v>92</v>
      </c>
      <c r="M1372" s="71">
        <v>3</v>
      </c>
      <c r="N1372" s="71">
        <v>1</v>
      </c>
      <c r="O1372" s="71">
        <v>0</v>
      </c>
      <c r="P1372" s="71">
        <v>23</v>
      </c>
      <c r="Q1372" s="71">
        <v>75</v>
      </c>
      <c r="R1372" s="71">
        <v>128</v>
      </c>
      <c r="S1372" s="71" t="s">
        <v>143</v>
      </c>
      <c r="T1372" s="73">
        <v>45422</v>
      </c>
      <c r="U1372" s="71" t="s">
        <v>4083</v>
      </c>
      <c r="V1372" s="71" t="b">
        <v>0</v>
      </c>
    </row>
    <row r="1373" spans="1:22" ht="17.25">
      <c r="A1373" s="70">
        <v>991</v>
      </c>
      <c r="B1373" s="70" t="s">
        <v>1136</v>
      </c>
      <c r="C1373" s="70" t="s">
        <v>705</v>
      </c>
      <c r="D1373" s="70" t="s">
        <v>1135</v>
      </c>
      <c r="E1373" s="70" t="s">
        <v>133</v>
      </c>
      <c r="F1373" s="71">
        <v>59</v>
      </c>
      <c r="G1373" s="71">
        <v>1</v>
      </c>
      <c r="H1373" s="72">
        <v>0.12847222222222221</v>
      </c>
      <c r="I1373" s="71" t="b">
        <v>0</v>
      </c>
      <c r="J1373" s="71">
        <v>56</v>
      </c>
      <c r="K1373" s="71">
        <v>84</v>
      </c>
      <c r="L1373" s="71">
        <v>92</v>
      </c>
      <c r="M1373" s="71">
        <v>3</v>
      </c>
      <c r="N1373" s="71">
        <v>0</v>
      </c>
      <c r="O1373" s="71">
        <v>0</v>
      </c>
      <c r="P1373" s="71">
        <v>8</v>
      </c>
      <c r="Q1373" s="71">
        <v>60</v>
      </c>
      <c r="R1373" s="71">
        <v>112</v>
      </c>
      <c r="S1373" s="71" t="s">
        <v>96</v>
      </c>
      <c r="T1373" s="73">
        <v>45723</v>
      </c>
      <c r="U1373" s="71" t="s">
        <v>3418</v>
      </c>
      <c r="V1373" s="71" t="b">
        <v>0</v>
      </c>
    </row>
    <row r="1374" spans="1:22" ht="17.25">
      <c r="A1374" s="70">
        <v>992</v>
      </c>
      <c r="B1374" s="70" t="s">
        <v>1134</v>
      </c>
      <c r="C1374" s="70" t="s">
        <v>430</v>
      </c>
      <c r="D1374" s="70" t="s">
        <v>1133</v>
      </c>
      <c r="E1374" s="70" t="s">
        <v>428</v>
      </c>
      <c r="F1374" s="71">
        <v>156</v>
      </c>
      <c r="G1374" s="71">
        <v>7</v>
      </c>
      <c r="H1374" s="72">
        <v>0.16388888888888889</v>
      </c>
      <c r="I1374" s="71" t="b">
        <v>0</v>
      </c>
      <c r="J1374" s="71">
        <v>49</v>
      </c>
      <c r="K1374" s="71">
        <v>71</v>
      </c>
      <c r="L1374" s="71">
        <v>93</v>
      </c>
      <c r="M1374" s="71">
        <v>3</v>
      </c>
      <c r="N1374" s="71">
        <v>1</v>
      </c>
      <c r="O1374" s="71">
        <v>0</v>
      </c>
      <c r="P1374" s="71">
        <v>8</v>
      </c>
      <c r="Q1374" s="71">
        <v>24</v>
      </c>
      <c r="R1374" s="71">
        <v>99</v>
      </c>
      <c r="S1374" s="71" t="s">
        <v>96</v>
      </c>
      <c r="T1374" s="73">
        <v>41912</v>
      </c>
      <c r="U1374" s="71" t="s">
        <v>4084</v>
      </c>
      <c r="V1374" s="71" t="b">
        <v>0</v>
      </c>
    </row>
    <row r="1375" spans="1:22" ht="17.25">
      <c r="A1375" s="70">
        <v>992</v>
      </c>
      <c r="B1375" s="70" t="s">
        <v>1134</v>
      </c>
      <c r="C1375" s="70" t="s">
        <v>237</v>
      </c>
      <c r="D1375" s="70" t="s">
        <v>1133</v>
      </c>
      <c r="E1375" s="70" t="s">
        <v>428</v>
      </c>
      <c r="F1375" s="71">
        <v>156</v>
      </c>
      <c r="G1375" s="71">
        <v>7</v>
      </c>
      <c r="H1375" s="72">
        <v>0.16388888888888889</v>
      </c>
      <c r="I1375" s="71" t="b">
        <v>0</v>
      </c>
      <c r="J1375" s="71">
        <v>49</v>
      </c>
      <c r="K1375" s="71">
        <v>71</v>
      </c>
      <c r="L1375" s="71">
        <v>93</v>
      </c>
      <c r="M1375" s="71">
        <v>3</v>
      </c>
      <c r="N1375" s="71">
        <v>1</v>
      </c>
      <c r="O1375" s="71">
        <v>0</v>
      </c>
      <c r="P1375" s="71">
        <v>8</v>
      </c>
      <c r="Q1375" s="71">
        <v>24</v>
      </c>
      <c r="R1375" s="71">
        <v>99</v>
      </c>
      <c r="S1375" s="71" t="s">
        <v>96</v>
      </c>
      <c r="T1375" s="73">
        <v>41912</v>
      </c>
      <c r="U1375" s="71" t="s">
        <v>4084</v>
      </c>
      <c r="V1375" s="71" t="b">
        <v>0</v>
      </c>
    </row>
    <row r="1376" spans="1:22" ht="17.25">
      <c r="A1376" s="70">
        <v>993</v>
      </c>
      <c r="B1376" s="70" t="s">
        <v>1132</v>
      </c>
      <c r="C1376" s="70" t="s">
        <v>430</v>
      </c>
      <c r="D1376" s="70" t="s">
        <v>1131</v>
      </c>
      <c r="E1376" s="70" t="s">
        <v>75</v>
      </c>
      <c r="F1376" s="71">
        <v>57</v>
      </c>
      <c r="G1376" s="71">
        <v>1</v>
      </c>
      <c r="H1376" s="72" t="s">
        <v>4317</v>
      </c>
      <c r="I1376" s="71" t="b">
        <v>0</v>
      </c>
      <c r="J1376" s="71">
        <v>66</v>
      </c>
      <c r="K1376" s="71">
        <v>46</v>
      </c>
      <c r="L1376" s="71">
        <v>71</v>
      </c>
      <c r="M1376" s="71">
        <v>6</v>
      </c>
      <c r="N1376" s="71">
        <v>49</v>
      </c>
      <c r="O1376" s="71">
        <v>0</v>
      </c>
      <c r="P1376" s="71">
        <v>14</v>
      </c>
      <c r="Q1376" s="71">
        <v>41</v>
      </c>
      <c r="R1376" s="71">
        <v>140</v>
      </c>
      <c r="S1376" s="71" t="s">
        <v>96</v>
      </c>
      <c r="T1376" s="73" t="s">
        <v>4319</v>
      </c>
      <c r="U1376" s="71" t="s">
        <v>3451</v>
      </c>
      <c r="V1376" s="71" t="b">
        <v>0</v>
      </c>
    </row>
    <row r="1377" spans="1:22" ht="17.25">
      <c r="A1377" s="70">
        <v>994</v>
      </c>
      <c r="B1377" s="70" t="s">
        <v>1130</v>
      </c>
      <c r="C1377" s="70" t="s">
        <v>436</v>
      </c>
      <c r="D1377" s="70" t="s">
        <v>1129</v>
      </c>
      <c r="E1377" s="70" t="s">
        <v>488</v>
      </c>
      <c r="F1377" s="71">
        <v>88</v>
      </c>
      <c r="G1377" s="71">
        <v>16</v>
      </c>
      <c r="H1377" s="72" t="s">
        <v>4315</v>
      </c>
      <c r="I1377" s="71" t="b">
        <v>1</v>
      </c>
      <c r="J1377" s="71">
        <v>76</v>
      </c>
      <c r="K1377" s="71">
        <v>70</v>
      </c>
      <c r="L1377" s="71">
        <v>74</v>
      </c>
      <c r="M1377" s="71">
        <v>5</v>
      </c>
      <c r="N1377" s="71">
        <v>23</v>
      </c>
      <c r="O1377" s="71">
        <v>0</v>
      </c>
      <c r="P1377" s="71">
        <v>15</v>
      </c>
      <c r="Q1377" s="71">
        <v>86</v>
      </c>
      <c r="R1377" s="71">
        <v>148</v>
      </c>
      <c r="S1377" s="71" t="s">
        <v>61</v>
      </c>
      <c r="T1377" s="73" t="s">
        <v>4388</v>
      </c>
      <c r="U1377" s="71" t="s">
        <v>4085</v>
      </c>
      <c r="V1377" s="71" t="b">
        <v>0</v>
      </c>
    </row>
    <row r="1378" spans="1:22" ht="17.25">
      <c r="A1378" s="70">
        <v>994</v>
      </c>
      <c r="B1378" s="70" t="s">
        <v>1130</v>
      </c>
      <c r="C1378" s="70" t="s">
        <v>4524</v>
      </c>
      <c r="D1378" s="70" t="s">
        <v>1129</v>
      </c>
      <c r="E1378" s="70" t="s">
        <v>488</v>
      </c>
      <c r="F1378" s="71">
        <v>88</v>
      </c>
      <c r="G1378" s="71">
        <v>16</v>
      </c>
      <c r="H1378" s="72" t="s">
        <v>4315</v>
      </c>
      <c r="I1378" s="71" t="b">
        <v>1</v>
      </c>
      <c r="J1378" s="71">
        <v>76</v>
      </c>
      <c r="K1378" s="71">
        <v>70</v>
      </c>
      <c r="L1378" s="71">
        <v>74</v>
      </c>
      <c r="M1378" s="71">
        <v>5</v>
      </c>
      <c r="N1378" s="71">
        <v>23</v>
      </c>
      <c r="O1378" s="71">
        <v>0</v>
      </c>
      <c r="P1378" s="71">
        <v>15</v>
      </c>
      <c r="Q1378" s="71">
        <v>86</v>
      </c>
      <c r="R1378" s="71">
        <v>148</v>
      </c>
      <c r="S1378" s="71" t="s">
        <v>61</v>
      </c>
      <c r="T1378" s="73" t="s">
        <v>4388</v>
      </c>
      <c r="U1378" s="71" t="s">
        <v>4085</v>
      </c>
      <c r="V1378" s="71" t="b">
        <v>0</v>
      </c>
    </row>
    <row r="1379" spans="1:22" ht="17.25">
      <c r="A1379" s="70">
        <v>994</v>
      </c>
      <c r="B1379" s="70" t="s">
        <v>1130</v>
      </c>
      <c r="C1379" s="70" t="s">
        <v>419</v>
      </c>
      <c r="D1379" s="70" t="s">
        <v>1129</v>
      </c>
      <c r="E1379" s="70" t="s">
        <v>488</v>
      </c>
      <c r="F1379" s="71">
        <v>88</v>
      </c>
      <c r="G1379" s="71">
        <v>16</v>
      </c>
      <c r="H1379" s="72" t="s">
        <v>4315</v>
      </c>
      <c r="I1379" s="71" t="b">
        <v>1</v>
      </c>
      <c r="J1379" s="71">
        <v>76</v>
      </c>
      <c r="K1379" s="71">
        <v>70</v>
      </c>
      <c r="L1379" s="71">
        <v>74</v>
      </c>
      <c r="M1379" s="71">
        <v>5</v>
      </c>
      <c r="N1379" s="71">
        <v>23</v>
      </c>
      <c r="O1379" s="71">
        <v>0</v>
      </c>
      <c r="P1379" s="71">
        <v>15</v>
      </c>
      <c r="Q1379" s="71">
        <v>86</v>
      </c>
      <c r="R1379" s="71">
        <v>148</v>
      </c>
      <c r="S1379" s="71" t="s">
        <v>61</v>
      </c>
      <c r="T1379" s="73" t="s">
        <v>4388</v>
      </c>
      <c r="U1379" s="71" t="s">
        <v>4085</v>
      </c>
      <c r="V1379" s="71" t="b">
        <v>0</v>
      </c>
    </row>
    <row r="1380" spans="1:22" ht="17.25">
      <c r="A1380" s="70">
        <v>994</v>
      </c>
      <c r="B1380" s="70" t="s">
        <v>1130</v>
      </c>
      <c r="C1380" s="70" t="s">
        <v>4545</v>
      </c>
      <c r="D1380" s="70" t="s">
        <v>1129</v>
      </c>
      <c r="E1380" s="70" t="s">
        <v>488</v>
      </c>
      <c r="F1380" s="71">
        <v>88</v>
      </c>
      <c r="G1380" s="71">
        <v>16</v>
      </c>
      <c r="H1380" s="72" t="s">
        <v>4315</v>
      </c>
      <c r="I1380" s="71" t="b">
        <v>1</v>
      </c>
      <c r="J1380" s="71">
        <v>76</v>
      </c>
      <c r="K1380" s="71">
        <v>70</v>
      </c>
      <c r="L1380" s="71">
        <v>74</v>
      </c>
      <c r="M1380" s="71">
        <v>5</v>
      </c>
      <c r="N1380" s="71">
        <v>23</v>
      </c>
      <c r="O1380" s="71">
        <v>0</v>
      </c>
      <c r="P1380" s="71">
        <v>15</v>
      </c>
      <c r="Q1380" s="71">
        <v>86</v>
      </c>
      <c r="R1380" s="71">
        <v>148</v>
      </c>
      <c r="S1380" s="71" t="s">
        <v>61</v>
      </c>
      <c r="T1380" s="73" t="s">
        <v>4388</v>
      </c>
      <c r="U1380" s="71" t="s">
        <v>4085</v>
      </c>
      <c r="V1380" s="71" t="b">
        <v>0</v>
      </c>
    </row>
    <row r="1381" spans="1:22" ht="17.25">
      <c r="A1381" s="70">
        <v>995</v>
      </c>
      <c r="B1381" s="70" t="s">
        <v>1128</v>
      </c>
      <c r="C1381" s="70" t="s">
        <v>645</v>
      </c>
      <c r="D1381" s="70" t="s">
        <v>1127</v>
      </c>
      <c r="E1381" s="70" t="s">
        <v>643</v>
      </c>
      <c r="F1381" s="71">
        <v>117</v>
      </c>
      <c r="G1381" s="71">
        <v>9</v>
      </c>
      <c r="H1381" s="72">
        <v>0.12361111111111112</v>
      </c>
      <c r="I1381" s="71" t="b">
        <v>0</v>
      </c>
      <c r="J1381" s="71">
        <v>47</v>
      </c>
      <c r="K1381" s="71">
        <v>54</v>
      </c>
      <c r="L1381" s="71">
        <v>77</v>
      </c>
      <c r="M1381" s="71">
        <v>6</v>
      </c>
      <c r="N1381" s="71">
        <v>30</v>
      </c>
      <c r="O1381" s="71">
        <v>0</v>
      </c>
      <c r="P1381" s="71">
        <v>37</v>
      </c>
      <c r="Q1381" s="71">
        <v>88</v>
      </c>
      <c r="R1381" s="71">
        <v>197</v>
      </c>
      <c r="S1381" s="71" t="s">
        <v>1126</v>
      </c>
      <c r="T1381" s="73">
        <v>25483</v>
      </c>
      <c r="U1381" s="71" t="s">
        <v>4086</v>
      </c>
      <c r="V1381" s="71" t="b">
        <v>0</v>
      </c>
    </row>
    <row r="1382" spans="1:22" ht="17.25">
      <c r="A1382" s="70">
        <v>996</v>
      </c>
      <c r="B1382" s="70" t="s">
        <v>1125</v>
      </c>
      <c r="C1382" s="70" t="s">
        <v>366</v>
      </c>
      <c r="D1382" s="70" t="s">
        <v>1124</v>
      </c>
      <c r="E1382" s="70" t="s">
        <v>1123</v>
      </c>
      <c r="F1382" s="71">
        <v>53</v>
      </c>
      <c r="G1382" s="71">
        <v>3</v>
      </c>
      <c r="H1382" s="72">
        <v>0.13750000000000001</v>
      </c>
      <c r="I1382" s="71" t="b">
        <v>1</v>
      </c>
      <c r="J1382" s="71">
        <v>91</v>
      </c>
      <c r="K1382" s="71">
        <v>62</v>
      </c>
      <c r="L1382" s="71">
        <v>90</v>
      </c>
      <c r="M1382" s="71">
        <v>6</v>
      </c>
      <c r="N1382" s="71">
        <v>8</v>
      </c>
      <c r="O1382" s="71">
        <v>0</v>
      </c>
      <c r="P1382" s="71">
        <v>30</v>
      </c>
      <c r="Q1382" s="71">
        <v>64</v>
      </c>
      <c r="R1382" s="71">
        <v>104</v>
      </c>
      <c r="S1382" s="71" t="s">
        <v>48</v>
      </c>
      <c r="T1382" s="73">
        <v>45681</v>
      </c>
      <c r="U1382" s="71" t="s">
        <v>4087</v>
      </c>
      <c r="V1382" s="71" t="b">
        <v>0</v>
      </c>
    </row>
    <row r="1383" spans="1:22" ht="17.25">
      <c r="A1383" s="70">
        <v>996</v>
      </c>
      <c r="B1383" s="70" t="s">
        <v>1125</v>
      </c>
      <c r="C1383" s="70" t="s">
        <v>4525</v>
      </c>
      <c r="D1383" s="70" t="s">
        <v>1124</v>
      </c>
      <c r="E1383" s="70" t="s">
        <v>1123</v>
      </c>
      <c r="F1383" s="71">
        <v>53</v>
      </c>
      <c r="G1383" s="71">
        <v>3</v>
      </c>
      <c r="H1383" s="72">
        <v>0.13750000000000001</v>
      </c>
      <c r="I1383" s="71" t="b">
        <v>1</v>
      </c>
      <c r="J1383" s="71">
        <v>91</v>
      </c>
      <c r="K1383" s="71">
        <v>62</v>
      </c>
      <c r="L1383" s="71">
        <v>90</v>
      </c>
      <c r="M1383" s="71">
        <v>6</v>
      </c>
      <c r="N1383" s="71">
        <v>8</v>
      </c>
      <c r="O1383" s="71">
        <v>0</v>
      </c>
      <c r="P1383" s="71">
        <v>30</v>
      </c>
      <c r="Q1383" s="71">
        <v>64</v>
      </c>
      <c r="R1383" s="71">
        <v>104</v>
      </c>
      <c r="S1383" s="71" t="s">
        <v>48</v>
      </c>
      <c r="T1383" s="73">
        <v>45681</v>
      </c>
      <c r="U1383" s="71" t="s">
        <v>4087</v>
      </c>
      <c r="V1383" s="71" t="b">
        <v>0</v>
      </c>
    </row>
    <row r="1384" spans="1:22" ht="17.25">
      <c r="A1384" s="70">
        <v>997</v>
      </c>
      <c r="B1384" s="70" t="s">
        <v>1122</v>
      </c>
      <c r="C1384" s="70" t="s">
        <v>485</v>
      </c>
      <c r="D1384" s="70" t="s">
        <v>223</v>
      </c>
      <c r="E1384" s="70" t="s">
        <v>222</v>
      </c>
      <c r="F1384" s="71">
        <v>97</v>
      </c>
      <c r="G1384" s="71">
        <v>14</v>
      </c>
      <c r="H1384" s="72">
        <v>0.12847222222222221</v>
      </c>
      <c r="I1384" s="71" t="b">
        <v>1</v>
      </c>
      <c r="J1384" s="71">
        <v>67</v>
      </c>
      <c r="K1384" s="71">
        <v>65</v>
      </c>
      <c r="L1384" s="71">
        <v>90</v>
      </c>
      <c r="M1384" s="71">
        <v>3</v>
      </c>
      <c r="N1384" s="71">
        <v>8</v>
      </c>
      <c r="O1384" s="71">
        <v>0</v>
      </c>
      <c r="P1384" s="71">
        <v>12</v>
      </c>
      <c r="Q1384" s="71">
        <v>60</v>
      </c>
      <c r="R1384" s="71">
        <v>122</v>
      </c>
      <c r="S1384" s="71" t="s">
        <v>61</v>
      </c>
      <c r="T1384" s="73">
        <v>45772</v>
      </c>
      <c r="U1384" s="71" t="s">
        <v>4088</v>
      </c>
      <c r="V1384" s="71" t="b">
        <v>0</v>
      </c>
    </row>
    <row r="1385" spans="1:22" ht="17.25">
      <c r="A1385" s="70">
        <v>997</v>
      </c>
      <c r="B1385" s="70" t="s">
        <v>1122</v>
      </c>
      <c r="C1385" s="70" t="s">
        <v>4449</v>
      </c>
      <c r="D1385" s="70" t="s">
        <v>223</v>
      </c>
      <c r="E1385" s="70" t="s">
        <v>222</v>
      </c>
      <c r="F1385" s="71">
        <v>97</v>
      </c>
      <c r="G1385" s="71">
        <v>14</v>
      </c>
      <c r="H1385" s="72">
        <v>0.12847222222222221</v>
      </c>
      <c r="I1385" s="71" t="b">
        <v>1</v>
      </c>
      <c r="J1385" s="71">
        <v>67</v>
      </c>
      <c r="K1385" s="71">
        <v>65</v>
      </c>
      <c r="L1385" s="71">
        <v>90</v>
      </c>
      <c r="M1385" s="71">
        <v>3</v>
      </c>
      <c r="N1385" s="71">
        <v>8</v>
      </c>
      <c r="O1385" s="71">
        <v>0</v>
      </c>
      <c r="P1385" s="71">
        <v>12</v>
      </c>
      <c r="Q1385" s="71">
        <v>60</v>
      </c>
      <c r="R1385" s="71">
        <v>122</v>
      </c>
      <c r="S1385" s="71" t="s">
        <v>61</v>
      </c>
      <c r="T1385" s="73">
        <v>45772</v>
      </c>
      <c r="U1385" s="71" t="s">
        <v>4088</v>
      </c>
      <c r="V1385" s="71" t="b">
        <v>0</v>
      </c>
    </row>
    <row r="1386" spans="1:22" ht="17.25">
      <c r="A1386" s="70">
        <v>998</v>
      </c>
      <c r="B1386" s="70" t="s">
        <v>1121</v>
      </c>
      <c r="C1386" s="70" t="s">
        <v>4625</v>
      </c>
      <c r="D1386" s="70" t="s">
        <v>1120</v>
      </c>
      <c r="E1386" s="70" t="s">
        <v>881</v>
      </c>
      <c r="F1386" s="71">
        <v>86</v>
      </c>
      <c r="G1386" s="71">
        <v>15</v>
      </c>
      <c r="H1386" s="72" t="s">
        <v>4380</v>
      </c>
      <c r="I1386" s="71" t="b">
        <v>0</v>
      </c>
      <c r="J1386" s="71">
        <v>54</v>
      </c>
      <c r="K1386" s="71">
        <v>42</v>
      </c>
      <c r="L1386" s="71">
        <v>69</v>
      </c>
      <c r="M1386" s="71">
        <v>4</v>
      </c>
      <c r="N1386" s="71">
        <v>70</v>
      </c>
      <c r="O1386" s="71">
        <v>0</v>
      </c>
      <c r="P1386" s="71">
        <v>11</v>
      </c>
      <c r="Q1386" s="71">
        <v>33</v>
      </c>
      <c r="R1386" s="71">
        <v>85</v>
      </c>
      <c r="S1386" s="71" t="s">
        <v>359</v>
      </c>
      <c r="T1386" s="73" t="s">
        <v>4388</v>
      </c>
      <c r="U1386" s="71" t="s">
        <v>4089</v>
      </c>
      <c r="V1386" s="71" t="b">
        <v>0</v>
      </c>
    </row>
    <row r="1387" spans="1:22" ht="17.25">
      <c r="A1387" s="70">
        <v>998</v>
      </c>
      <c r="B1387" s="70" t="s">
        <v>1121</v>
      </c>
      <c r="C1387" s="70" t="s">
        <v>4796</v>
      </c>
      <c r="D1387" s="70" t="s">
        <v>1120</v>
      </c>
      <c r="E1387" s="70" t="s">
        <v>881</v>
      </c>
      <c r="F1387" s="71">
        <v>86</v>
      </c>
      <c r="G1387" s="71">
        <v>15</v>
      </c>
      <c r="H1387" s="72" t="s">
        <v>4380</v>
      </c>
      <c r="I1387" s="71" t="b">
        <v>0</v>
      </c>
      <c r="J1387" s="71">
        <v>54</v>
      </c>
      <c r="K1387" s="71">
        <v>42</v>
      </c>
      <c r="L1387" s="71">
        <v>69</v>
      </c>
      <c r="M1387" s="71">
        <v>4</v>
      </c>
      <c r="N1387" s="71">
        <v>70</v>
      </c>
      <c r="O1387" s="71">
        <v>0</v>
      </c>
      <c r="P1387" s="71">
        <v>11</v>
      </c>
      <c r="Q1387" s="71">
        <v>33</v>
      </c>
      <c r="R1387" s="71">
        <v>85</v>
      </c>
      <c r="S1387" s="71" t="s">
        <v>359</v>
      </c>
      <c r="T1387" s="73" t="s">
        <v>4388</v>
      </c>
      <c r="U1387" s="71" t="s">
        <v>4089</v>
      </c>
      <c r="V1387" s="71" t="b">
        <v>0</v>
      </c>
    </row>
    <row r="1388" spans="1:22" ht="17.25">
      <c r="A1388" s="70">
        <v>998</v>
      </c>
      <c r="B1388" s="70" t="s">
        <v>1121</v>
      </c>
      <c r="C1388" s="70" t="s">
        <v>4587</v>
      </c>
      <c r="D1388" s="70" t="s">
        <v>1120</v>
      </c>
      <c r="E1388" s="70" t="s">
        <v>881</v>
      </c>
      <c r="F1388" s="71">
        <v>86</v>
      </c>
      <c r="G1388" s="71">
        <v>15</v>
      </c>
      <c r="H1388" s="72" t="s">
        <v>4380</v>
      </c>
      <c r="I1388" s="71" t="b">
        <v>0</v>
      </c>
      <c r="J1388" s="71">
        <v>54</v>
      </c>
      <c r="K1388" s="71">
        <v>42</v>
      </c>
      <c r="L1388" s="71">
        <v>69</v>
      </c>
      <c r="M1388" s="71">
        <v>4</v>
      </c>
      <c r="N1388" s="71">
        <v>70</v>
      </c>
      <c r="O1388" s="71">
        <v>0</v>
      </c>
      <c r="P1388" s="71">
        <v>11</v>
      </c>
      <c r="Q1388" s="71">
        <v>33</v>
      </c>
      <c r="R1388" s="71">
        <v>85</v>
      </c>
      <c r="S1388" s="71" t="s">
        <v>359</v>
      </c>
      <c r="T1388" s="73" t="s">
        <v>4388</v>
      </c>
      <c r="U1388" s="71" t="s">
        <v>4089</v>
      </c>
      <c r="V1388" s="71" t="b">
        <v>0</v>
      </c>
    </row>
    <row r="1389" spans="1:22" ht="17.25">
      <c r="A1389" s="70">
        <v>998</v>
      </c>
      <c r="B1389" s="70" t="s">
        <v>1121</v>
      </c>
      <c r="C1389" s="70" t="s">
        <v>4432</v>
      </c>
      <c r="D1389" s="70" t="s">
        <v>1120</v>
      </c>
      <c r="E1389" s="70" t="s">
        <v>881</v>
      </c>
      <c r="F1389" s="71">
        <v>86</v>
      </c>
      <c r="G1389" s="71">
        <v>15</v>
      </c>
      <c r="H1389" s="72" t="s">
        <v>4380</v>
      </c>
      <c r="I1389" s="71" t="b">
        <v>0</v>
      </c>
      <c r="J1389" s="71">
        <v>54</v>
      </c>
      <c r="K1389" s="71">
        <v>42</v>
      </c>
      <c r="L1389" s="71">
        <v>69</v>
      </c>
      <c r="M1389" s="71">
        <v>4</v>
      </c>
      <c r="N1389" s="71">
        <v>70</v>
      </c>
      <c r="O1389" s="71">
        <v>0</v>
      </c>
      <c r="P1389" s="71">
        <v>11</v>
      </c>
      <c r="Q1389" s="71">
        <v>33</v>
      </c>
      <c r="R1389" s="71">
        <v>85</v>
      </c>
      <c r="S1389" s="71" t="s">
        <v>359</v>
      </c>
      <c r="T1389" s="73" t="s">
        <v>4388</v>
      </c>
      <c r="U1389" s="71" t="s">
        <v>4089</v>
      </c>
      <c r="V1389" s="71" t="b">
        <v>0</v>
      </c>
    </row>
    <row r="1390" spans="1:22" ht="17.25">
      <c r="A1390" s="70">
        <v>999</v>
      </c>
      <c r="B1390" s="70" t="s">
        <v>1119</v>
      </c>
      <c r="C1390" s="70" t="s">
        <v>2771</v>
      </c>
      <c r="D1390" s="70" t="s">
        <v>1118</v>
      </c>
      <c r="E1390" s="70" t="s">
        <v>1117</v>
      </c>
      <c r="F1390" s="71">
        <v>102</v>
      </c>
      <c r="G1390" s="71">
        <v>1</v>
      </c>
      <c r="H1390" s="72" t="s">
        <v>4315</v>
      </c>
      <c r="I1390" s="71" t="b">
        <v>0</v>
      </c>
      <c r="J1390" s="71">
        <v>80</v>
      </c>
      <c r="K1390" s="71">
        <v>73</v>
      </c>
      <c r="L1390" s="71">
        <v>74</v>
      </c>
      <c r="M1390" s="71">
        <v>7</v>
      </c>
      <c r="N1390" s="71">
        <v>15</v>
      </c>
      <c r="O1390" s="71">
        <v>0</v>
      </c>
      <c r="P1390" s="71">
        <v>11</v>
      </c>
      <c r="Q1390" s="71">
        <v>79</v>
      </c>
      <c r="R1390" s="71">
        <v>116</v>
      </c>
      <c r="S1390" s="71" t="s">
        <v>96</v>
      </c>
      <c r="T1390" s="73" t="s">
        <v>4376</v>
      </c>
      <c r="U1390" s="71" t="s">
        <v>4090</v>
      </c>
      <c r="V1390" s="71" t="b">
        <v>0</v>
      </c>
    </row>
    <row r="1391" spans="1:22" ht="17.25">
      <c r="A1391" s="70">
        <v>999</v>
      </c>
      <c r="B1391" s="70" t="s">
        <v>1119</v>
      </c>
      <c r="C1391" s="70" t="s">
        <v>2313</v>
      </c>
      <c r="D1391" s="70" t="s">
        <v>1118</v>
      </c>
      <c r="E1391" s="70" t="s">
        <v>1117</v>
      </c>
      <c r="F1391" s="71">
        <v>102</v>
      </c>
      <c r="G1391" s="71">
        <v>1</v>
      </c>
      <c r="H1391" s="72" t="s">
        <v>4315</v>
      </c>
      <c r="I1391" s="71" t="b">
        <v>0</v>
      </c>
      <c r="J1391" s="71">
        <v>80</v>
      </c>
      <c r="K1391" s="71">
        <v>73</v>
      </c>
      <c r="L1391" s="71">
        <v>74</v>
      </c>
      <c r="M1391" s="71">
        <v>7</v>
      </c>
      <c r="N1391" s="71">
        <v>15</v>
      </c>
      <c r="O1391" s="71">
        <v>0</v>
      </c>
      <c r="P1391" s="71">
        <v>11</v>
      </c>
      <c r="Q1391" s="71">
        <v>79</v>
      </c>
      <c r="R1391" s="71">
        <v>116</v>
      </c>
      <c r="S1391" s="71" t="s">
        <v>96</v>
      </c>
      <c r="T1391" s="73" t="s">
        <v>4376</v>
      </c>
      <c r="U1391" s="71" t="s">
        <v>4090</v>
      </c>
      <c r="V1391" s="71" t="b">
        <v>0</v>
      </c>
    </row>
    <row r="1392" spans="1:22" ht="17.25">
      <c r="A1392" s="70">
        <v>1000</v>
      </c>
      <c r="B1392" s="70" t="s">
        <v>1116</v>
      </c>
      <c r="C1392" s="70" t="s">
        <v>1115</v>
      </c>
      <c r="D1392" s="70" t="s">
        <v>1114</v>
      </c>
      <c r="E1392" s="70" t="s">
        <v>1113</v>
      </c>
      <c r="F1392" s="71">
        <v>154</v>
      </c>
      <c r="G1392" s="71">
        <v>1</v>
      </c>
      <c r="H1392" s="72" t="s">
        <v>4317</v>
      </c>
      <c r="I1392" s="71" t="b">
        <v>0</v>
      </c>
      <c r="J1392" s="71">
        <v>73</v>
      </c>
      <c r="K1392" s="71">
        <v>62</v>
      </c>
      <c r="L1392" s="71">
        <v>73</v>
      </c>
      <c r="M1392" s="71">
        <v>6</v>
      </c>
      <c r="N1392" s="71">
        <v>29</v>
      </c>
      <c r="O1392" s="71">
        <v>0</v>
      </c>
      <c r="P1392" s="71">
        <v>11</v>
      </c>
      <c r="Q1392" s="71">
        <v>52</v>
      </c>
      <c r="R1392" s="71">
        <v>105</v>
      </c>
      <c r="S1392" s="71" t="s">
        <v>115</v>
      </c>
      <c r="T1392" s="73" t="s">
        <v>4341</v>
      </c>
      <c r="U1392" s="71" t="s">
        <v>4091</v>
      </c>
      <c r="V1392" s="71" t="b">
        <v>0</v>
      </c>
    </row>
    <row r="1393" spans="1:22" ht="17.25">
      <c r="A1393" s="70">
        <v>1002</v>
      </c>
      <c r="B1393" s="70" t="s">
        <v>1108</v>
      </c>
      <c r="C1393" s="70" t="s">
        <v>1107</v>
      </c>
      <c r="D1393" s="70" t="s">
        <v>1106</v>
      </c>
      <c r="E1393" s="70" t="s">
        <v>1105</v>
      </c>
      <c r="F1393" s="71">
        <v>76</v>
      </c>
      <c r="G1393" s="71">
        <v>10</v>
      </c>
      <c r="H1393" s="72">
        <v>0.1423611111111111</v>
      </c>
      <c r="I1393" s="71" t="b">
        <v>0</v>
      </c>
      <c r="J1393" s="71">
        <v>62</v>
      </c>
      <c r="K1393" s="71">
        <v>65</v>
      </c>
      <c r="L1393" s="71">
        <v>77</v>
      </c>
      <c r="M1393" s="71">
        <v>5</v>
      </c>
      <c r="N1393" s="71">
        <v>30</v>
      </c>
      <c r="O1393" s="71">
        <v>0</v>
      </c>
      <c r="P1393" s="71">
        <v>14</v>
      </c>
      <c r="Q1393" s="71">
        <v>78</v>
      </c>
      <c r="R1393" s="71">
        <v>120</v>
      </c>
      <c r="S1393" s="71" t="s">
        <v>29</v>
      </c>
      <c r="T1393" s="73">
        <v>43777</v>
      </c>
      <c r="U1393" s="71" t="s">
        <v>4092</v>
      </c>
      <c r="V1393" s="71" t="b">
        <v>1</v>
      </c>
    </row>
    <row r="1394" spans="1:22" ht="17.25">
      <c r="A1394" s="70">
        <v>1003</v>
      </c>
      <c r="B1394" s="70" t="s">
        <v>1104</v>
      </c>
      <c r="C1394" s="70" t="s">
        <v>318</v>
      </c>
      <c r="D1394" s="70" t="s">
        <v>1103</v>
      </c>
      <c r="E1394" s="70" t="s">
        <v>316</v>
      </c>
      <c r="F1394" s="71">
        <v>22</v>
      </c>
      <c r="G1394" s="71">
        <v>3</v>
      </c>
      <c r="H1394" s="72" t="s">
        <v>4317</v>
      </c>
      <c r="I1394" s="71" t="b">
        <v>0</v>
      </c>
      <c r="J1394" s="71">
        <v>59</v>
      </c>
      <c r="K1394" s="71">
        <v>46</v>
      </c>
      <c r="L1394" s="71">
        <v>70</v>
      </c>
      <c r="M1394" s="71">
        <v>4</v>
      </c>
      <c r="N1394" s="71">
        <v>62</v>
      </c>
      <c r="O1394" s="71">
        <v>0</v>
      </c>
      <c r="P1394" s="71">
        <v>11</v>
      </c>
      <c r="Q1394" s="71">
        <v>35</v>
      </c>
      <c r="R1394" s="71">
        <v>149</v>
      </c>
      <c r="S1394" s="71" t="s">
        <v>74</v>
      </c>
      <c r="T1394" s="73" t="s">
        <v>4327</v>
      </c>
      <c r="U1394" s="71" t="s">
        <v>3905</v>
      </c>
      <c r="V1394" s="71" t="b">
        <v>0</v>
      </c>
    </row>
    <row r="1395" spans="1:22" ht="17.25">
      <c r="A1395" s="70">
        <v>1004</v>
      </c>
      <c r="B1395" s="70" t="s">
        <v>1102</v>
      </c>
      <c r="C1395" s="70" t="s">
        <v>4526</v>
      </c>
      <c r="D1395" s="70" t="s">
        <v>1101</v>
      </c>
      <c r="E1395" s="70" t="s">
        <v>1100</v>
      </c>
      <c r="F1395" s="71">
        <v>137</v>
      </c>
      <c r="G1395" s="71">
        <v>13</v>
      </c>
      <c r="H1395" s="72" t="s">
        <v>4347</v>
      </c>
      <c r="I1395" s="71" t="b">
        <v>1</v>
      </c>
      <c r="J1395" s="71">
        <v>86</v>
      </c>
      <c r="K1395" s="71">
        <v>78</v>
      </c>
      <c r="L1395" s="71">
        <v>75</v>
      </c>
      <c r="M1395" s="71">
        <v>14</v>
      </c>
      <c r="N1395" s="71">
        <v>12</v>
      </c>
      <c r="O1395" s="71">
        <v>0</v>
      </c>
      <c r="P1395" s="71">
        <v>25</v>
      </c>
      <c r="Q1395" s="71">
        <v>86</v>
      </c>
      <c r="R1395" s="71">
        <v>130</v>
      </c>
      <c r="S1395" s="71" t="s">
        <v>534</v>
      </c>
      <c r="T1395" s="73" t="s">
        <v>4390</v>
      </c>
      <c r="U1395" s="71" t="s">
        <v>4093</v>
      </c>
      <c r="V1395" s="71" t="b">
        <v>0</v>
      </c>
    </row>
    <row r="1396" spans="1:22" ht="17.25">
      <c r="A1396" s="70">
        <v>1004</v>
      </c>
      <c r="B1396" s="70" t="s">
        <v>1102</v>
      </c>
      <c r="C1396" s="70" t="s">
        <v>4730</v>
      </c>
      <c r="D1396" s="70" t="s">
        <v>1101</v>
      </c>
      <c r="E1396" s="70" t="s">
        <v>1100</v>
      </c>
      <c r="F1396" s="71">
        <v>137</v>
      </c>
      <c r="G1396" s="71">
        <v>13</v>
      </c>
      <c r="H1396" s="72" t="s">
        <v>4347</v>
      </c>
      <c r="I1396" s="71" t="b">
        <v>1</v>
      </c>
      <c r="J1396" s="71">
        <v>86</v>
      </c>
      <c r="K1396" s="71">
        <v>78</v>
      </c>
      <c r="L1396" s="71">
        <v>75</v>
      </c>
      <c r="M1396" s="71">
        <v>14</v>
      </c>
      <c r="N1396" s="71">
        <v>12</v>
      </c>
      <c r="O1396" s="71">
        <v>0</v>
      </c>
      <c r="P1396" s="71">
        <v>25</v>
      </c>
      <c r="Q1396" s="71">
        <v>86</v>
      </c>
      <c r="R1396" s="71">
        <v>130</v>
      </c>
      <c r="S1396" s="71" t="s">
        <v>534</v>
      </c>
      <c r="T1396" s="73" t="s">
        <v>4390</v>
      </c>
      <c r="U1396" s="71" t="s">
        <v>4093</v>
      </c>
      <c r="V1396" s="71" t="b">
        <v>0</v>
      </c>
    </row>
    <row r="1397" spans="1:22" ht="17.25">
      <c r="A1397" s="70">
        <v>1004</v>
      </c>
      <c r="B1397" s="70" t="s">
        <v>1102</v>
      </c>
      <c r="C1397" s="70" t="s">
        <v>4570</v>
      </c>
      <c r="D1397" s="70" t="s">
        <v>1101</v>
      </c>
      <c r="E1397" s="70" t="s">
        <v>1100</v>
      </c>
      <c r="F1397" s="71">
        <v>137</v>
      </c>
      <c r="G1397" s="71">
        <v>13</v>
      </c>
      <c r="H1397" s="72" t="s">
        <v>4347</v>
      </c>
      <c r="I1397" s="71" t="b">
        <v>1</v>
      </c>
      <c r="J1397" s="71">
        <v>86</v>
      </c>
      <c r="K1397" s="71">
        <v>78</v>
      </c>
      <c r="L1397" s="71">
        <v>75</v>
      </c>
      <c r="M1397" s="71">
        <v>14</v>
      </c>
      <c r="N1397" s="71">
        <v>12</v>
      </c>
      <c r="O1397" s="71">
        <v>0</v>
      </c>
      <c r="P1397" s="71">
        <v>25</v>
      </c>
      <c r="Q1397" s="71">
        <v>86</v>
      </c>
      <c r="R1397" s="71">
        <v>130</v>
      </c>
      <c r="S1397" s="71" t="s">
        <v>534</v>
      </c>
      <c r="T1397" s="73" t="s">
        <v>4390</v>
      </c>
      <c r="U1397" s="71" t="s">
        <v>4093</v>
      </c>
      <c r="V1397" s="71" t="b">
        <v>0</v>
      </c>
    </row>
    <row r="1398" spans="1:22" ht="17.25">
      <c r="A1398" s="70">
        <v>1005</v>
      </c>
      <c r="B1398" s="70" t="s">
        <v>1099</v>
      </c>
      <c r="C1398" s="70" t="s">
        <v>182</v>
      </c>
      <c r="D1398" s="70" t="s">
        <v>1098</v>
      </c>
      <c r="E1398" s="70" t="s">
        <v>349</v>
      </c>
      <c r="F1398" s="71">
        <v>49</v>
      </c>
      <c r="G1398" s="71">
        <v>2</v>
      </c>
      <c r="H1398" s="72" t="s">
        <v>4320</v>
      </c>
      <c r="I1398" s="71" t="b">
        <v>1</v>
      </c>
      <c r="J1398" s="71">
        <v>81</v>
      </c>
      <c r="K1398" s="71">
        <v>55</v>
      </c>
      <c r="L1398" s="71">
        <v>71</v>
      </c>
      <c r="M1398" s="71">
        <v>21</v>
      </c>
      <c r="N1398" s="71">
        <v>36</v>
      </c>
      <c r="O1398" s="71">
        <v>0</v>
      </c>
      <c r="P1398" s="71">
        <v>10</v>
      </c>
      <c r="Q1398" s="71">
        <v>54</v>
      </c>
      <c r="R1398" s="71">
        <v>105</v>
      </c>
      <c r="S1398" s="71" t="s">
        <v>48</v>
      </c>
      <c r="T1398" s="73" t="s">
        <v>4330</v>
      </c>
      <c r="U1398" s="71" t="s">
        <v>3442</v>
      </c>
      <c r="V1398" s="71" t="b">
        <v>0</v>
      </c>
    </row>
    <row r="1399" spans="1:22" ht="17.25">
      <c r="A1399" s="70">
        <v>1006</v>
      </c>
      <c r="B1399" s="70" t="s">
        <v>1097</v>
      </c>
      <c r="C1399" s="70" t="s">
        <v>1096</v>
      </c>
      <c r="D1399" s="70" t="s">
        <v>1095</v>
      </c>
      <c r="E1399" s="70" t="s">
        <v>401</v>
      </c>
      <c r="F1399" s="71">
        <v>8</v>
      </c>
      <c r="G1399" s="71">
        <v>164</v>
      </c>
      <c r="H1399" s="72">
        <v>0.15694444444444444</v>
      </c>
      <c r="I1399" s="71" t="b">
        <v>0</v>
      </c>
      <c r="J1399" s="71">
        <v>67</v>
      </c>
      <c r="K1399" s="71">
        <v>52</v>
      </c>
      <c r="L1399" s="71">
        <v>87</v>
      </c>
      <c r="M1399" s="71">
        <v>4</v>
      </c>
      <c r="N1399" s="71">
        <v>86</v>
      </c>
      <c r="O1399" s="71">
        <v>0</v>
      </c>
      <c r="P1399" s="71">
        <v>12</v>
      </c>
      <c r="Q1399" s="71">
        <v>37</v>
      </c>
      <c r="R1399" s="71">
        <v>120</v>
      </c>
      <c r="S1399" s="71" t="s">
        <v>96</v>
      </c>
      <c r="T1399" s="73">
        <v>41957</v>
      </c>
      <c r="U1399" s="71" t="s">
        <v>4094</v>
      </c>
      <c r="V1399" s="71" t="b">
        <v>0</v>
      </c>
    </row>
    <row r="1400" spans="1:22" ht="17.25">
      <c r="A1400" s="70">
        <v>1007</v>
      </c>
      <c r="B1400" s="70" t="s">
        <v>1094</v>
      </c>
      <c r="C1400" s="70" t="s">
        <v>151</v>
      </c>
      <c r="D1400" s="70" t="s">
        <v>1093</v>
      </c>
      <c r="E1400" s="70" t="s">
        <v>44</v>
      </c>
      <c r="F1400" s="71">
        <v>14</v>
      </c>
      <c r="G1400" s="71">
        <v>72</v>
      </c>
      <c r="H1400" s="72">
        <v>0.2361111111111111</v>
      </c>
      <c r="I1400" s="71" t="b">
        <v>0</v>
      </c>
      <c r="J1400" s="71">
        <v>52</v>
      </c>
      <c r="K1400" s="71">
        <v>60</v>
      </c>
      <c r="L1400" s="71">
        <v>92</v>
      </c>
      <c r="M1400" s="71">
        <v>3</v>
      </c>
      <c r="N1400" s="71">
        <v>3</v>
      </c>
      <c r="O1400" s="71">
        <v>0</v>
      </c>
      <c r="P1400" s="71">
        <v>11</v>
      </c>
      <c r="Q1400" s="71">
        <v>22</v>
      </c>
      <c r="R1400" s="71">
        <v>120</v>
      </c>
      <c r="S1400" s="71" t="s">
        <v>96</v>
      </c>
      <c r="T1400" s="73">
        <v>42832</v>
      </c>
      <c r="U1400" s="71" t="s">
        <v>4095</v>
      </c>
      <c r="V1400" s="71" t="b">
        <v>0</v>
      </c>
    </row>
    <row r="1401" spans="1:22" ht="17.25">
      <c r="A1401" s="70">
        <v>1009</v>
      </c>
      <c r="B1401" s="70" t="s">
        <v>1091</v>
      </c>
      <c r="C1401" s="70" t="s">
        <v>4797</v>
      </c>
      <c r="D1401" s="70" t="s">
        <v>1090</v>
      </c>
      <c r="E1401" s="70" t="s">
        <v>324</v>
      </c>
      <c r="F1401" s="71">
        <v>192</v>
      </c>
      <c r="G1401" s="71">
        <v>1</v>
      </c>
      <c r="H1401" s="72" t="s">
        <v>4320</v>
      </c>
      <c r="I1401" s="71" t="b">
        <v>0</v>
      </c>
      <c r="J1401" s="71">
        <v>74</v>
      </c>
      <c r="K1401" s="71">
        <v>56</v>
      </c>
      <c r="L1401" s="71">
        <v>72</v>
      </c>
      <c r="M1401" s="71">
        <v>11</v>
      </c>
      <c r="N1401" s="71">
        <v>33</v>
      </c>
      <c r="O1401" s="71">
        <v>0</v>
      </c>
      <c r="P1401" s="71">
        <v>15</v>
      </c>
      <c r="Q1401" s="71">
        <v>59</v>
      </c>
      <c r="R1401" s="71">
        <v>98</v>
      </c>
      <c r="S1401" s="71" t="s">
        <v>96</v>
      </c>
      <c r="T1401" s="73" t="s">
        <v>4368</v>
      </c>
      <c r="U1401" s="71" t="s">
        <v>3387</v>
      </c>
      <c r="V1401" s="71" t="b">
        <v>0</v>
      </c>
    </row>
    <row r="1402" spans="1:22" ht="17.25">
      <c r="A1402" s="70">
        <v>1009</v>
      </c>
      <c r="B1402" s="70" t="s">
        <v>1091</v>
      </c>
      <c r="C1402" s="70" t="s">
        <v>54</v>
      </c>
      <c r="D1402" s="70" t="s">
        <v>1090</v>
      </c>
      <c r="E1402" s="70" t="s">
        <v>324</v>
      </c>
      <c r="F1402" s="71">
        <v>192</v>
      </c>
      <c r="G1402" s="71">
        <v>1</v>
      </c>
      <c r="H1402" s="72" t="s">
        <v>4320</v>
      </c>
      <c r="I1402" s="71" t="b">
        <v>0</v>
      </c>
      <c r="J1402" s="71">
        <v>74</v>
      </c>
      <c r="K1402" s="71">
        <v>56</v>
      </c>
      <c r="L1402" s="71">
        <v>72</v>
      </c>
      <c r="M1402" s="71">
        <v>11</v>
      </c>
      <c r="N1402" s="71">
        <v>33</v>
      </c>
      <c r="O1402" s="71">
        <v>0</v>
      </c>
      <c r="P1402" s="71">
        <v>15</v>
      </c>
      <c r="Q1402" s="71">
        <v>59</v>
      </c>
      <c r="R1402" s="71">
        <v>98</v>
      </c>
      <c r="S1402" s="71" t="s">
        <v>96</v>
      </c>
      <c r="T1402" s="73" t="s">
        <v>4368</v>
      </c>
      <c r="U1402" s="71" t="s">
        <v>3387</v>
      </c>
      <c r="V1402" s="71" t="b">
        <v>0</v>
      </c>
    </row>
    <row r="1403" spans="1:22" ht="17.25">
      <c r="A1403" s="70">
        <v>1012</v>
      </c>
      <c r="B1403" s="70" t="s">
        <v>1087</v>
      </c>
      <c r="C1403" s="70" t="s">
        <v>4798</v>
      </c>
      <c r="D1403" s="70" t="s">
        <v>1086</v>
      </c>
      <c r="E1403" s="70" t="s">
        <v>62</v>
      </c>
      <c r="F1403" s="71">
        <v>120</v>
      </c>
      <c r="G1403" s="71">
        <v>8</v>
      </c>
      <c r="H1403" s="72" t="s">
        <v>4315</v>
      </c>
      <c r="I1403" s="71" t="b">
        <v>1</v>
      </c>
      <c r="J1403" s="71">
        <v>78</v>
      </c>
      <c r="K1403" s="71">
        <v>75</v>
      </c>
      <c r="L1403" s="71">
        <v>74</v>
      </c>
      <c r="M1403" s="71">
        <v>6</v>
      </c>
      <c r="N1403" s="71">
        <v>19</v>
      </c>
      <c r="O1403" s="71">
        <v>0</v>
      </c>
      <c r="P1403" s="71">
        <v>13</v>
      </c>
      <c r="Q1403" s="71">
        <v>87</v>
      </c>
      <c r="R1403" s="71">
        <v>140</v>
      </c>
      <c r="S1403" s="71" t="s">
        <v>61</v>
      </c>
      <c r="T1403" s="73" t="s">
        <v>4392</v>
      </c>
      <c r="U1403" s="71" t="s">
        <v>4096</v>
      </c>
      <c r="V1403" s="71" t="b">
        <v>0</v>
      </c>
    </row>
    <row r="1404" spans="1:22" ht="17.25">
      <c r="A1404" s="70">
        <v>1012</v>
      </c>
      <c r="B1404" s="70" t="s">
        <v>1087</v>
      </c>
      <c r="C1404" s="70" t="s">
        <v>1987</v>
      </c>
      <c r="D1404" s="70" t="s">
        <v>1086</v>
      </c>
      <c r="E1404" s="70" t="s">
        <v>62</v>
      </c>
      <c r="F1404" s="71">
        <v>120</v>
      </c>
      <c r="G1404" s="71">
        <v>8</v>
      </c>
      <c r="H1404" s="72" t="s">
        <v>4315</v>
      </c>
      <c r="I1404" s="71" t="b">
        <v>1</v>
      </c>
      <c r="J1404" s="71">
        <v>78</v>
      </c>
      <c r="K1404" s="71">
        <v>75</v>
      </c>
      <c r="L1404" s="71">
        <v>74</v>
      </c>
      <c r="M1404" s="71">
        <v>6</v>
      </c>
      <c r="N1404" s="71">
        <v>19</v>
      </c>
      <c r="O1404" s="71">
        <v>0</v>
      </c>
      <c r="P1404" s="71">
        <v>13</v>
      </c>
      <c r="Q1404" s="71">
        <v>87</v>
      </c>
      <c r="R1404" s="71">
        <v>140</v>
      </c>
      <c r="S1404" s="71" t="s">
        <v>61</v>
      </c>
      <c r="T1404" s="73" t="s">
        <v>4392</v>
      </c>
      <c r="U1404" s="71" t="s">
        <v>4096</v>
      </c>
      <c r="V1404" s="71" t="b">
        <v>0</v>
      </c>
    </row>
    <row r="1405" spans="1:22" ht="17.25">
      <c r="A1405" s="70">
        <v>1012</v>
      </c>
      <c r="B1405" s="70" t="s">
        <v>1087</v>
      </c>
      <c r="C1405" s="70" t="s">
        <v>141</v>
      </c>
      <c r="D1405" s="70" t="s">
        <v>1086</v>
      </c>
      <c r="E1405" s="70" t="s">
        <v>62</v>
      </c>
      <c r="F1405" s="71">
        <v>120</v>
      </c>
      <c r="G1405" s="71">
        <v>8</v>
      </c>
      <c r="H1405" s="72" t="s">
        <v>4315</v>
      </c>
      <c r="I1405" s="71" t="b">
        <v>1</v>
      </c>
      <c r="J1405" s="71">
        <v>78</v>
      </c>
      <c r="K1405" s="71">
        <v>75</v>
      </c>
      <c r="L1405" s="71">
        <v>74</v>
      </c>
      <c r="M1405" s="71">
        <v>6</v>
      </c>
      <c r="N1405" s="71">
        <v>19</v>
      </c>
      <c r="O1405" s="71">
        <v>0</v>
      </c>
      <c r="P1405" s="71">
        <v>13</v>
      </c>
      <c r="Q1405" s="71">
        <v>87</v>
      </c>
      <c r="R1405" s="71">
        <v>140</v>
      </c>
      <c r="S1405" s="71" t="s">
        <v>61</v>
      </c>
      <c r="T1405" s="73" t="s">
        <v>4392</v>
      </c>
      <c r="U1405" s="71" t="s">
        <v>4096</v>
      </c>
      <c r="V1405" s="71" t="b">
        <v>0</v>
      </c>
    </row>
    <row r="1406" spans="1:22" ht="17.25">
      <c r="A1406" s="70">
        <v>1013</v>
      </c>
      <c r="B1406" s="70" t="s">
        <v>1085</v>
      </c>
      <c r="C1406" s="70" t="s">
        <v>1084</v>
      </c>
      <c r="D1406" s="70" t="s">
        <v>1083</v>
      </c>
      <c r="E1406" s="70" t="s">
        <v>227</v>
      </c>
      <c r="F1406" s="71">
        <v>82</v>
      </c>
      <c r="G1406" s="71">
        <v>28</v>
      </c>
      <c r="H1406" s="72">
        <v>0.16597222222222222</v>
      </c>
      <c r="I1406" s="71" t="b">
        <v>0</v>
      </c>
      <c r="J1406" s="71">
        <v>68</v>
      </c>
      <c r="K1406" s="71">
        <v>48</v>
      </c>
      <c r="L1406" s="71">
        <v>90</v>
      </c>
      <c r="M1406" s="71">
        <v>4</v>
      </c>
      <c r="N1406" s="71">
        <v>53</v>
      </c>
      <c r="O1406" s="71">
        <v>0</v>
      </c>
      <c r="P1406" s="71">
        <v>8</v>
      </c>
      <c r="Q1406" s="71">
        <v>49</v>
      </c>
      <c r="R1406" s="71">
        <v>82</v>
      </c>
      <c r="S1406" s="71" t="s">
        <v>26</v>
      </c>
      <c r="T1406" s="73">
        <v>41782</v>
      </c>
      <c r="U1406" s="71" t="s">
        <v>4097</v>
      </c>
      <c r="V1406" s="71" t="b">
        <v>0</v>
      </c>
    </row>
    <row r="1407" spans="1:22" ht="17.25">
      <c r="A1407" s="70">
        <v>1014</v>
      </c>
      <c r="B1407" s="70" t="s">
        <v>1082</v>
      </c>
      <c r="C1407" s="70" t="s">
        <v>237</v>
      </c>
      <c r="D1407" s="70" t="s">
        <v>1081</v>
      </c>
      <c r="E1407" s="70" t="s">
        <v>75</v>
      </c>
      <c r="F1407" s="71">
        <v>2</v>
      </c>
      <c r="G1407" s="71">
        <v>171</v>
      </c>
      <c r="H1407" s="72">
        <v>0.14930555555555555</v>
      </c>
      <c r="I1407" s="71" t="b">
        <v>1</v>
      </c>
      <c r="J1407" s="71">
        <v>68</v>
      </c>
      <c r="K1407" s="71">
        <v>82</v>
      </c>
      <c r="L1407" s="71">
        <v>91</v>
      </c>
      <c r="M1407" s="71">
        <v>3</v>
      </c>
      <c r="N1407" s="71">
        <v>2</v>
      </c>
      <c r="O1407" s="71">
        <v>0</v>
      </c>
      <c r="P1407" s="71">
        <v>54</v>
      </c>
      <c r="Q1407" s="71">
        <v>64</v>
      </c>
      <c r="R1407" s="71">
        <v>118</v>
      </c>
      <c r="S1407" s="71" t="s">
        <v>96</v>
      </c>
      <c r="T1407" s="73">
        <v>43910</v>
      </c>
      <c r="U1407" s="71" t="s">
        <v>3468</v>
      </c>
      <c r="V1407" s="71" t="b">
        <v>0</v>
      </c>
    </row>
    <row r="1408" spans="1:22" ht="17.25">
      <c r="A1408" s="70">
        <v>1015</v>
      </c>
      <c r="B1408" s="70" t="s">
        <v>1080</v>
      </c>
      <c r="C1408" s="70" t="s">
        <v>1079</v>
      </c>
      <c r="D1408" s="70" t="s">
        <v>1078</v>
      </c>
      <c r="E1408" s="70" t="s">
        <v>1077</v>
      </c>
      <c r="F1408" s="71">
        <v>53</v>
      </c>
      <c r="G1408" s="71">
        <v>94</v>
      </c>
      <c r="H1408" s="72">
        <v>0.1736111111111111</v>
      </c>
      <c r="I1408" s="71" t="b">
        <v>0</v>
      </c>
      <c r="J1408" s="71">
        <v>50</v>
      </c>
      <c r="K1408" s="71">
        <v>75</v>
      </c>
      <c r="L1408" s="71">
        <v>88</v>
      </c>
      <c r="M1408" s="71">
        <v>4</v>
      </c>
      <c r="N1408" s="71">
        <v>13</v>
      </c>
      <c r="O1408" s="71">
        <v>0</v>
      </c>
      <c r="P1408" s="71">
        <v>20</v>
      </c>
      <c r="Q1408" s="71">
        <v>51</v>
      </c>
      <c r="R1408" s="71">
        <v>119</v>
      </c>
      <c r="S1408" s="71" t="s">
        <v>69</v>
      </c>
      <c r="T1408" s="73">
        <v>29860</v>
      </c>
      <c r="U1408" s="71" t="s">
        <v>4098</v>
      </c>
      <c r="V1408" s="71" t="b">
        <v>0</v>
      </c>
    </row>
    <row r="1409" spans="1:22" ht="17.25">
      <c r="A1409" s="70">
        <v>1016</v>
      </c>
      <c r="B1409" s="70" t="s">
        <v>1076</v>
      </c>
      <c r="C1409" s="70" t="s">
        <v>67</v>
      </c>
      <c r="D1409" s="70" t="s">
        <v>1075</v>
      </c>
      <c r="E1409" s="70" t="s">
        <v>65</v>
      </c>
      <c r="F1409" s="71">
        <v>27</v>
      </c>
      <c r="G1409" s="71">
        <v>2</v>
      </c>
      <c r="H1409" s="72">
        <v>0.11666666666666667</v>
      </c>
      <c r="I1409" s="71" t="b">
        <v>1</v>
      </c>
      <c r="J1409" s="71">
        <v>82</v>
      </c>
      <c r="K1409" s="71">
        <v>69</v>
      </c>
      <c r="L1409" s="71">
        <v>89</v>
      </c>
      <c r="M1409" s="71">
        <v>7</v>
      </c>
      <c r="N1409" s="71">
        <v>8</v>
      </c>
      <c r="O1409" s="71">
        <v>0</v>
      </c>
      <c r="P1409" s="71">
        <v>12</v>
      </c>
      <c r="Q1409" s="71">
        <v>40</v>
      </c>
      <c r="R1409" s="71">
        <v>145</v>
      </c>
      <c r="S1409" s="71" t="s">
        <v>48</v>
      </c>
      <c r="T1409" s="73">
        <v>45730</v>
      </c>
      <c r="U1409" s="71" t="s">
        <v>3386</v>
      </c>
      <c r="V1409" s="71" t="b">
        <v>0</v>
      </c>
    </row>
    <row r="1410" spans="1:22" ht="17.25">
      <c r="A1410" s="70">
        <v>1016</v>
      </c>
      <c r="B1410" s="70" t="s">
        <v>1076</v>
      </c>
      <c r="C1410" s="70" t="s">
        <v>51</v>
      </c>
      <c r="D1410" s="70" t="s">
        <v>1075</v>
      </c>
      <c r="E1410" s="70" t="s">
        <v>65</v>
      </c>
      <c r="F1410" s="71">
        <v>27</v>
      </c>
      <c r="G1410" s="71">
        <v>2</v>
      </c>
      <c r="H1410" s="72">
        <v>0.11666666666666667</v>
      </c>
      <c r="I1410" s="71" t="b">
        <v>1</v>
      </c>
      <c r="J1410" s="71">
        <v>82</v>
      </c>
      <c r="K1410" s="71">
        <v>69</v>
      </c>
      <c r="L1410" s="71">
        <v>89</v>
      </c>
      <c r="M1410" s="71">
        <v>7</v>
      </c>
      <c r="N1410" s="71">
        <v>8</v>
      </c>
      <c r="O1410" s="71">
        <v>0</v>
      </c>
      <c r="P1410" s="71">
        <v>12</v>
      </c>
      <c r="Q1410" s="71">
        <v>40</v>
      </c>
      <c r="R1410" s="71">
        <v>145</v>
      </c>
      <c r="S1410" s="71" t="s">
        <v>48</v>
      </c>
      <c r="T1410" s="73">
        <v>45730</v>
      </c>
      <c r="U1410" s="71" t="s">
        <v>3386</v>
      </c>
      <c r="V1410" s="71" t="b">
        <v>0</v>
      </c>
    </row>
    <row r="1411" spans="1:22" ht="17.25">
      <c r="A1411" s="70">
        <v>1017</v>
      </c>
      <c r="B1411" s="70" t="s">
        <v>1074</v>
      </c>
      <c r="C1411" s="70" t="s">
        <v>4621</v>
      </c>
      <c r="D1411" s="70" t="s">
        <v>1073</v>
      </c>
      <c r="E1411" s="70" t="s">
        <v>360</v>
      </c>
      <c r="F1411" s="71">
        <v>6</v>
      </c>
      <c r="G1411" s="71">
        <v>16</v>
      </c>
      <c r="H1411" s="72" t="s">
        <v>4382</v>
      </c>
      <c r="I1411" s="71" t="b">
        <v>0</v>
      </c>
      <c r="J1411" s="71">
        <v>62</v>
      </c>
      <c r="K1411" s="71">
        <v>48</v>
      </c>
      <c r="L1411" s="71">
        <v>70</v>
      </c>
      <c r="M1411" s="71">
        <v>5</v>
      </c>
      <c r="N1411" s="71">
        <v>59</v>
      </c>
      <c r="O1411" s="71">
        <v>0</v>
      </c>
      <c r="P1411" s="71">
        <v>12</v>
      </c>
      <c r="Q1411" s="71">
        <v>40</v>
      </c>
      <c r="R1411" s="71">
        <v>105</v>
      </c>
      <c r="S1411" s="71" t="s">
        <v>359</v>
      </c>
      <c r="T1411" s="73" t="s">
        <v>4381</v>
      </c>
      <c r="U1411" s="71" t="s">
        <v>4099</v>
      </c>
      <c r="V1411" s="71" t="b">
        <v>0</v>
      </c>
    </row>
    <row r="1412" spans="1:22" ht="17.25">
      <c r="A1412" s="70">
        <v>1017</v>
      </c>
      <c r="B1412" s="70" t="s">
        <v>1074</v>
      </c>
      <c r="C1412" s="70" t="s">
        <v>4620</v>
      </c>
      <c r="D1412" s="70" t="s">
        <v>1073</v>
      </c>
      <c r="E1412" s="70" t="s">
        <v>360</v>
      </c>
      <c r="F1412" s="71">
        <v>6</v>
      </c>
      <c r="G1412" s="71">
        <v>16</v>
      </c>
      <c r="H1412" s="72" t="s">
        <v>4382</v>
      </c>
      <c r="I1412" s="71" t="b">
        <v>0</v>
      </c>
      <c r="J1412" s="71">
        <v>62</v>
      </c>
      <c r="K1412" s="71">
        <v>48</v>
      </c>
      <c r="L1412" s="71">
        <v>70</v>
      </c>
      <c r="M1412" s="71">
        <v>5</v>
      </c>
      <c r="N1412" s="71">
        <v>59</v>
      </c>
      <c r="O1412" s="71">
        <v>0</v>
      </c>
      <c r="P1412" s="71">
        <v>12</v>
      </c>
      <c r="Q1412" s="71">
        <v>40</v>
      </c>
      <c r="R1412" s="71">
        <v>105</v>
      </c>
      <c r="S1412" s="71" t="s">
        <v>359</v>
      </c>
      <c r="T1412" s="73" t="s">
        <v>4381</v>
      </c>
      <c r="U1412" s="71" t="s">
        <v>4099</v>
      </c>
      <c r="V1412" s="71" t="b">
        <v>0</v>
      </c>
    </row>
    <row r="1413" spans="1:22" ht="17.25">
      <c r="A1413" s="70">
        <v>1017</v>
      </c>
      <c r="B1413" s="70" t="s">
        <v>1074</v>
      </c>
      <c r="C1413" s="70" t="s">
        <v>4587</v>
      </c>
      <c r="D1413" s="70" t="s">
        <v>1073</v>
      </c>
      <c r="E1413" s="70" t="s">
        <v>360</v>
      </c>
      <c r="F1413" s="71">
        <v>6</v>
      </c>
      <c r="G1413" s="71">
        <v>16</v>
      </c>
      <c r="H1413" s="72" t="s">
        <v>4382</v>
      </c>
      <c r="I1413" s="71" t="b">
        <v>0</v>
      </c>
      <c r="J1413" s="71">
        <v>62</v>
      </c>
      <c r="K1413" s="71">
        <v>48</v>
      </c>
      <c r="L1413" s="71">
        <v>70</v>
      </c>
      <c r="M1413" s="71">
        <v>5</v>
      </c>
      <c r="N1413" s="71">
        <v>59</v>
      </c>
      <c r="O1413" s="71">
        <v>0</v>
      </c>
      <c r="P1413" s="71">
        <v>12</v>
      </c>
      <c r="Q1413" s="71">
        <v>40</v>
      </c>
      <c r="R1413" s="71">
        <v>105</v>
      </c>
      <c r="S1413" s="71" t="s">
        <v>359</v>
      </c>
      <c r="T1413" s="73" t="s">
        <v>4381</v>
      </c>
      <c r="U1413" s="71" t="s">
        <v>4099</v>
      </c>
      <c r="V1413" s="71" t="b">
        <v>0</v>
      </c>
    </row>
    <row r="1414" spans="1:22" ht="17.25">
      <c r="A1414" s="70">
        <v>1017</v>
      </c>
      <c r="B1414" s="70" t="s">
        <v>1074</v>
      </c>
      <c r="C1414" s="70" t="s">
        <v>4436</v>
      </c>
      <c r="D1414" s="70" t="s">
        <v>1073</v>
      </c>
      <c r="E1414" s="70" t="s">
        <v>360</v>
      </c>
      <c r="F1414" s="71">
        <v>6</v>
      </c>
      <c r="G1414" s="71">
        <v>16</v>
      </c>
      <c r="H1414" s="72" t="s">
        <v>4382</v>
      </c>
      <c r="I1414" s="71" t="b">
        <v>0</v>
      </c>
      <c r="J1414" s="71">
        <v>62</v>
      </c>
      <c r="K1414" s="71">
        <v>48</v>
      </c>
      <c r="L1414" s="71">
        <v>70</v>
      </c>
      <c r="M1414" s="71">
        <v>5</v>
      </c>
      <c r="N1414" s="71">
        <v>59</v>
      </c>
      <c r="O1414" s="71">
        <v>0</v>
      </c>
      <c r="P1414" s="71">
        <v>12</v>
      </c>
      <c r="Q1414" s="71">
        <v>40</v>
      </c>
      <c r="R1414" s="71">
        <v>105</v>
      </c>
      <c r="S1414" s="71" t="s">
        <v>359</v>
      </c>
      <c r="T1414" s="73" t="s">
        <v>4381</v>
      </c>
      <c r="U1414" s="71" t="s">
        <v>4099</v>
      </c>
      <c r="V1414" s="71" t="b">
        <v>0</v>
      </c>
    </row>
    <row r="1415" spans="1:22" ht="17.25">
      <c r="A1415" s="70">
        <v>1018</v>
      </c>
      <c r="B1415" s="70" t="s">
        <v>1072</v>
      </c>
      <c r="C1415" s="70" t="s">
        <v>229</v>
      </c>
      <c r="D1415" s="70" t="s">
        <v>1071</v>
      </c>
      <c r="E1415" s="70" t="s">
        <v>227</v>
      </c>
      <c r="F1415" s="71">
        <v>176</v>
      </c>
      <c r="G1415" s="71">
        <v>2</v>
      </c>
      <c r="H1415" s="72" t="s">
        <v>4315</v>
      </c>
      <c r="I1415" s="71" t="b">
        <v>0</v>
      </c>
      <c r="J1415" s="71">
        <v>68</v>
      </c>
      <c r="K1415" s="71">
        <v>48</v>
      </c>
      <c r="L1415" s="71">
        <v>70</v>
      </c>
      <c r="M1415" s="71">
        <v>4</v>
      </c>
      <c r="N1415" s="71">
        <v>55</v>
      </c>
      <c r="O1415" s="71">
        <v>0</v>
      </c>
      <c r="P1415" s="71">
        <v>10</v>
      </c>
      <c r="Q1415" s="71">
        <v>46</v>
      </c>
      <c r="R1415" s="71">
        <v>115</v>
      </c>
      <c r="S1415" s="71" t="s">
        <v>96</v>
      </c>
      <c r="T1415" s="73" t="s">
        <v>4358</v>
      </c>
      <c r="U1415" s="71" t="s">
        <v>3823</v>
      </c>
      <c r="V1415" s="71" t="b">
        <v>0</v>
      </c>
    </row>
    <row r="1416" spans="1:22" ht="17.25">
      <c r="A1416" s="70">
        <v>1019</v>
      </c>
      <c r="B1416" s="70" t="s">
        <v>1070</v>
      </c>
      <c r="C1416" s="70" t="s">
        <v>4799</v>
      </c>
      <c r="D1416" s="70" t="s">
        <v>1069</v>
      </c>
      <c r="E1416" s="70" t="s">
        <v>1068</v>
      </c>
      <c r="F1416" s="71">
        <v>151</v>
      </c>
      <c r="G1416" s="71">
        <v>2</v>
      </c>
      <c r="H1416" s="72" t="s">
        <v>4346</v>
      </c>
      <c r="I1416" s="71" t="b">
        <v>0</v>
      </c>
      <c r="J1416" s="71">
        <v>75</v>
      </c>
      <c r="K1416" s="71">
        <v>68</v>
      </c>
      <c r="L1416" s="71">
        <v>73</v>
      </c>
      <c r="M1416" s="71">
        <v>6</v>
      </c>
      <c r="N1416" s="71">
        <v>25</v>
      </c>
      <c r="O1416" s="71">
        <v>0</v>
      </c>
      <c r="P1416" s="71">
        <v>12</v>
      </c>
      <c r="Q1416" s="71">
        <v>78</v>
      </c>
      <c r="R1416" s="71">
        <v>130</v>
      </c>
      <c r="S1416" s="71" t="s">
        <v>1067</v>
      </c>
      <c r="T1416" s="73" t="s">
        <v>4351</v>
      </c>
      <c r="U1416" s="71" t="s">
        <v>4100</v>
      </c>
      <c r="V1416" s="71" t="b">
        <v>0</v>
      </c>
    </row>
    <row r="1417" spans="1:22" ht="17.25">
      <c r="A1417" s="70">
        <v>1019</v>
      </c>
      <c r="B1417" s="70" t="s">
        <v>1070</v>
      </c>
      <c r="C1417" s="70" t="s">
        <v>4527</v>
      </c>
      <c r="D1417" s="70" t="s">
        <v>1069</v>
      </c>
      <c r="E1417" s="70" t="s">
        <v>1068</v>
      </c>
      <c r="F1417" s="71">
        <v>151</v>
      </c>
      <c r="G1417" s="71">
        <v>2</v>
      </c>
      <c r="H1417" s="72" t="s">
        <v>4346</v>
      </c>
      <c r="I1417" s="71" t="b">
        <v>0</v>
      </c>
      <c r="J1417" s="71">
        <v>75</v>
      </c>
      <c r="K1417" s="71">
        <v>68</v>
      </c>
      <c r="L1417" s="71">
        <v>73</v>
      </c>
      <c r="M1417" s="71">
        <v>6</v>
      </c>
      <c r="N1417" s="71">
        <v>25</v>
      </c>
      <c r="O1417" s="71">
        <v>0</v>
      </c>
      <c r="P1417" s="71">
        <v>12</v>
      </c>
      <c r="Q1417" s="71">
        <v>78</v>
      </c>
      <c r="R1417" s="71">
        <v>130</v>
      </c>
      <c r="S1417" s="71" t="s">
        <v>1067</v>
      </c>
      <c r="T1417" s="73" t="s">
        <v>4351</v>
      </c>
      <c r="U1417" s="71" t="s">
        <v>4100</v>
      </c>
      <c r="V1417" s="71" t="b">
        <v>0</v>
      </c>
    </row>
    <row r="1418" spans="1:22" ht="17.25">
      <c r="A1418" s="70">
        <v>1020</v>
      </c>
      <c r="B1418" s="70" t="s">
        <v>1066</v>
      </c>
      <c r="C1418" s="70" t="s">
        <v>347</v>
      </c>
      <c r="D1418" s="70" t="s">
        <v>1065</v>
      </c>
      <c r="E1418" s="70" t="s">
        <v>44</v>
      </c>
      <c r="F1418" s="71">
        <v>86</v>
      </c>
      <c r="G1418" s="71">
        <v>2</v>
      </c>
      <c r="H1418" s="72" t="s">
        <v>4315</v>
      </c>
      <c r="I1418" s="71" t="b">
        <v>0</v>
      </c>
      <c r="J1418" s="71">
        <v>54</v>
      </c>
      <c r="K1418" s="71">
        <v>48</v>
      </c>
      <c r="L1418" s="71">
        <v>70</v>
      </c>
      <c r="M1418" s="71">
        <v>4</v>
      </c>
      <c r="N1418" s="71">
        <v>61</v>
      </c>
      <c r="O1418" s="71">
        <v>0</v>
      </c>
      <c r="P1418" s="71">
        <v>11</v>
      </c>
      <c r="Q1418" s="71">
        <v>33</v>
      </c>
      <c r="R1418" s="71">
        <v>135</v>
      </c>
      <c r="S1418" s="71" t="s">
        <v>96</v>
      </c>
      <c r="T1418" s="73" t="s">
        <v>4385</v>
      </c>
      <c r="U1418" s="71" t="s">
        <v>4101</v>
      </c>
      <c r="V1418" s="71" t="b">
        <v>0</v>
      </c>
    </row>
    <row r="1419" spans="1:22" ht="17.25">
      <c r="A1419" s="70">
        <v>1021</v>
      </c>
      <c r="B1419" s="70" t="s">
        <v>1064</v>
      </c>
      <c r="C1419" s="70" t="s">
        <v>1063</v>
      </c>
      <c r="D1419" s="70" t="s">
        <v>1062</v>
      </c>
      <c r="E1419" s="70" t="s">
        <v>1061</v>
      </c>
      <c r="F1419" s="71">
        <v>155</v>
      </c>
      <c r="G1419" s="71">
        <v>1</v>
      </c>
      <c r="H1419" s="72" t="s">
        <v>4315</v>
      </c>
      <c r="I1419" s="71" t="b">
        <v>0</v>
      </c>
      <c r="J1419" s="71">
        <v>82</v>
      </c>
      <c r="K1419" s="71">
        <v>68</v>
      </c>
      <c r="L1419" s="71">
        <v>74</v>
      </c>
      <c r="M1419" s="71">
        <v>14</v>
      </c>
      <c r="N1419" s="71">
        <v>15</v>
      </c>
      <c r="O1419" s="71">
        <v>0</v>
      </c>
      <c r="P1419" s="71">
        <v>14</v>
      </c>
      <c r="Q1419" s="71">
        <v>70</v>
      </c>
      <c r="R1419" s="71">
        <v>120</v>
      </c>
      <c r="S1419" s="71" t="s">
        <v>96</v>
      </c>
      <c r="T1419" s="73" t="s">
        <v>4366</v>
      </c>
      <c r="U1419" s="71" t="s">
        <v>4102</v>
      </c>
      <c r="V1419" s="71" t="b">
        <v>0</v>
      </c>
    </row>
    <row r="1420" spans="1:22" ht="17.25">
      <c r="A1420" s="70">
        <v>1022</v>
      </c>
      <c r="B1420" s="70" t="s">
        <v>1060</v>
      </c>
      <c r="C1420" s="70" t="s">
        <v>178</v>
      </c>
      <c r="D1420" s="70" t="s">
        <v>1059</v>
      </c>
      <c r="E1420" s="70" t="s">
        <v>388</v>
      </c>
      <c r="F1420" s="71">
        <v>28</v>
      </c>
      <c r="G1420" s="71">
        <v>15</v>
      </c>
      <c r="H1420" s="72">
        <v>0.17847222222222223</v>
      </c>
      <c r="I1420" s="71" t="b">
        <v>0</v>
      </c>
      <c r="J1420" s="71">
        <v>85</v>
      </c>
      <c r="K1420" s="71">
        <v>98</v>
      </c>
      <c r="L1420" s="71">
        <v>93</v>
      </c>
      <c r="M1420" s="71">
        <v>8</v>
      </c>
      <c r="N1420" s="71">
        <v>25</v>
      </c>
      <c r="O1420" s="71">
        <v>47</v>
      </c>
      <c r="P1420" s="71">
        <v>31</v>
      </c>
      <c r="Q1420" s="71">
        <v>60</v>
      </c>
      <c r="R1420" s="71">
        <v>118</v>
      </c>
      <c r="S1420" s="71" t="s">
        <v>96</v>
      </c>
      <c r="T1420" s="73">
        <v>32020</v>
      </c>
      <c r="U1420" s="71" t="s">
        <v>3410</v>
      </c>
      <c r="V1420" s="71" t="b">
        <v>0</v>
      </c>
    </row>
    <row r="1421" spans="1:22" ht="17.25">
      <c r="A1421" s="70">
        <v>1023</v>
      </c>
      <c r="B1421" s="70" t="s">
        <v>1058</v>
      </c>
      <c r="C1421" s="70" t="s">
        <v>131</v>
      </c>
      <c r="D1421" s="70" t="s">
        <v>1057</v>
      </c>
      <c r="E1421" s="70" t="s">
        <v>129</v>
      </c>
      <c r="F1421" s="71">
        <v>3</v>
      </c>
      <c r="G1421" s="71">
        <v>91</v>
      </c>
      <c r="H1421" s="72">
        <v>0.13750000000000001</v>
      </c>
      <c r="I1421" s="71" t="b">
        <v>0</v>
      </c>
      <c r="J1421" s="71">
        <v>14</v>
      </c>
      <c r="K1421" s="71">
        <v>20</v>
      </c>
      <c r="L1421" s="71">
        <v>67</v>
      </c>
      <c r="M1421" s="71">
        <v>14</v>
      </c>
      <c r="N1421" s="71">
        <v>26</v>
      </c>
      <c r="O1421" s="71">
        <v>100</v>
      </c>
      <c r="P1421" s="71">
        <v>20</v>
      </c>
      <c r="Q1421" s="71">
        <v>12</v>
      </c>
      <c r="R1421" s="71">
        <v>138</v>
      </c>
      <c r="S1421" s="71" t="s">
        <v>128</v>
      </c>
      <c r="T1421" s="73">
        <v>45662</v>
      </c>
      <c r="U1421" s="71" t="s">
        <v>3505</v>
      </c>
      <c r="V1421" s="71" t="b">
        <v>0</v>
      </c>
    </row>
    <row r="1422" spans="1:22" ht="17.25">
      <c r="A1422" s="70">
        <v>1024</v>
      </c>
      <c r="B1422" s="70" t="s">
        <v>1056</v>
      </c>
      <c r="C1422" s="70" t="s">
        <v>4800</v>
      </c>
      <c r="D1422" s="70" t="s">
        <v>1055</v>
      </c>
      <c r="E1422" s="70" t="s">
        <v>1054</v>
      </c>
      <c r="F1422" s="71">
        <v>121</v>
      </c>
      <c r="G1422" s="71">
        <v>47</v>
      </c>
      <c r="H1422" s="72">
        <v>0.16458333333333333</v>
      </c>
      <c r="I1422" s="71" t="b">
        <v>1</v>
      </c>
      <c r="J1422" s="71">
        <v>64</v>
      </c>
      <c r="K1422" s="71">
        <v>63</v>
      </c>
      <c r="L1422" s="71">
        <v>87</v>
      </c>
      <c r="M1422" s="71">
        <v>4</v>
      </c>
      <c r="N1422" s="71">
        <v>4</v>
      </c>
      <c r="O1422" s="71">
        <v>0</v>
      </c>
      <c r="P1422" s="71">
        <v>39</v>
      </c>
      <c r="Q1422" s="71">
        <v>43</v>
      </c>
      <c r="R1422" s="71">
        <v>90</v>
      </c>
      <c r="S1422" s="71" t="s">
        <v>48</v>
      </c>
      <c r="T1422" s="73">
        <v>39336</v>
      </c>
      <c r="U1422" s="71" t="s">
        <v>4103</v>
      </c>
      <c r="V1422" s="71" t="b">
        <v>0</v>
      </c>
    </row>
    <row r="1423" spans="1:22" ht="17.25">
      <c r="A1423" s="70">
        <v>1024</v>
      </c>
      <c r="B1423" s="70" t="s">
        <v>1056</v>
      </c>
      <c r="C1423" s="70" t="s">
        <v>1613</v>
      </c>
      <c r="D1423" s="70" t="s">
        <v>1055</v>
      </c>
      <c r="E1423" s="70" t="s">
        <v>1054</v>
      </c>
      <c r="F1423" s="71">
        <v>121</v>
      </c>
      <c r="G1423" s="71">
        <v>47</v>
      </c>
      <c r="H1423" s="72">
        <v>0.16458333333333333</v>
      </c>
      <c r="I1423" s="71" t="b">
        <v>1</v>
      </c>
      <c r="J1423" s="71">
        <v>64</v>
      </c>
      <c r="K1423" s="71">
        <v>63</v>
      </c>
      <c r="L1423" s="71">
        <v>87</v>
      </c>
      <c r="M1423" s="71">
        <v>4</v>
      </c>
      <c r="N1423" s="71">
        <v>4</v>
      </c>
      <c r="O1423" s="71">
        <v>0</v>
      </c>
      <c r="P1423" s="71">
        <v>39</v>
      </c>
      <c r="Q1423" s="71">
        <v>43</v>
      </c>
      <c r="R1423" s="71">
        <v>90</v>
      </c>
      <c r="S1423" s="71" t="s">
        <v>48</v>
      </c>
      <c r="T1423" s="73">
        <v>39336</v>
      </c>
      <c r="U1423" s="71" t="s">
        <v>4103</v>
      </c>
      <c r="V1423" s="71" t="b">
        <v>0</v>
      </c>
    </row>
    <row r="1424" spans="1:22" ht="17.25">
      <c r="A1424" s="70">
        <v>1025</v>
      </c>
      <c r="B1424" s="70" t="s">
        <v>1053</v>
      </c>
      <c r="C1424" s="70" t="s">
        <v>1031</v>
      </c>
      <c r="D1424" s="70" t="s">
        <v>1052</v>
      </c>
      <c r="E1424" s="70" t="s">
        <v>1029</v>
      </c>
      <c r="F1424" s="71">
        <v>80</v>
      </c>
      <c r="G1424" s="71">
        <v>37</v>
      </c>
      <c r="H1424" s="72">
        <v>0.16875000000000001</v>
      </c>
      <c r="I1424" s="71" t="b">
        <v>0</v>
      </c>
      <c r="J1424" s="71">
        <v>50</v>
      </c>
      <c r="K1424" s="71">
        <v>70</v>
      </c>
      <c r="L1424" s="71">
        <v>91</v>
      </c>
      <c r="M1424" s="71">
        <v>3</v>
      </c>
      <c r="N1424" s="71">
        <v>33</v>
      </c>
      <c r="O1424" s="71">
        <v>9</v>
      </c>
      <c r="P1424" s="71">
        <v>10</v>
      </c>
      <c r="Q1424" s="71">
        <v>60</v>
      </c>
      <c r="R1424" s="71">
        <v>115</v>
      </c>
      <c r="S1424" s="71" t="s">
        <v>1028</v>
      </c>
      <c r="T1424" s="73">
        <v>41526</v>
      </c>
      <c r="U1424" s="71" t="s">
        <v>4077</v>
      </c>
      <c r="V1424" s="71" t="b">
        <v>0</v>
      </c>
    </row>
    <row r="1425" spans="1:22" ht="17.25">
      <c r="A1425" s="70">
        <v>1026</v>
      </c>
      <c r="B1425" s="70" t="s">
        <v>1051</v>
      </c>
      <c r="C1425" s="70" t="s">
        <v>4801</v>
      </c>
      <c r="D1425" s="70" t="s">
        <v>1050</v>
      </c>
      <c r="E1425" s="70" t="s">
        <v>1049</v>
      </c>
      <c r="F1425" s="71">
        <v>98</v>
      </c>
      <c r="G1425" s="71">
        <v>10</v>
      </c>
      <c r="H1425" s="72" t="s">
        <v>4334</v>
      </c>
      <c r="I1425" s="71" t="b">
        <v>0</v>
      </c>
      <c r="J1425" s="71">
        <v>63</v>
      </c>
      <c r="K1425" s="71">
        <v>48</v>
      </c>
      <c r="L1425" s="71">
        <v>70</v>
      </c>
      <c r="M1425" s="71">
        <v>4</v>
      </c>
      <c r="N1425" s="71">
        <v>58</v>
      </c>
      <c r="O1425" s="71">
        <v>0</v>
      </c>
      <c r="P1425" s="71">
        <v>11</v>
      </c>
      <c r="Q1425" s="71">
        <v>45</v>
      </c>
      <c r="R1425" s="71">
        <v>95</v>
      </c>
      <c r="S1425" s="71" t="s">
        <v>359</v>
      </c>
      <c r="T1425" s="73" t="s">
        <v>4392</v>
      </c>
      <c r="U1425" s="71" t="s">
        <v>4104</v>
      </c>
      <c r="V1425" s="71" t="b">
        <v>0</v>
      </c>
    </row>
    <row r="1426" spans="1:22" ht="17.25">
      <c r="A1426" s="70">
        <v>1026</v>
      </c>
      <c r="B1426" s="70" t="s">
        <v>1051</v>
      </c>
      <c r="C1426" s="70" t="s">
        <v>4528</v>
      </c>
      <c r="D1426" s="70" t="s">
        <v>1050</v>
      </c>
      <c r="E1426" s="70" t="s">
        <v>1049</v>
      </c>
      <c r="F1426" s="71">
        <v>98</v>
      </c>
      <c r="G1426" s="71">
        <v>10</v>
      </c>
      <c r="H1426" s="72" t="s">
        <v>4334</v>
      </c>
      <c r="I1426" s="71" t="b">
        <v>0</v>
      </c>
      <c r="J1426" s="71">
        <v>63</v>
      </c>
      <c r="K1426" s="71">
        <v>48</v>
      </c>
      <c r="L1426" s="71">
        <v>70</v>
      </c>
      <c r="M1426" s="71">
        <v>4</v>
      </c>
      <c r="N1426" s="71">
        <v>58</v>
      </c>
      <c r="O1426" s="71">
        <v>0</v>
      </c>
      <c r="P1426" s="71">
        <v>11</v>
      </c>
      <c r="Q1426" s="71">
        <v>45</v>
      </c>
      <c r="R1426" s="71">
        <v>95</v>
      </c>
      <c r="S1426" s="71" t="s">
        <v>359</v>
      </c>
      <c r="T1426" s="73" t="s">
        <v>4392</v>
      </c>
      <c r="U1426" s="71" t="s">
        <v>4104</v>
      </c>
      <c r="V1426" s="71" t="b">
        <v>0</v>
      </c>
    </row>
    <row r="1427" spans="1:22" ht="17.25">
      <c r="A1427" s="70">
        <v>1026</v>
      </c>
      <c r="B1427" s="70" t="s">
        <v>1051</v>
      </c>
      <c r="C1427" s="70" t="s">
        <v>4802</v>
      </c>
      <c r="D1427" s="70" t="s">
        <v>1050</v>
      </c>
      <c r="E1427" s="70" t="s">
        <v>1049</v>
      </c>
      <c r="F1427" s="71">
        <v>98</v>
      </c>
      <c r="G1427" s="71">
        <v>10</v>
      </c>
      <c r="H1427" s="72" t="s">
        <v>4334</v>
      </c>
      <c r="I1427" s="71" t="b">
        <v>0</v>
      </c>
      <c r="J1427" s="71">
        <v>63</v>
      </c>
      <c r="K1427" s="71">
        <v>48</v>
      </c>
      <c r="L1427" s="71">
        <v>70</v>
      </c>
      <c r="M1427" s="71">
        <v>4</v>
      </c>
      <c r="N1427" s="71">
        <v>58</v>
      </c>
      <c r="O1427" s="71">
        <v>0</v>
      </c>
      <c r="P1427" s="71">
        <v>11</v>
      </c>
      <c r="Q1427" s="71">
        <v>45</v>
      </c>
      <c r="R1427" s="71">
        <v>95</v>
      </c>
      <c r="S1427" s="71" t="s">
        <v>359</v>
      </c>
      <c r="T1427" s="73" t="s">
        <v>4392</v>
      </c>
      <c r="U1427" s="71" t="s">
        <v>4104</v>
      </c>
      <c r="V1427" s="71" t="b">
        <v>0</v>
      </c>
    </row>
    <row r="1428" spans="1:22" ht="17.25">
      <c r="A1428" s="70">
        <v>1027</v>
      </c>
      <c r="B1428" s="70" t="s">
        <v>1048</v>
      </c>
      <c r="C1428" s="70" t="s">
        <v>1046</v>
      </c>
      <c r="D1428" s="70" t="s">
        <v>1047</v>
      </c>
      <c r="E1428" s="70" t="s">
        <v>1046</v>
      </c>
      <c r="F1428" s="71">
        <v>200</v>
      </c>
      <c r="G1428" s="71">
        <v>2</v>
      </c>
      <c r="H1428" s="72">
        <v>0.13750000000000001</v>
      </c>
      <c r="I1428" s="71" t="b">
        <v>0</v>
      </c>
      <c r="J1428" s="71">
        <v>62</v>
      </c>
      <c r="K1428" s="71">
        <v>62</v>
      </c>
      <c r="L1428" s="71">
        <v>76</v>
      </c>
      <c r="M1428" s="71">
        <v>6</v>
      </c>
      <c r="N1428" s="71">
        <v>30</v>
      </c>
      <c r="O1428" s="71">
        <v>0</v>
      </c>
      <c r="P1428" s="71">
        <v>10</v>
      </c>
      <c r="Q1428" s="71">
        <v>52</v>
      </c>
      <c r="R1428" s="71">
        <v>95</v>
      </c>
      <c r="S1428" s="71" t="s">
        <v>1045</v>
      </c>
      <c r="T1428" s="73">
        <v>45765</v>
      </c>
      <c r="U1428" s="71" t="s">
        <v>4105</v>
      </c>
      <c r="V1428" s="71" t="b">
        <v>0</v>
      </c>
    </row>
    <row r="1429" spans="1:22" ht="17.25">
      <c r="A1429" s="70">
        <v>1029</v>
      </c>
      <c r="B1429" s="70" t="s">
        <v>1043</v>
      </c>
      <c r="C1429" s="70" t="s">
        <v>1042</v>
      </c>
      <c r="D1429" s="70" t="s">
        <v>1041</v>
      </c>
      <c r="E1429" s="70" t="s">
        <v>104</v>
      </c>
      <c r="F1429" s="71">
        <v>112</v>
      </c>
      <c r="G1429" s="71">
        <v>7</v>
      </c>
      <c r="H1429" s="72">
        <v>0.1</v>
      </c>
      <c r="I1429" s="71" t="b">
        <v>0</v>
      </c>
      <c r="J1429" s="71">
        <v>52</v>
      </c>
      <c r="K1429" s="71">
        <v>50</v>
      </c>
      <c r="L1429" s="71">
        <v>72</v>
      </c>
      <c r="M1429" s="71">
        <v>3</v>
      </c>
      <c r="N1429" s="71">
        <v>55</v>
      </c>
      <c r="O1429" s="71">
        <v>0</v>
      </c>
      <c r="P1429" s="71">
        <v>15</v>
      </c>
      <c r="Q1429" s="71">
        <v>75</v>
      </c>
      <c r="R1429" s="71">
        <v>120</v>
      </c>
      <c r="S1429" s="71" t="s">
        <v>29</v>
      </c>
      <c r="T1429" s="73">
        <v>22951</v>
      </c>
      <c r="U1429" s="71" t="s">
        <v>3966</v>
      </c>
      <c r="V1429" s="71" t="b">
        <v>1</v>
      </c>
    </row>
    <row r="1430" spans="1:22" ht="17.25">
      <c r="A1430" s="70">
        <v>1030</v>
      </c>
      <c r="B1430" s="70" t="s">
        <v>1040</v>
      </c>
      <c r="C1430" s="70" t="s">
        <v>46</v>
      </c>
      <c r="D1430" s="70" t="s">
        <v>1039</v>
      </c>
      <c r="E1430" s="70" t="s">
        <v>44</v>
      </c>
      <c r="F1430" s="71">
        <v>30</v>
      </c>
      <c r="G1430" s="71">
        <v>30</v>
      </c>
      <c r="H1430" s="72" t="s">
        <v>4315</v>
      </c>
      <c r="I1430" s="71" t="b">
        <v>0</v>
      </c>
      <c r="J1430" s="71">
        <v>72</v>
      </c>
      <c r="K1430" s="71">
        <v>65</v>
      </c>
      <c r="L1430" s="71">
        <v>73</v>
      </c>
      <c r="M1430" s="71">
        <v>8</v>
      </c>
      <c r="N1430" s="71">
        <v>45</v>
      </c>
      <c r="O1430" s="71">
        <v>19</v>
      </c>
      <c r="P1430" s="71">
        <v>16</v>
      </c>
      <c r="Q1430" s="71">
        <v>68</v>
      </c>
      <c r="R1430" s="71">
        <v>142</v>
      </c>
      <c r="S1430" s="71" t="s">
        <v>43</v>
      </c>
      <c r="T1430" s="73" t="s">
        <v>4388</v>
      </c>
      <c r="U1430" s="71" t="s">
        <v>4106</v>
      </c>
      <c r="V1430" s="71" t="b">
        <v>0</v>
      </c>
    </row>
    <row r="1431" spans="1:22" ht="17.25">
      <c r="A1431" s="70">
        <v>1031</v>
      </c>
      <c r="B1431" s="70" t="s">
        <v>1038</v>
      </c>
      <c r="C1431" s="70" t="s">
        <v>131</v>
      </c>
      <c r="D1431" s="70" t="s">
        <v>1037</v>
      </c>
      <c r="E1431" s="70" t="s">
        <v>129</v>
      </c>
      <c r="F1431" s="71">
        <v>11</v>
      </c>
      <c r="G1431" s="71">
        <v>16</v>
      </c>
      <c r="H1431" s="72">
        <v>0.12847222222222221</v>
      </c>
      <c r="I1431" s="71" t="b">
        <v>0</v>
      </c>
      <c r="J1431" s="71">
        <v>46</v>
      </c>
      <c r="K1431" s="71">
        <v>30</v>
      </c>
      <c r="L1431" s="71">
        <v>46</v>
      </c>
      <c r="M1431" s="71">
        <v>60</v>
      </c>
      <c r="N1431" s="71">
        <v>87</v>
      </c>
      <c r="O1431" s="71">
        <v>33</v>
      </c>
      <c r="P1431" s="71">
        <v>35</v>
      </c>
      <c r="Q1431" s="71">
        <v>36</v>
      </c>
      <c r="R1431" s="71">
        <v>96</v>
      </c>
      <c r="S1431" s="71" t="s">
        <v>128</v>
      </c>
      <c r="T1431" s="73">
        <v>45662</v>
      </c>
      <c r="U1431" s="71" t="s">
        <v>3505</v>
      </c>
      <c r="V1431" s="71" t="b">
        <v>0</v>
      </c>
    </row>
    <row r="1432" spans="1:22" ht="17.25">
      <c r="A1432" s="70">
        <v>1031</v>
      </c>
      <c r="B1432" s="70" t="s">
        <v>1038</v>
      </c>
      <c r="C1432" s="70" t="s">
        <v>4803</v>
      </c>
      <c r="D1432" s="70" t="s">
        <v>1037</v>
      </c>
      <c r="E1432" s="70" t="s">
        <v>129</v>
      </c>
      <c r="F1432" s="71">
        <v>11</v>
      </c>
      <c r="G1432" s="71">
        <v>16</v>
      </c>
      <c r="H1432" s="72">
        <v>0.12847222222222221</v>
      </c>
      <c r="I1432" s="71" t="b">
        <v>0</v>
      </c>
      <c r="J1432" s="71">
        <v>46</v>
      </c>
      <c r="K1432" s="71">
        <v>30</v>
      </c>
      <c r="L1432" s="71">
        <v>46</v>
      </c>
      <c r="M1432" s="71">
        <v>60</v>
      </c>
      <c r="N1432" s="71">
        <v>87</v>
      </c>
      <c r="O1432" s="71">
        <v>33</v>
      </c>
      <c r="P1432" s="71">
        <v>35</v>
      </c>
      <c r="Q1432" s="71">
        <v>36</v>
      </c>
      <c r="R1432" s="71">
        <v>96</v>
      </c>
      <c r="S1432" s="71" t="s">
        <v>128</v>
      </c>
      <c r="T1432" s="73">
        <v>45662</v>
      </c>
      <c r="U1432" s="71" t="s">
        <v>3505</v>
      </c>
      <c r="V1432" s="71" t="b">
        <v>0</v>
      </c>
    </row>
    <row r="1433" spans="1:22" ht="17.25">
      <c r="A1433" s="70">
        <v>1032</v>
      </c>
      <c r="B1433" s="70" t="s">
        <v>1036</v>
      </c>
      <c r="C1433" s="70" t="s">
        <v>1035</v>
      </c>
      <c r="D1433" s="70" t="s">
        <v>1034</v>
      </c>
      <c r="E1433" s="70" t="s">
        <v>1033</v>
      </c>
      <c r="F1433" s="71">
        <v>184</v>
      </c>
      <c r="G1433" s="71">
        <v>3</v>
      </c>
      <c r="H1433" s="72" t="s">
        <v>4334</v>
      </c>
      <c r="I1433" s="71" t="b">
        <v>0</v>
      </c>
      <c r="J1433" s="71">
        <v>58</v>
      </c>
      <c r="K1433" s="71">
        <v>50</v>
      </c>
      <c r="L1433" s="71">
        <v>70</v>
      </c>
      <c r="M1433" s="71">
        <v>5</v>
      </c>
      <c r="N1433" s="71">
        <v>54</v>
      </c>
      <c r="O1433" s="71">
        <v>0</v>
      </c>
      <c r="P1433" s="71">
        <v>12</v>
      </c>
      <c r="Q1433" s="71">
        <v>40</v>
      </c>
      <c r="R1433" s="71">
        <v>110</v>
      </c>
      <c r="S1433" s="71" t="s">
        <v>74</v>
      </c>
      <c r="T1433" s="73" t="s">
        <v>4345</v>
      </c>
      <c r="U1433" s="71" t="s">
        <v>4107</v>
      </c>
      <c r="V1433" s="71" t="b">
        <v>0</v>
      </c>
    </row>
    <row r="1434" spans="1:22" ht="17.25">
      <c r="A1434" s="70">
        <v>1033</v>
      </c>
      <c r="B1434" s="70" t="s">
        <v>1032</v>
      </c>
      <c r="C1434" s="70" t="s">
        <v>1031</v>
      </c>
      <c r="D1434" s="70" t="s">
        <v>1030</v>
      </c>
      <c r="E1434" s="70" t="s">
        <v>1029</v>
      </c>
      <c r="F1434" s="71">
        <v>15</v>
      </c>
      <c r="G1434" s="71">
        <v>221</v>
      </c>
      <c r="H1434" s="72">
        <v>0.12708333333333333</v>
      </c>
      <c r="I1434" s="71" t="b">
        <v>0</v>
      </c>
      <c r="J1434" s="71">
        <v>46</v>
      </c>
      <c r="K1434" s="71">
        <v>42</v>
      </c>
      <c r="L1434" s="71">
        <v>84</v>
      </c>
      <c r="M1434" s="71">
        <v>3</v>
      </c>
      <c r="N1434" s="71">
        <v>14</v>
      </c>
      <c r="O1434" s="71">
        <v>2</v>
      </c>
      <c r="P1434" s="71">
        <v>10</v>
      </c>
      <c r="Q1434" s="71">
        <v>48</v>
      </c>
      <c r="R1434" s="71">
        <v>68</v>
      </c>
      <c r="S1434" s="71" t="s">
        <v>1028</v>
      </c>
      <c r="T1434" s="73">
        <v>41526</v>
      </c>
      <c r="U1434" s="71" t="s">
        <v>4077</v>
      </c>
      <c r="V1434" s="71" t="b">
        <v>0</v>
      </c>
    </row>
    <row r="1435" spans="1:22" ht="17.25">
      <c r="A1435" s="70">
        <v>1034</v>
      </c>
      <c r="B1435" s="70" t="s">
        <v>1027</v>
      </c>
      <c r="C1435" s="70" t="s">
        <v>1026</v>
      </c>
      <c r="D1435" s="70" t="s">
        <v>1025</v>
      </c>
      <c r="E1435" s="70" t="s">
        <v>579</v>
      </c>
      <c r="F1435" s="71">
        <v>12</v>
      </c>
      <c r="G1435" s="71">
        <v>49</v>
      </c>
      <c r="H1435" s="72">
        <v>0.12361111111111112</v>
      </c>
      <c r="I1435" s="71" t="b">
        <v>1</v>
      </c>
      <c r="J1435" s="71">
        <v>36</v>
      </c>
      <c r="K1435" s="71">
        <v>28</v>
      </c>
      <c r="L1435" s="71">
        <v>86</v>
      </c>
      <c r="M1435" s="71">
        <v>3</v>
      </c>
      <c r="N1435" s="71">
        <v>80</v>
      </c>
      <c r="O1435" s="71">
        <v>0</v>
      </c>
      <c r="P1435" s="71">
        <v>18</v>
      </c>
      <c r="Q1435" s="71">
        <v>28</v>
      </c>
      <c r="R1435" s="71">
        <v>100</v>
      </c>
      <c r="S1435" s="71" t="s">
        <v>26</v>
      </c>
      <c r="T1435" s="73">
        <v>44904</v>
      </c>
      <c r="U1435" s="71" t="s">
        <v>4015</v>
      </c>
      <c r="V1435" s="71" t="b">
        <v>0</v>
      </c>
    </row>
    <row r="1436" spans="1:22" ht="17.25">
      <c r="A1436" s="70">
        <v>1035</v>
      </c>
      <c r="B1436" s="70" t="s">
        <v>1024</v>
      </c>
      <c r="C1436" s="70" t="s">
        <v>32</v>
      </c>
      <c r="D1436" s="70" t="s">
        <v>1023</v>
      </c>
      <c r="E1436" s="70" t="s">
        <v>30</v>
      </c>
      <c r="F1436" s="71">
        <v>164</v>
      </c>
      <c r="G1436" s="71">
        <v>1</v>
      </c>
      <c r="H1436" s="72" t="s">
        <v>4315</v>
      </c>
      <c r="I1436" s="71" t="b">
        <v>1</v>
      </c>
      <c r="J1436" s="71">
        <v>64</v>
      </c>
      <c r="K1436" s="71">
        <v>52</v>
      </c>
      <c r="L1436" s="71">
        <v>71</v>
      </c>
      <c r="M1436" s="71">
        <v>5</v>
      </c>
      <c r="N1436" s="71">
        <v>45</v>
      </c>
      <c r="O1436" s="71">
        <v>0</v>
      </c>
      <c r="P1436" s="71">
        <v>10</v>
      </c>
      <c r="Q1436" s="71">
        <v>46</v>
      </c>
      <c r="R1436" s="71">
        <v>105</v>
      </c>
      <c r="S1436" s="71" t="s">
        <v>96</v>
      </c>
      <c r="T1436" s="73" t="s">
        <v>4372</v>
      </c>
      <c r="U1436" s="71" t="s">
        <v>3479</v>
      </c>
      <c r="V1436" s="71" t="b">
        <v>0</v>
      </c>
    </row>
    <row r="1437" spans="1:22" ht="17.25">
      <c r="A1437" s="70">
        <v>1036</v>
      </c>
      <c r="B1437" s="70" t="s">
        <v>1022</v>
      </c>
      <c r="C1437" s="70" t="s">
        <v>4505</v>
      </c>
      <c r="D1437" s="70" t="s">
        <v>1021</v>
      </c>
      <c r="E1437" s="70" t="s">
        <v>1020</v>
      </c>
      <c r="F1437" s="71">
        <v>24</v>
      </c>
      <c r="G1437" s="71">
        <v>15</v>
      </c>
      <c r="H1437" s="72">
        <v>0.12847222222222221</v>
      </c>
      <c r="I1437" s="71" t="b">
        <v>1</v>
      </c>
      <c r="J1437" s="71">
        <v>84</v>
      </c>
      <c r="K1437" s="71">
        <v>75</v>
      </c>
      <c r="L1437" s="71">
        <v>94</v>
      </c>
      <c r="M1437" s="71">
        <v>6</v>
      </c>
      <c r="N1437" s="71">
        <v>39</v>
      </c>
      <c r="O1437" s="71">
        <v>0</v>
      </c>
      <c r="P1437" s="71">
        <v>8</v>
      </c>
      <c r="Q1437" s="71">
        <v>58</v>
      </c>
      <c r="R1437" s="71">
        <v>112</v>
      </c>
      <c r="S1437" s="71" t="s">
        <v>61</v>
      </c>
      <c r="T1437" s="73">
        <v>45779</v>
      </c>
      <c r="U1437" s="71" t="s">
        <v>4108</v>
      </c>
      <c r="V1437" s="71" t="b">
        <v>0</v>
      </c>
    </row>
    <row r="1438" spans="1:22" ht="17.25">
      <c r="A1438" s="70">
        <v>1036</v>
      </c>
      <c r="B1438" s="70" t="s">
        <v>1022</v>
      </c>
      <c r="C1438" s="70" t="s">
        <v>141</v>
      </c>
      <c r="D1438" s="70" t="s">
        <v>1021</v>
      </c>
      <c r="E1438" s="70" t="s">
        <v>1020</v>
      </c>
      <c r="F1438" s="71">
        <v>24</v>
      </c>
      <c r="G1438" s="71">
        <v>15</v>
      </c>
      <c r="H1438" s="72">
        <v>0.12847222222222221</v>
      </c>
      <c r="I1438" s="71" t="b">
        <v>1</v>
      </c>
      <c r="J1438" s="71">
        <v>84</v>
      </c>
      <c r="K1438" s="71">
        <v>75</v>
      </c>
      <c r="L1438" s="71">
        <v>94</v>
      </c>
      <c r="M1438" s="71">
        <v>6</v>
      </c>
      <c r="N1438" s="71">
        <v>39</v>
      </c>
      <c r="O1438" s="71">
        <v>0</v>
      </c>
      <c r="P1438" s="71">
        <v>8</v>
      </c>
      <c r="Q1438" s="71">
        <v>58</v>
      </c>
      <c r="R1438" s="71">
        <v>112</v>
      </c>
      <c r="S1438" s="71" t="s">
        <v>61</v>
      </c>
      <c r="T1438" s="73">
        <v>45779</v>
      </c>
      <c r="U1438" s="71" t="s">
        <v>4108</v>
      </c>
      <c r="V1438" s="71" t="b">
        <v>0</v>
      </c>
    </row>
    <row r="1439" spans="1:22" ht="17.25">
      <c r="A1439" s="70">
        <v>1038</v>
      </c>
      <c r="B1439" s="70" t="s">
        <v>1018</v>
      </c>
      <c r="C1439" s="70" t="s">
        <v>182</v>
      </c>
      <c r="D1439" s="70" t="s">
        <v>1017</v>
      </c>
      <c r="E1439" s="70" t="s">
        <v>349</v>
      </c>
      <c r="F1439" s="71">
        <v>147</v>
      </c>
      <c r="G1439" s="71">
        <v>1</v>
      </c>
      <c r="H1439" s="72" t="s">
        <v>4320</v>
      </c>
      <c r="I1439" s="71" t="b">
        <v>1</v>
      </c>
      <c r="J1439" s="71">
        <v>73</v>
      </c>
      <c r="K1439" s="71">
        <v>50</v>
      </c>
      <c r="L1439" s="71">
        <v>70</v>
      </c>
      <c r="M1439" s="71">
        <v>36</v>
      </c>
      <c r="N1439" s="71">
        <v>47</v>
      </c>
      <c r="O1439" s="71">
        <v>0</v>
      </c>
      <c r="P1439" s="71">
        <v>12</v>
      </c>
      <c r="Q1439" s="71">
        <v>32</v>
      </c>
      <c r="R1439" s="71">
        <v>120</v>
      </c>
      <c r="S1439" s="71" t="s">
        <v>48</v>
      </c>
      <c r="T1439" s="73" t="s">
        <v>4330</v>
      </c>
      <c r="U1439" s="71" t="s">
        <v>3586</v>
      </c>
      <c r="V1439" s="71" t="b">
        <v>0</v>
      </c>
    </row>
    <row r="1440" spans="1:22" ht="17.25">
      <c r="A1440" s="70">
        <v>1039</v>
      </c>
      <c r="B1440" s="70" t="s">
        <v>1016</v>
      </c>
      <c r="C1440" s="70" t="s">
        <v>1015</v>
      </c>
      <c r="D1440" s="70" t="s">
        <v>1014</v>
      </c>
      <c r="E1440" s="70" t="s">
        <v>1013</v>
      </c>
      <c r="F1440" s="71">
        <v>12</v>
      </c>
      <c r="G1440" s="71">
        <v>62</v>
      </c>
      <c r="H1440" s="72">
        <v>0.1388888888888889</v>
      </c>
      <c r="I1440" s="71" t="b">
        <v>0</v>
      </c>
      <c r="J1440" s="71">
        <v>67</v>
      </c>
      <c r="K1440" s="71">
        <v>72</v>
      </c>
      <c r="L1440" s="71">
        <v>94</v>
      </c>
      <c r="M1440" s="71">
        <v>8</v>
      </c>
      <c r="N1440" s="71">
        <v>9</v>
      </c>
      <c r="O1440" s="71">
        <v>0</v>
      </c>
      <c r="P1440" s="71">
        <v>14</v>
      </c>
      <c r="Q1440" s="71">
        <v>52</v>
      </c>
      <c r="R1440" s="71">
        <v>117</v>
      </c>
      <c r="S1440" s="71" t="s">
        <v>1012</v>
      </c>
      <c r="T1440" s="73">
        <v>45135</v>
      </c>
      <c r="U1440" s="71" t="s">
        <v>4109</v>
      </c>
      <c r="V1440" s="71" t="b">
        <v>0</v>
      </c>
    </row>
    <row r="1441" spans="1:22" ht="17.25">
      <c r="A1441" s="70">
        <v>1040</v>
      </c>
      <c r="B1441" s="70" t="s">
        <v>1011</v>
      </c>
      <c r="C1441" s="70" t="s">
        <v>1010</v>
      </c>
      <c r="D1441" s="70" t="s">
        <v>1009</v>
      </c>
      <c r="E1441" s="70" t="s">
        <v>1008</v>
      </c>
      <c r="F1441" s="71">
        <v>196</v>
      </c>
      <c r="G1441" s="71">
        <v>1</v>
      </c>
      <c r="H1441" s="72" t="s">
        <v>4315</v>
      </c>
      <c r="I1441" s="71" t="b">
        <v>1</v>
      </c>
      <c r="J1441" s="71">
        <v>72</v>
      </c>
      <c r="K1441" s="71">
        <v>60</v>
      </c>
      <c r="L1441" s="71">
        <v>73</v>
      </c>
      <c r="M1441" s="71">
        <v>6</v>
      </c>
      <c r="N1441" s="71">
        <v>35</v>
      </c>
      <c r="O1441" s="71">
        <v>0</v>
      </c>
      <c r="P1441" s="71">
        <v>14</v>
      </c>
      <c r="Q1441" s="71">
        <v>82</v>
      </c>
      <c r="R1441" s="71">
        <v>145</v>
      </c>
      <c r="S1441" s="71" t="s">
        <v>61</v>
      </c>
      <c r="T1441" s="73" t="s">
        <v>4325</v>
      </c>
      <c r="U1441" s="71" t="s">
        <v>3455</v>
      </c>
      <c r="V1441" s="71" t="b">
        <v>0</v>
      </c>
    </row>
    <row r="1442" spans="1:22" ht="17.25">
      <c r="A1442" s="70">
        <v>1041</v>
      </c>
      <c r="B1442" s="70" t="s">
        <v>1007</v>
      </c>
      <c r="C1442" s="70" t="s">
        <v>1006</v>
      </c>
      <c r="D1442" s="70" t="s">
        <v>1005</v>
      </c>
      <c r="E1442" s="70" t="s">
        <v>120</v>
      </c>
      <c r="F1442" s="71">
        <v>15</v>
      </c>
      <c r="G1442" s="71">
        <v>32</v>
      </c>
      <c r="H1442" s="72">
        <v>0.1451388888888889</v>
      </c>
      <c r="I1442" s="71" t="b">
        <v>0</v>
      </c>
      <c r="J1442" s="71">
        <v>81</v>
      </c>
      <c r="K1442" s="71">
        <v>59</v>
      </c>
      <c r="L1442" s="71">
        <v>93</v>
      </c>
      <c r="M1442" s="71">
        <v>5</v>
      </c>
      <c r="N1442" s="71">
        <v>3</v>
      </c>
      <c r="O1442" s="71">
        <v>0</v>
      </c>
      <c r="P1442" s="71">
        <v>12</v>
      </c>
      <c r="Q1442" s="71">
        <v>66</v>
      </c>
      <c r="R1442" s="71">
        <v>123</v>
      </c>
      <c r="S1442" s="71" t="s">
        <v>34</v>
      </c>
      <c r="T1442" s="73">
        <v>45337</v>
      </c>
      <c r="U1442" s="71" t="s">
        <v>4110</v>
      </c>
      <c r="V1442" s="71" t="b">
        <v>0</v>
      </c>
    </row>
    <row r="1443" spans="1:22" ht="17.25">
      <c r="A1443" s="70">
        <v>1042</v>
      </c>
      <c r="B1443" s="70" t="s">
        <v>1004</v>
      </c>
      <c r="C1443" s="70" t="s">
        <v>1003</v>
      </c>
      <c r="D1443" s="70" t="s">
        <v>1002</v>
      </c>
      <c r="E1443" s="70" t="s">
        <v>1001</v>
      </c>
      <c r="F1443" s="71">
        <v>5</v>
      </c>
      <c r="G1443" s="71">
        <v>89</v>
      </c>
      <c r="H1443" s="72">
        <v>0.14444444444444443</v>
      </c>
      <c r="I1443" s="71" t="b">
        <v>0</v>
      </c>
      <c r="J1443" s="71">
        <v>78</v>
      </c>
      <c r="K1443" s="71">
        <v>61</v>
      </c>
      <c r="L1443" s="71">
        <v>92</v>
      </c>
      <c r="M1443" s="71">
        <v>5</v>
      </c>
      <c r="N1443" s="71">
        <v>11</v>
      </c>
      <c r="O1443" s="71">
        <v>0</v>
      </c>
      <c r="P1443" s="71">
        <v>13</v>
      </c>
      <c r="Q1443" s="71">
        <v>80</v>
      </c>
      <c r="R1443" s="71">
        <v>100</v>
      </c>
      <c r="S1443" s="71" t="s">
        <v>96</v>
      </c>
      <c r="T1443" s="73">
        <v>42846</v>
      </c>
      <c r="U1443" s="71" t="s">
        <v>4111</v>
      </c>
      <c r="V1443" s="71" t="b">
        <v>0</v>
      </c>
    </row>
    <row r="1444" spans="1:22" ht="17.25">
      <c r="A1444" s="70">
        <v>1044</v>
      </c>
      <c r="B1444" s="70" t="s">
        <v>999</v>
      </c>
      <c r="C1444" s="70" t="s">
        <v>54</v>
      </c>
      <c r="D1444" s="70" t="s">
        <v>998</v>
      </c>
      <c r="E1444" s="70" t="s">
        <v>324</v>
      </c>
      <c r="F1444" s="71">
        <v>47</v>
      </c>
      <c r="G1444" s="71">
        <v>1</v>
      </c>
      <c r="H1444" s="72" t="s">
        <v>4320</v>
      </c>
      <c r="I1444" s="71" t="b">
        <v>0</v>
      </c>
      <c r="J1444" s="71">
        <v>75</v>
      </c>
      <c r="K1444" s="71">
        <v>61</v>
      </c>
      <c r="L1444" s="71">
        <v>73</v>
      </c>
      <c r="M1444" s="71">
        <v>6</v>
      </c>
      <c r="N1444" s="71">
        <v>25</v>
      </c>
      <c r="O1444" s="71">
        <v>0</v>
      </c>
      <c r="P1444" s="71">
        <v>11</v>
      </c>
      <c r="Q1444" s="71">
        <v>64</v>
      </c>
      <c r="R1444" s="71">
        <v>116</v>
      </c>
      <c r="S1444" s="71" t="s">
        <v>96</v>
      </c>
      <c r="T1444" s="73" t="s">
        <v>4368</v>
      </c>
      <c r="U1444" s="71" t="s">
        <v>3387</v>
      </c>
      <c r="V1444" s="71" t="b">
        <v>0</v>
      </c>
    </row>
    <row r="1445" spans="1:22" ht="17.25">
      <c r="A1445" s="70">
        <v>1045</v>
      </c>
      <c r="B1445" s="70" t="s">
        <v>997</v>
      </c>
      <c r="C1445" s="70" t="s">
        <v>1748</v>
      </c>
      <c r="D1445" s="70" t="s">
        <v>996</v>
      </c>
      <c r="E1445" s="70" t="s">
        <v>995</v>
      </c>
      <c r="F1445" s="71">
        <v>109</v>
      </c>
      <c r="G1445" s="71">
        <v>17</v>
      </c>
      <c r="H1445" s="72" t="s">
        <v>4315</v>
      </c>
      <c r="I1445" s="71" t="b">
        <v>1</v>
      </c>
      <c r="J1445" s="71">
        <v>80</v>
      </c>
      <c r="K1445" s="71">
        <v>67</v>
      </c>
      <c r="L1445" s="71">
        <v>73</v>
      </c>
      <c r="M1445" s="71">
        <v>8</v>
      </c>
      <c r="N1445" s="71">
        <v>19</v>
      </c>
      <c r="O1445" s="71">
        <v>0</v>
      </c>
      <c r="P1445" s="71">
        <v>14</v>
      </c>
      <c r="Q1445" s="71">
        <v>72</v>
      </c>
      <c r="R1445" s="71">
        <v>94</v>
      </c>
      <c r="S1445" s="71" t="s">
        <v>128</v>
      </c>
      <c r="T1445" s="73" t="s">
        <v>4339</v>
      </c>
      <c r="U1445" s="71" t="s">
        <v>4112</v>
      </c>
      <c r="V1445" s="71" t="b">
        <v>0</v>
      </c>
    </row>
    <row r="1446" spans="1:22" ht="17.25">
      <c r="A1446" s="70">
        <v>1045</v>
      </c>
      <c r="B1446" s="70" t="s">
        <v>997</v>
      </c>
      <c r="C1446" s="70" t="s">
        <v>2616</v>
      </c>
      <c r="D1446" s="70" t="s">
        <v>996</v>
      </c>
      <c r="E1446" s="70" t="s">
        <v>995</v>
      </c>
      <c r="F1446" s="71">
        <v>109</v>
      </c>
      <c r="G1446" s="71">
        <v>17</v>
      </c>
      <c r="H1446" s="72" t="s">
        <v>4315</v>
      </c>
      <c r="I1446" s="71" t="b">
        <v>1</v>
      </c>
      <c r="J1446" s="71">
        <v>80</v>
      </c>
      <c r="K1446" s="71">
        <v>67</v>
      </c>
      <c r="L1446" s="71">
        <v>73</v>
      </c>
      <c r="M1446" s="71">
        <v>8</v>
      </c>
      <c r="N1446" s="71">
        <v>19</v>
      </c>
      <c r="O1446" s="71">
        <v>0</v>
      </c>
      <c r="P1446" s="71">
        <v>14</v>
      </c>
      <c r="Q1446" s="71">
        <v>72</v>
      </c>
      <c r="R1446" s="71">
        <v>94</v>
      </c>
      <c r="S1446" s="71" t="s">
        <v>128</v>
      </c>
      <c r="T1446" s="73" t="s">
        <v>4339</v>
      </c>
      <c r="U1446" s="71" t="s">
        <v>4112</v>
      </c>
      <c r="V1446" s="71" t="b">
        <v>0</v>
      </c>
    </row>
    <row r="1447" spans="1:22" ht="17.25">
      <c r="A1447" s="70">
        <v>1046</v>
      </c>
      <c r="B1447" s="70" t="s">
        <v>994</v>
      </c>
      <c r="C1447" s="70" t="s">
        <v>993</v>
      </c>
      <c r="D1447" s="70" t="s">
        <v>992</v>
      </c>
      <c r="E1447" s="70" t="s">
        <v>991</v>
      </c>
      <c r="F1447" s="71">
        <v>58</v>
      </c>
      <c r="G1447" s="71">
        <v>21</v>
      </c>
      <c r="H1447" s="72">
        <v>0.11666666666666667</v>
      </c>
      <c r="I1447" s="71" t="b">
        <v>0</v>
      </c>
      <c r="J1447" s="71">
        <v>53</v>
      </c>
      <c r="K1447" s="71">
        <v>56</v>
      </c>
      <c r="L1447" s="71">
        <v>90</v>
      </c>
      <c r="M1447" s="71">
        <v>3</v>
      </c>
      <c r="N1447" s="71">
        <v>41</v>
      </c>
      <c r="O1447" s="71">
        <v>1</v>
      </c>
      <c r="P1447" s="71">
        <v>32</v>
      </c>
      <c r="Q1447" s="71">
        <v>16</v>
      </c>
      <c r="R1447" s="71">
        <v>139</v>
      </c>
      <c r="S1447" s="71" t="s">
        <v>74</v>
      </c>
      <c r="T1447" s="73">
        <v>45548</v>
      </c>
      <c r="U1447" s="71" t="s">
        <v>4113</v>
      </c>
      <c r="V1447" s="71" t="b">
        <v>0</v>
      </c>
    </row>
    <row r="1448" spans="1:22" ht="17.25">
      <c r="A1448" s="70">
        <v>1047</v>
      </c>
      <c r="B1448" s="70" t="s">
        <v>990</v>
      </c>
      <c r="C1448" s="70" t="s">
        <v>968</v>
      </c>
      <c r="D1448" s="70" t="s">
        <v>989</v>
      </c>
      <c r="E1448" s="70" t="s">
        <v>988</v>
      </c>
      <c r="F1448" s="71">
        <v>119</v>
      </c>
      <c r="G1448" s="71">
        <v>33</v>
      </c>
      <c r="H1448" s="72">
        <v>0.18611111111111112</v>
      </c>
      <c r="I1448" s="71" t="b">
        <v>0</v>
      </c>
      <c r="J1448" s="71">
        <v>55</v>
      </c>
      <c r="K1448" s="71">
        <v>67</v>
      </c>
      <c r="L1448" s="71">
        <v>85</v>
      </c>
      <c r="M1448" s="71">
        <v>5</v>
      </c>
      <c r="N1448" s="71">
        <v>1</v>
      </c>
      <c r="O1448" s="71">
        <v>0</v>
      </c>
      <c r="P1448" s="71">
        <v>5</v>
      </c>
      <c r="Q1448" s="71">
        <v>48</v>
      </c>
      <c r="R1448" s="71">
        <v>152</v>
      </c>
      <c r="S1448" s="71" t="s">
        <v>69</v>
      </c>
      <c r="T1448" s="73">
        <v>28160</v>
      </c>
      <c r="U1448" s="71" t="s">
        <v>3522</v>
      </c>
      <c r="V1448" s="71" t="b">
        <v>0</v>
      </c>
    </row>
    <row r="1449" spans="1:22" ht="17.25">
      <c r="A1449" s="70">
        <v>1048</v>
      </c>
      <c r="B1449" s="70" t="s">
        <v>987</v>
      </c>
      <c r="C1449" s="70" t="s">
        <v>32</v>
      </c>
      <c r="D1449" s="70" t="s">
        <v>986</v>
      </c>
      <c r="E1449" s="70" t="s">
        <v>97</v>
      </c>
      <c r="F1449" s="71">
        <v>7</v>
      </c>
      <c r="G1449" s="71">
        <v>7</v>
      </c>
      <c r="H1449" s="72" t="s">
        <v>4346</v>
      </c>
      <c r="I1449" s="71" t="b">
        <v>0</v>
      </c>
      <c r="J1449" s="71">
        <v>66</v>
      </c>
      <c r="K1449" s="71">
        <v>58</v>
      </c>
      <c r="L1449" s="71">
        <v>72</v>
      </c>
      <c r="M1449" s="71">
        <v>5</v>
      </c>
      <c r="N1449" s="71">
        <v>40</v>
      </c>
      <c r="O1449" s="71">
        <v>0</v>
      </c>
      <c r="P1449" s="71">
        <v>13</v>
      </c>
      <c r="Q1449" s="71">
        <v>49</v>
      </c>
      <c r="R1449" s="71">
        <v>112</v>
      </c>
      <c r="S1449" s="71" t="s">
        <v>96</v>
      </c>
      <c r="T1449" s="73" t="s">
        <v>4364</v>
      </c>
      <c r="U1449" s="71" t="s">
        <v>3397</v>
      </c>
      <c r="V1449" s="71" t="b">
        <v>0</v>
      </c>
    </row>
    <row r="1450" spans="1:22" ht="17.25">
      <c r="A1450" s="70">
        <v>1048</v>
      </c>
      <c r="B1450" s="70" t="s">
        <v>987</v>
      </c>
      <c r="C1450" s="70" t="s">
        <v>97</v>
      </c>
      <c r="D1450" s="70" t="s">
        <v>986</v>
      </c>
      <c r="E1450" s="70" t="s">
        <v>97</v>
      </c>
      <c r="F1450" s="71">
        <v>7</v>
      </c>
      <c r="G1450" s="71">
        <v>7</v>
      </c>
      <c r="H1450" s="72" t="s">
        <v>4346</v>
      </c>
      <c r="I1450" s="71" t="b">
        <v>0</v>
      </c>
      <c r="J1450" s="71">
        <v>66</v>
      </c>
      <c r="K1450" s="71">
        <v>58</v>
      </c>
      <c r="L1450" s="71">
        <v>72</v>
      </c>
      <c r="M1450" s="71">
        <v>5</v>
      </c>
      <c r="N1450" s="71">
        <v>40</v>
      </c>
      <c r="O1450" s="71">
        <v>0</v>
      </c>
      <c r="P1450" s="71">
        <v>13</v>
      </c>
      <c r="Q1450" s="71">
        <v>49</v>
      </c>
      <c r="R1450" s="71">
        <v>112</v>
      </c>
      <c r="S1450" s="71" t="s">
        <v>96</v>
      </c>
      <c r="T1450" s="73" t="s">
        <v>4364</v>
      </c>
      <c r="U1450" s="71" t="s">
        <v>3397</v>
      </c>
      <c r="V1450" s="71" t="b">
        <v>0</v>
      </c>
    </row>
    <row r="1451" spans="1:22" ht="17.25">
      <c r="A1451" s="70">
        <v>1049</v>
      </c>
      <c r="B1451" s="70" t="s">
        <v>985</v>
      </c>
      <c r="C1451" s="70" t="s">
        <v>4804</v>
      </c>
      <c r="D1451" s="70" t="s">
        <v>984</v>
      </c>
      <c r="E1451" s="70" t="s">
        <v>344</v>
      </c>
      <c r="F1451" s="71">
        <v>37</v>
      </c>
      <c r="G1451" s="71">
        <v>1</v>
      </c>
      <c r="H1451" s="72">
        <v>0.17499999999999999</v>
      </c>
      <c r="I1451" s="71" t="b">
        <v>0</v>
      </c>
      <c r="J1451" s="71">
        <v>60</v>
      </c>
      <c r="K1451" s="71">
        <v>51</v>
      </c>
      <c r="L1451" s="71">
        <v>85</v>
      </c>
      <c r="M1451" s="71">
        <v>3</v>
      </c>
      <c r="N1451" s="71">
        <v>0</v>
      </c>
      <c r="O1451" s="71">
        <v>0</v>
      </c>
      <c r="P1451" s="71">
        <v>51</v>
      </c>
      <c r="Q1451" s="71">
        <v>18</v>
      </c>
      <c r="R1451" s="71">
        <v>111</v>
      </c>
      <c r="S1451" s="71" t="s">
        <v>26</v>
      </c>
      <c r="T1451" s="73">
        <v>45688</v>
      </c>
      <c r="U1451" s="71" t="s">
        <v>3483</v>
      </c>
      <c r="V1451" s="71" t="b">
        <v>0</v>
      </c>
    </row>
    <row r="1452" spans="1:22" ht="17.25">
      <c r="A1452" s="70">
        <v>1049</v>
      </c>
      <c r="B1452" s="70" t="s">
        <v>985</v>
      </c>
      <c r="C1452" s="70" t="s">
        <v>237</v>
      </c>
      <c r="D1452" s="70" t="s">
        <v>984</v>
      </c>
      <c r="E1452" s="70" t="s">
        <v>344</v>
      </c>
      <c r="F1452" s="71">
        <v>37</v>
      </c>
      <c r="G1452" s="71">
        <v>1</v>
      </c>
      <c r="H1452" s="72">
        <v>0.17499999999999999</v>
      </c>
      <c r="I1452" s="71" t="b">
        <v>0</v>
      </c>
      <c r="J1452" s="71">
        <v>60</v>
      </c>
      <c r="K1452" s="71">
        <v>51</v>
      </c>
      <c r="L1452" s="71">
        <v>85</v>
      </c>
      <c r="M1452" s="71">
        <v>3</v>
      </c>
      <c r="N1452" s="71">
        <v>0</v>
      </c>
      <c r="O1452" s="71">
        <v>0</v>
      </c>
      <c r="P1452" s="71">
        <v>51</v>
      </c>
      <c r="Q1452" s="71">
        <v>18</v>
      </c>
      <c r="R1452" s="71">
        <v>111</v>
      </c>
      <c r="S1452" s="71" t="s">
        <v>26</v>
      </c>
      <c r="T1452" s="73">
        <v>45688</v>
      </c>
      <c r="U1452" s="71" t="s">
        <v>3483</v>
      </c>
      <c r="V1452" s="71" t="b">
        <v>0</v>
      </c>
    </row>
    <row r="1453" spans="1:22" ht="17.25">
      <c r="A1453" s="70">
        <v>1051</v>
      </c>
      <c r="B1453" s="70" t="s">
        <v>982</v>
      </c>
      <c r="C1453" s="70" t="s">
        <v>981</v>
      </c>
      <c r="D1453" s="70" t="s">
        <v>980</v>
      </c>
      <c r="E1453" s="70" t="s">
        <v>979</v>
      </c>
      <c r="F1453" s="71">
        <v>6</v>
      </c>
      <c r="G1453" s="71">
        <v>76</v>
      </c>
      <c r="H1453" s="72">
        <v>0.11874999999999999</v>
      </c>
      <c r="I1453" s="71" t="b">
        <v>1</v>
      </c>
      <c r="J1453" s="71">
        <v>72</v>
      </c>
      <c r="K1453" s="71">
        <v>71</v>
      </c>
      <c r="L1453" s="71">
        <v>92</v>
      </c>
      <c r="M1453" s="71">
        <v>3</v>
      </c>
      <c r="N1453" s="71">
        <v>6</v>
      </c>
      <c r="O1453" s="71">
        <v>0</v>
      </c>
      <c r="P1453" s="71">
        <v>8</v>
      </c>
      <c r="Q1453" s="71">
        <v>60</v>
      </c>
      <c r="R1453" s="71">
        <v>81</v>
      </c>
      <c r="S1453" s="71" t="s">
        <v>143</v>
      </c>
      <c r="T1453" s="73">
        <v>45394</v>
      </c>
      <c r="U1453" s="71" t="s">
        <v>4114</v>
      </c>
      <c r="V1453" s="71" t="b">
        <v>0</v>
      </c>
    </row>
    <row r="1454" spans="1:22" ht="17.25">
      <c r="A1454" s="70">
        <v>1052</v>
      </c>
      <c r="B1454" s="70" t="s">
        <v>978</v>
      </c>
      <c r="C1454" s="70" t="s">
        <v>977</v>
      </c>
      <c r="D1454" s="70" t="s">
        <v>976</v>
      </c>
      <c r="E1454" s="70" t="s">
        <v>975</v>
      </c>
      <c r="F1454" s="71">
        <v>53</v>
      </c>
      <c r="G1454" s="71">
        <v>3</v>
      </c>
      <c r="H1454" s="72">
        <v>0.11180555555555556</v>
      </c>
      <c r="I1454" s="71" t="b">
        <v>0</v>
      </c>
      <c r="J1454" s="71">
        <v>67</v>
      </c>
      <c r="K1454" s="71">
        <v>54</v>
      </c>
      <c r="L1454" s="71">
        <v>82</v>
      </c>
      <c r="M1454" s="71">
        <v>4</v>
      </c>
      <c r="N1454" s="71">
        <v>57</v>
      </c>
      <c r="O1454" s="71">
        <v>0</v>
      </c>
      <c r="P1454" s="71">
        <v>13</v>
      </c>
      <c r="Q1454" s="71">
        <v>81</v>
      </c>
      <c r="R1454" s="71">
        <v>111</v>
      </c>
      <c r="S1454" s="71" t="s">
        <v>143</v>
      </c>
      <c r="T1454" s="73">
        <v>26952</v>
      </c>
      <c r="U1454" s="71" t="s">
        <v>4115</v>
      </c>
      <c r="V1454" s="71" t="b">
        <v>0</v>
      </c>
    </row>
    <row r="1455" spans="1:22" ht="17.25">
      <c r="A1455" s="70">
        <v>1053</v>
      </c>
      <c r="B1455" s="70" t="s">
        <v>974</v>
      </c>
      <c r="C1455" s="70" t="s">
        <v>366</v>
      </c>
      <c r="D1455" s="70" t="s">
        <v>973</v>
      </c>
      <c r="E1455" s="70" t="s">
        <v>171</v>
      </c>
      <c r="F1455" s="71">
        <v>18</v>
      </c>
      <c r="G1455" s="71">
        <v>217</v>
      </c>
      <c r="H1455" s="72">
        <v>0.16180555555555556</v>
      </c>
      <c r="I1455" s="71" t="b">
        <v>0</v>
      </c>
      <c r="J1455" s="71">
        <v>73</v>
      </c>
      <c r="K1455" s="71">
        <v>70</v>
      </c>
      <c r="L1455" s="71">
        <v>93</v>
      </c>
      <c r="M1455" s="71">
        <v>4</v>
      </c>
      <c r="N1455" s="71">
        <v>5</v>
      </c>
      <c r="O1455" s="71">
        <v>0</v>
      </c>
      <c r="P1455" s="71">
        <v>31</v>
      </c>
      <c r="Q1455" s="71">
        <v>87</v>
      </c>
      <c r="R1455" s="71">
        <v>144</v>
      </c>
      <c r="S1455" s="71" t="s">
        <v>96</v>
      </c>
      <c r="T1455" s="73">
        <v>41183</v>
      </c>
      <c r="U1455" s="71" t="s">
        <v>3412</v>
      </c>
      <c r="V1455" s="71" t="b">
        <v>0</v>
      </c>
    </row>
    <row r="1456" spans="1:22" ht="17.25">
      <c r="A1456" s="70">
        <v>1054</v>
      </c>
      <c r="B1456" s="70" t="s">
        <v>972</v>
      </c>
      <c r="C1456" s="70" t="s">
        <v>971</v>
      </c>
      <c r="D1456" s="70" t="s">
        <v>970</v>
      </c>
      <c r="E1456" s="70" t="s">
        <v>104</v>
      </c>
      <c r="F1456" s="71">
        <v>16</v>
      </c>
      <c r="G1456" s="71">
        <v>42</v>
      </c>
      <c r="H1456" s="72">
        <v>0.13333333333333333</v>
      </c>
      <c r="I1456" s="71" t="b">
        <v>0</v>
      </c>
      <c r="J1456" s="71">
        <v>52</v>
      </c>
      <c r="K1456" s="71">
        <v>48</v>
      </c>
      <c r="L1456" s="71">
        <v>72</v>
      </c>
      <c r="M1456" s="71">
        <v>3</v>
      </c>
      <c r="N1456" s="71">
        <v>55</v>
      </c>
      <c r="O1456" s="71">
        <v>0</v>
      </c>
      <c r="P1456" s="71">
        <v>15</v>
      </c>
      <c r="Q1456" s="71">
        <v>72</v>
      </c>
      <c r="R1456" s="71">
        <v>120</v>
      </c>
      <c r="S1456" s="71" t="s">
        <v>29</v>
      </c>
      <c r="T1456" s="73">
        <v>17107</v>
      </c>
      <c r="U1456" s="71" t="s">
        <v>4116</v>
      </c>
      <c r="V1456" s="71" t="b">
        <v>1</v>
      </c>
    </row>
    <row r="1457" spans="1:22" ht="17.25">
      <c r="A1457" s="70">
        <v>1055</v>
      </c>
      <c r="B1457" s="70" t="s">
        <v>969</v>
      </c>
      <c r="C1457" s="70" t="s">
        <v>968</v>
      </c>
      <c r="D1457" s="70" t="s">
        <v>967</v>
      </c>
      <c r="E1457" s="70" t="s">
        <v>120</v>
      </c>
      <c r="F1457" s="71">
        <v>135</v>
      </c>
      <c r="G1457" s="71">
        <v>1</v>
      </c>
      <c r="H1457" s="72">
        <v>0.13819444444444445</v>
      </c>
      <c r="I1457" s="71" t="b">
        <v>0</v>
      </c>
      <c r="J1457" s="71">
        <v>41</v>
      </c>
      <c r="K1457" s="71">
        <v>16</v>
      </c>
      <c r="L1457" s="71">
        <v>63</v>
      </c>
      <c r="M1457" s="71">
        <v>3</v>
      </c>
      <c r="N1457" s="71">
        <v>88</v>
      </c>
      <c r="O1457" s="71">
        <v>0</v>
      </c>
      <c r="P1457" s="71">
        <v>12</v>
      </c>
      <c r="Q1457" s="71">
        <v>42</v>
      </c>
      <c r="R1457" s="71">
        <v>159</v>
      </c>
      <c r="S1457" s="71" t="s">
        <v>966</v>
      </c>
      <c r="T1457" s="73">
        <v>27586</v>
      </c>
      <c r="U1457" s="71" t="s">
        <v>4117</v>
      </c>
      <c r="V1457" s="71" t="b">
        <v>0</v>
      </c>
    </row>
    <row r="1458" spans="1:22" ht="17.25">
      <c r="A1458" s="70">
        <v>1056</v>
      </c>
      <c r="B1458" s="70" t="s">
        <v>965</v>
      </c>
      <c r="C1458" s="70" t="s">
        <v>419</v>
      </c>
      <c r="D1458" s="70" t="s">
        <v>418</v>
      </c>
      <c r="E1458" s="70" t="s">
        <v>417</v>
      </c>
      <c r="F1458" s="71">
        <v>41</v>
      </c>
      <c r="G1458" s="71">
        <v>11</v>
      </c>
      <c r="H1458" s="72">
        <v>0.12847222222222221</v>
      </c>
      <c r="I1458" s="71" t="b">
        <v>1</v>
      </c>
      <c r="J1458" s="71">
        <v>51</v>
      </c>
      <c r="K1458" s="71">
        <v>68</v>
      </c>
      <c r="L1458" s="71">
        <v>88</v>
      </c>
      <c r="M1458" s="71">
        <v>11</v>
      </c>
      <c r="N1458" s="71">
        <v>29</v>
      </c>
      <c r="O1458" s="71">
        <v>0</v>
      </c>
      <c r="P1458" s="71">
        <v>19</v>
      </c>
      <c r="Q1458" s="71">
        <v>51</v>
      </c>
      <c r="R1458" s="71">
        <v>102</v>
      </c>
      <c r="S1458" s="71" t="s">
        <v>61</v>
      </c>
      <c r="T1458" s="73">
        <v>45772</v>
      </c>
      <c r="U1458" s="71" t="s">
        <v>4118</v>
      </c>
      <c r="V1458" s="71" t="b">
        <v>0</v>
      </c>
    </row>
    <row r="1459" spans="1:22" ht="17.25">
      <c r="A1459" s="70">
        <v>1057</v>
      </c>
      <c r="B1459" s="70" t="s">
        <v>964</v>
      </c>
      <c r="C1459" s="70" t="s">
        <v>304</v>
      </c>
      <c r="D1459" s="70" t="s">
        <v>963</v>
      </c>
      <c r="E1459" s="70" t="s">
        <v>30</v>
      </c>
      <c r="F1459" s="71">
        <v>137</v>
      </c>
      <c r="G1459" s="71">
        <v>13</v>
      </c>
      <c r="H1459" s="72">
        <v>0.14305555555555555</v>
      </c>
      <c r="I1459" s="71" t="b">
        <v>0</v>
      </c>
      <c r="J1459" s="71">
        <v>75</v>
      </c>
      <c r="K1459" s="71">
        <v>75</v>
      </c>
      <c r="L1459" s="71">
        <v>89</v>
      </c>
      <c r="M1459" s="71">
        <v>6</v>
      </c>
      <c r="N1459" s="71">
        <v>2</v>
      </c>
      <c r="O1459" s="71">
        <v>0</v>
      </c>
      <c r="P1459" s="71">
        <v>5</v>
      </c>
      <c r="Q1459" s="71">
        <v>76</v>
      </c>
      <c r="R1459" s="71">
        <v>150</v>
      </c>
      <c r="S1459" s="71" t="s">
        <v>96</v>
      </c>
      <c r="T1459" s="73">
        <v>42083</v>
      </c>
      <c r="U1459" s="71" t="s">
        <v>4119</v>
      </c>
      <c r="V1459" s="71" t="b">
        <v>0</v>
      </c>
    </row>
    <row r="1460" spans="1:22" ht="17.25">
      <c r="A1460" s="70">
        <v>1058</v>
      </c>
      <c r="B1460" s="70" t="s">
        <v>962</v>
      </c>
      <c r="C1460" s="70" t="s">
        <v>961</v>
      </c>
      <c r="D1460" s="70" t="s">
        <v>960</v>
      </c>
      <c r="E1460" s="70" t="s">
        <v>959</v>
      </c>
      <c r="F1460" s="71">
        <v>24</v>
      </c>
      <c r="G1460" s="71">
        <v>5</v>
      </c>
      <c r="H1460" s="72">
        <v>0.11666666666666667</v>
      </c>
      <c r="I1460" s="71" t="b">
        <v>1</v>
      </c>
      <c r="J1460" s="71">
        <v>85</v>
      </c>
      <c r="K1460" s="71">
        <v>80</v>
      </c>
      <c r="L1460" s="71">
        <v>82</v>
      </c>
      <c r="M1460" s="71">
        <v>14</v>
      </c>
      <c r="N1460" s="71">
        <v>5</v>
      </c>
      <c r="O1460" s="71">
        <v>0</v>
      </c>
      <c r="P1460" s="71">
        <v>13</v>
      </c>
      <c r="Q1460" s="71">
        <v>72</v>
      </c>
      <c r="R1460" s="71">
        <v>96</v>
      </c>
      <c r="S1460" s="71" t="s">
        <v>128</v>
      </c>
      <c r="T1460" s="73">
        <v>45765</v>
      </c>
      <c r="U1460" s="71" t="s">
        <v>4120</v>
      </c>
      <c r="V1460" s="71" t="b">
        <v>0</v>
      </c>
    </row>
    <row r="1461" spans="1:22" ht="17.25">
      <c r="A1461" s="70">
        <v>1059</v>
      </c>
      <c r="B1461" s="70" t="s">
        <v>958</v>
      </c>
      <c r="C1461" s="70" t="s">
        <v>1987</v>
      </c>
      <c r="D1461" s="70" t="s">
        <v>957</v>
      </c>
      <c r="E1461" s="70" t="s">
        <v>655</v>
      </c>
      <c r="F1461" s="71">
        <v>31</v>
      </c>
      <c r="G1461" s="71">
        <v>35</v>
      </c>
      <c r="H1461" s="72">
        <v>0.12847222222222221</v>
      </c>
      <c r="I1461" s="71" t="b">
        <v>1</v>
      </c>
      <c r="J1461" s="71">
        <v>74</v>
      </c>
      <c r="K1461" s="71">
        <v>51</v>
      </c>
      <c r="L1461" s="71">
        <v>85</v>
      </c>
      <c r="M1461" s="71">
        <v>9</v>
      </c>
      <c r="N1461" s="71">
        <v>78</v>
      </c>
      <c r="O1461" s="71">
        <v>0</v>
      </c>
      <c r="P1461" s="71">
        <v>22</v>
      </c>
      <c r="Q1461" s="71">
        <v>93</v>
      </c>
      <c r="R1461" s="71">
        <v>110</v>
      </c>
      <c r="S1461" s="71" t="s">
        <v>61</v>
      </c>
      <c r="T1461" s="73">
        <v>45702</v>
      </c>
      <c r="U1461" s="71" t="s">
        <v>3791</v>
      </c>
      <c r="V1461" s="71" t="b">
        <v>0</v>
      </c>
    </row>
    <row r="1462" spans="1:22" ht="17.25">
      <c r="A1462" s="70">
        <v>1059</v>
      </c>
      <c r="B1462" s="70" t="s">
        <v>958</v>
      </c>
      <c r="C1462" s="70" t="s">
        <v>141</v>
      </c>
      <c r="D1462" s="70" t="s">
        <v>957</v>
      </c>
      <c r="E1462" s="70" t="s">
        <v>655</v>
      </c>
      <c r="F1462" s="71">
        <v>31</v>
      </c>
      <c r="G1462" s="71">
        <v>35</v>
      </c>
      <c r="H1462" s="72">
        <v>0.12847222222222221</v>
      </c>
      <c r="I1462" s="71" t="b">
        <v>1</v>
      </c>
      <c r="J1462" s="71">
        <v>74</v>
      </c>
      <c r="K1462" s="71">
        <v>51</v>
      </c>
      <c r="L1462" s="71">
        <v>85</v>
      </c>
      <c r="M1462" s="71">
        <v>9</v>
      </c>
      <c r="N1462" s="71">
        <v>78</v>
      </c>
      <c r="O1462" s="71">
        <v>0</v>
      </c>
      <c r="P1462" s="71">
        <v>22</v>
      </c>
      <c r="Q1462" s="71">
        <v>93</v>
      </c>
      <c r="R1462" s="71">
        <v>110</v>
      </c>
      <c r="S1462" s="71" t="s">
        <v>61</v>
      </c>
      <c r="T1462" s="73">
        <v>45702</v>
      </c>
      <c r="U1462" s="71" t="s">
        <v>3791</v>
      </c>
      <c r="V1462" s="71" t="b">
        <v>0</v>
      </c>
    </row>
    <row r="1463" spans="1:22" ht="17.25">
      <c r="A1463" s="70">
        <v>1060</v>
      </c>
      <c r="B1463" s="70" t="s">
        <v>956</v>
      </c>
      <c r="C1463" s="70" t="s">
        <v>221</v>
      </c>
      <c r="D1463" s="70" t="s">
        <v>220</v>
      </c>
      <c r="E1463" s="70" t="s">
        <v>219</v>
      </c>
      <c r="F1463" s="71">
        <v>31</v>
      </c>
      <c r="G1463" s="71">
        <v>9</v>
      </c>
      <c r="H1463" s="72">
        <v>0.13750000000000001</v>
      </c>
      <c r="I1463" s="71" t="b">
        <v>0</v>
      </c>
      <c r="J1463" s="71">
        <v>62</v>
      </c>
      <c r="K1463" s="71">
        <v>84</v>
      </c>
      <c r="L1463" s="71">
        <v>91</v>
      </c>
      <c r="M1463" s="71">
        <v>3</v>
      </c>
      <c r="N1463" s="71">
        <v>1</v>
      </c>
      <c r="O1463" s="71">
        <v>0</v>
      </c>
      <c r="P1463" s="71">
        <v>16</v>
      </c>
      <c r="Q1463" s="71">
        <v>75</v>
      </c>
      <c r="R1463" s="71">
        <v>122</v>
      </c>
      <c r="S1463" s="71" t="s">
        <v>143</v>
      </c>
      <c r="T1463" s="73">
        <v>45737</v>
      </c>
      <c r="U1463" s="71" t="s">
        <v>3401</v>
      </c>
      <c r="V1463" s="71" t="b">
        <v>0</v>
      </c>
    </row>
    <row r="1464" spans="1:22" ht="17.25">
      <c r="A1464" s="70">
        <v>1061</v>
      </c>
      <c r="B1464" s="70" t="s">
        <v>955</v>
      </c>
      <c r="C1464" s="70" t="s">
        <v>182</v>
      </c>
      <c r="D1464" s="70" t="s">
        <v>954</v>
      </c>
      <c r="E1464" s="70" t="s">
        <v>953</v>
      </c>
      <c r="F1464" s="71">
        <v>2</v>
      </c>
      <c r="G1464" s="71">
        <v>65</v>
      </c>
      <c r="H1464" s="72">
        <v>0.2076388888888889</v>
      </c>
      <c r="I1464" s="71" t="b">
        <v>1</v>
      </c>
      <c r="J1464" s="71">
        <v>81</v>
      </c>
      <c r="K1464" s="71">
        <v>46</v>
      </c>
      <c r="L1464" s="71">
        <v>81</v>
      </c>
      <c r="M1464" s="71">
        <v>4</v>
      </c>
      <c r="N1464" s="71">
        <v>26</v>
      </c>
      <c r="O1464" s="71">
        <v>8</v>
      </c>
      <c r="P1464" s="71">
        <v>11</v>
      </c>
      <c r="Q1464" s="71">
        <v>36</v>
      </c>
      <c r="R1464" s="71">
        <v>112</v>
      </c>
      <c r="S1464" s="71" t="s">
        <v>26</v>
      </c>
      <c r="T1464" s="73">
        <v>42811</v>
      </c>
      <c r="U1464" s="71" t="s">
        <v>4121</v>
      </c>
      <c r="V1464" s="71" t="b">
        <v>0</v>
      </c>
    </row>
    <row r="1465" spans="1:22" ht="17.25">
      <c r="A1465" s="70">
        <v>1063</v>
      </c>
      <c r="B1465" s="70" t="s">
        <v>951</v>
      </c>
      <c r="C1465" s="70" t="s">
        <v>4805</v>
      </c>
      <c r="D1465" s="70" t="s">
        <v>950</v>
      </c>
      <c r="E1465" s="70" t="s">
        <v>949</v>
      </c>
      <c r="F1465" s="71">
        <v>36</v>
      </c>
      <c r="G1465" s="71">
        <v>33</v>
      </c>
      <c r="H1465" s="72">
        <v>0.15138888888888888</v>
      </c>
      <c r="I1465" s="71" t="b">
        <v>0</v>
      </c>
      <c r="J1465" s="71">
        <v>82</v>
      </c>
      <c r="K1465" s="71">
        <v>78</v>
      </c>
      <c r="L1465" s="71">
        <v>81</v>
      </c>
      <c r="M1465" s="71">
        <v>8</v>
      </c>
      <c r="N1465" s="71">
        <v>10</v>
      </c>
      <c r="O1465" s="71">
        <v>0</v>
      </c>
      <c r="P1465" s="71">
        <v>13</v>
      </c>
      <c r="Q1465" s="71">
        <v>72</v>
      </c>
      <c r="R1465" s="71">
        <v>102</v>
      </c>
      <c r="S1465" s="71" t="s">
        <v>948</v>
      </c>
      <c r="T1465" s="73">
        <v>38944</v>
      </c>
      <c r="U1465" s="71" t="s">
        <v>4122</v>
      </c>
      <c r="V1465" s="71" t="b">
        <v>0</v>
      </c>
    </row>
    <row r="1466" spans="1:22" ht="17.25">
      <c r="A1466" s="70">
        <v>1063</v>
      </c>
      <c r="B1466" s="70" t="s">
        <v>951</v>
      </c>
      <c r="C1466" s="70" t="s">
        <v>4499</v>
      </c>
      <c r="D1466" s="70" t="s">
        <v>950</v>
      </c>
      <c r="E1466" s="70" t="s">
        <v>949</v>
      </c>
      <c r="F1466" s="71">
        <v>36</v>
      </c>
      <c r="G1466" s="71">
        <v>33</v>
      </c>
      <c r="H1466" s="72">
        <v>0.15138888888888888</v>
      </c>
      <c r="I1466" s="71" t="b">
        <v>0</v>
      </c>
      <c r="J1466" s="71">
        <v>82</v>
      </c>
      <c r="K1466" s="71">
        <v>78</v>
      </c>
      <c r="L1466" s="71">
        <v>81</v>
      </c>
      <c r="M1466" s="71">
        <v>8</v>
      </c>
      <c r="N1466" s="71">
        <v>10</v>
      </c>
      <c r="O1466" s="71">
        <v>0</v>
      </c>
      <c r="P1466" s="71">
        <v>13</v>
      </c>
      <c r="Q1466" s="71">
        <v>72</v>
      </c>
      <c r="R1466" s="71">
        <v>102</v>
      </c>
      <c r="S1466" s="71" t="s">
        <v>948</v>
      </c>
      <c r="T1466" s="73">
        <v>38944</v>
      </c>
      <c r="U1466" s="71" t="s">
        <v>4122</v>
      </c>
      <c r="V1466" s="71" t="b">
        <v>0</v>
      </c>
    </row>
    <row r="1467" spans="1:22" ht="17.25">
      <c r="A1467" s="70">
        <v>1064</v>
      </c>
      <c r="B1467" s="70" t="s">
        <v>947</v>
      </c>
      <c r="C1467" s="70" t="s">
        <v>4807</v>
      </c>
      <c r="D1467" s="70" t="s">
        <v>946</v>
      </c>
      <c r="E1467" s="70" t="s">
        <v>945</v>
      </c>
      <c r="F1467" s="71">
        <v>114</v>
      </c>
      <c r="G1467" s="71">
        <v>16</v>
      </c>
      <c r="H1467" s="72">
        <v>0.12847222222222221</v>
      </c>
      <c r="I1467" s="71" t="b">
        <v>0</v>
      </c>
      <c r="J1467" s="71">
        <v>70</v>
      </c>
      <c r="K1467" s="71">
        <v>79</v>
      </c>
      <c r="L1467" s="71">
        <v>89</v>
      </c>
      <c r="M1467" s="71">
        <v>5</v>
      </c>
      <c r="N1467" s="71">
        <v>1</v>
      </c>
      <c r="O1467" s="71">
        <v>1</v>
      </c>
      <c r="P1467" s="71">
        <v>16</v>
      </c>
      <c r="Q1467" s="71">
        <v>31</v>
      </c>
      <c r="R1467" s="71">
        <v>120</v>
      </c>
      <c r="S1467" s="71" t="s">
        <v>247</v>
      </c>
      <c r="T1467" s="73">
        <v>45457</v>
      </c>
      <c r="U1467" s="71" t="s">
        <v>4123</v>
      </c>
      <c r="V1467" s="71" t="b">
        <v>0</v>
      </c>
    </row>
    <row r="1468" spans="1:22" ht="17.25">
      <c r="A1468" s="70">
        <v>1064</v>
      </c>
      <c r="B1468" s="70" t="s">
        <v>947</v>
      </c>
      <c r="C1468" s="70" t="s">
        <v>4808</v>
      </c>
      <c r="D1468" s="70" t="s">
        <v>946</v>
      </c>
      <c r="E1468" s="70" t="s">
        <v>945</v>
      </c>
      <c r="F1468" s="71">
        <v>114</v>
      </c>
      <c r="G1468" s="71">
        <v>16</v>
      </c>
      <c r="H1468" s="72">
        <v>0.12847222222222221</v>
      </c>
      <c r="I1468" s="71" t="b">
        <v>0</v>
      </c>
      <c r="J1468" s="71">
        <v>70</v>
      </c>
      <c r="K1468" s="71">
        <v>79</v>
      </c>
      <c r="L1468" s="71">
        <v>89</v>
      </c>
      <c r="M1468" s="71">
        <v>5</v>
      </c>
      <c r="N1468" s="71">
        <v>1</v>
      </c>
      <c r="O1468" s="71">
        <v>1</v>
      </c>
      <c r="P1468" s="71">
        <v>16</v>
      </c>
      <c r="Q1468" s="71">
        <v>31</v>
      </c>
      <c r="R1468" s="71">
        <v>120</v>
      </c>
      <c r="S1468" s="71" t="s">
        <v>247</v>
      </c>
      <c r="T1468" s="73">
        <v>45457</v>
      </c>
      <c r="U1468" s="71" t="s">
        <v>4123</v>
      </c>
      <c r="V1468" s="71" t="b">
        <v>0</v>
      </c>
    </row>
    <row r="1469" spans="1:22" ht="17.25">
      <c r="A1469" s="70">
        <v>1064</v>
      </c>
      <c r="B1469" s="70" t="s">
        <v>947</v>
      </c>
      <c r="C1469" s="70" t="s">
        <v>4418</v>
      </c>
      <c r="D1469" s="70" t="s">
        <v>946</v>
      </c>
      <c r="E1469" s="70" t="s">
        <v>945</v>
      </c>
      <c r="F1469" s="71">
        <v>114</v>
      </c>
      <c r="G1469" s="71">
        <v>16</v>
      </c>
      <c r="H1469" s="72">
        <v>0.12847222222222221</v>
      </c>
      <c r="I1469" s="71" t="b">
        <v>0</v>
      </c>
      <c r="J1469" s="71">
        <v>70</v>
      </c>
      <c r="K1469" s="71">
        <v>79</v>
      </c>
      <c r="L1469" s="71">
        <v>89</v>
      </c>
      <c r="M1469" s="71">
        <v>5</v>
      </c>
      <c r="N1469" s="71">
        <v>1</v>
      </c>
      <c r="O1469" s="71">
        <v>1</v>
      </c>
      <c r="P1469" s="71">
        <v>16</v>
      </c>
      <c r="Q1469" s="71">
        <v>31</v>
      </c>
      <c r="R1469" s="71">
        <v>120</v>
      </c>
      <c r="S1469" s="71" t="s">
        <v>247</v>
      </c>
      <c r="T1469" s="73">
        <v>45457</v>
      </c>
      <c r="U1469" s="71" t="s">
        <v>4123</v>
      </c>
      <c r="V1469" s="71" t="b">
        <v>0</v>
      </c>
    </row>
    <row r="1470" spans="1:22" ht="17.25">
      <c r="A1470" s="70">
        <v>1064</v>
      </c>
      <c r="B1470" s="70" t="s">
        <v>947</v>
      </c>
      <c r="C1470" s="70" t="s">
        <v>4806</v>
      </c>
      <c r="D1470" s="70" t="s">
        <v>946</v>
      </c>
      <c r="E1470" s="70" t="s">
        <v>945</v>
      </c>
      <c r="F1470" s="71">
        <v>114</v>
      </c>
      <c r="G1470" s="71">
        <v>16</v>
      </c>
      <c r="H1470" s="72">
        <v>0.12847222222222221</v>
      </c>
      <c r="I1470" s="71" t="b">
        <v>0</v>
      </c>
      <c r="J1470" s="71">
        <v>70</v>
      </c>
      <c r="K1470" s="71">
        <v>79</v>
      </c>
      <c r="L1470" s="71">
        <v>89</v>
      </c>
      <c r="M1470" s="71">
        <v>5</v>
      </c>
      <c r="N1470" s="71">
        <v>1</v>
      </c>
      <c r="O1470" s="71">
        <v>1</v>
      </c>
      <c r="P1470" s="71">
        <v>16</v>
      </c>
      <c r="Q1470" s="71">
        <v>31</v>
      </c>
      <c r="R1470" s="71">
        <v>120</v>
      </c>
      <c r="S1470" s="71" t="s">
        <v>247</v>
      </c>
      <c r="T1470" s="73">
        <v>45457</v>
      </c>
      <c r="U1470" s="71" t="s">
        <v>4123</v>
      </c>
      <c r="V1470" s="71" t="b">
        <v>0</v>
      </c>
    </row>
    <row r="1471" spans="1:22" ht="17.25">
      <c r="A1471" s="70">
        <v>1065</v>
      </c>
      <c r="B1471" s="70" t="s">
        <v>944</v>
      </c>
      <c r="C1471" s="70" t="s">
        <v>323</v>
      </c>
      <c r="D1471" s="70" t="s">
        <v>322</v>
      </c>
      <c r="E1471" s="70" t="s">
        <v>321</v>
      </c>
      <c r="F1471" s="71">
        <v>98</v>
      </c>
      <c r="G1471" s="71">
        <v>2</v>
      </c>
      <c r="H1471" s="72">
        <v>0.13750000000000001</v>
      </c>
      <c r="I1471" s="71" t="b">
        <v>1</v>
      </c>
      <c r="J1471" s="71">
        <v>58</v>
      </c>
      <c r="K1471" s="71">
        <v>82</v>
      </c>
      <c r="L1471" s="71">
        <v>89</v>
      </c>
      <c r="M1471" s="71">
        <v>38</v>
      </c>
      <c r="N1471" s="71">
        <v>16</v>
      </c>
      <c r="O1471" s="71">
        <v>0</v>
      </c>
      <c r="P1471" s="71">
        <v>7</v>
      </c>
      <c r="Q1471" s="71">
        <v>81</v>
      </c>
      <c r="R1471" s="71">
        <v>111</v>
      </c>
      <c r="S1471" s="71" t="s">
        <v>48</v>
      </c>
      <c r="T1471" s="73">
        <v>45660</v>
      </c>
      <c r="U1471" s="71" t="s">
        <v>4124</v>
      </c>
      <c r="V1471" s="71" t="b">
        <v>0</v>
      </c>
    </row>
    <row r="1472" spans="1:22" ht="17.25">
      <c r="A1472" s="70">
        <v>1066</v>
      </c>
      <c r="B1472" s="70" t="s">
        <v>943</v>
      </c>
      <c r="C1472" s="70" t="s">
        <v>942</v>
      </c>
      <c r="D1472" s="70" t="s">
        <v>941</v>
      </c>
      <c r="E1472" s="70" t="s">
        <v>790</v>
      </c>
      <c r="F1472" s="71">
        <v>170</v>
      </c>
      <c r="G1472" s="71">
        <v>1</v>
      </c>
      <c r="H1472" s="72">
        <v>0.15833333333333333</v>
      </c>
      <c r="I1472" s="71" t="b">
        <v>0</v>
      </c>
      <c r="J1472" s="71">
        <v>58</v>
      </c>
      <c r="K1472" s="71">
        <v>62</v>
      </c>
      <c r="L1472" s="71">
        <v>76</v>
      </c>
      <c r="M1472" s="71">
        <v>6</v>
      </c>
      <c r="N1472" s="71">
        <v>30</v>
      </c>
      <c r="O1472" s="71">
        <v>0</v>
      </c>
      <c r="P1472" s="71">
        <v>11</v>
      </c>
      <c r="Q1472" s="71">
        <v>48</v>
      </c>
      <c r="R1472" s="71">
        <v>100</v>
      </c>
      <c r="S1472" s="71" t="s">
        <v>789</v>
      </c>
      <c r="T1472" s="73">
        <v>45618</v>
      </c>
      <c r="U1472" s="71" t="s">
        <v>4125</v>
      </c>
      <c r="V1472" s="71" t="b">
        <v>0</v>
      </c>
    </row>
    <row r="1473" spans="1:22" ht="17.25">
      <c r="A1473" s="70">
        <v>1068</v>
      </c>
      <c r="B1473" s="70" t="s">
        <v>939</v>
      </c>
      <c r="C1473" s="70" t="s">
        <v>37</v>
      </c>
      <c r="D1473" s="70" t="s">
        <v>938</v>
      </c>
      <c r="E1473" s="70" t="s">
        <v>937</v>
      </c>
      <c r="F1473" s="71">
        <v>68</v>
      </c>
      <c r="G1473" s="71">
        <v>45</v>
      </c>
      <c r="H1473" s="72">
        <v>0.15555555555555556</v>
      </c>
      <c r="I1473" s="71" t="b">
        <v>1</v>
      </c>
      <c r="J1473" s="71">
        <v>51</v>
      </c>
      <c r="K1473" s="71">
        <v>64</v>
      </c>
      <c r="L1473" s="71">
        <v>92</v>
      </c>
      <c r="M1473" s="71">
        <v>5</v>
      </c>
      <c r="N1473" s="71">
        <v>7</v>
      </c>
      <c r="O1473" s="71">
        <v>0</v>
      </c>
      <c r="P1473" s="71">
        <v>8</v>
      </c>
      <c r="Q1473" s="71">
        <v>38</v>
      </c>
      <c r="R1473" s="71">
        <v>172</v>
      </c>
      <c r="S1473" s="71" t="s">
        <v>26</v>
      </c>
      <c r="T1473" s="73">
        <v>42397</v>
      </c>
      <c r="U1473" s="71" t="s">
        <v>4126</v>
      </c>
      <c r="V1473" s="71" t="b">
        <v>0</v>
      </c>
    </row>
    <row r="1474" spans="1:22" ht="17.25">
      <c r="A1474" s="70">
        <v>1069</v>
      </c>
      <c r="B1474" s="70" t="s">
        <v>936</v>
      </c>
      <c r="C1474" s="70" t="s">
        <v>4809</v>
      </c>
      <c r="D1474" s="70" t="s">
        <v>935</v>
      </c>
      <c r="E1474" s="70" t="s">
        <v>84</v>
      </c>
      <c r="F1474" s="71">
        <v>43</v>
      </c>
      <c r="G1474" s="71">
        <v>2</v>
      </c>
      <c r="H1474" s="72">
        <v>0.13750000000000001</v>
      </c>
      <c r="I1474" s="71" t="b">
        <v>0</v>
      </c>
      <c r="J1474" s="71">
        <v>54</v>
      </c>
      <c r="K1474" s="71">
        <v>56</v>
      </c>
      <c r="L1474" s="71">
        <v>88</v>
      </c>
      <c r="M1474" s="71">
        <v>5</v>
      </c>
      <c r="N1474" s="71">
        <v>10</v>
      </c>
      <c r="O1474" s="71">
        <v>0</v>
      </c>
      <c r="P1474" s="71">
        <v>12</v>
      </c>
      <c r="Q1474" s="71">
        <v>16</v>
      </c>
      <c r="R1474" s="71">
        <v>110</v>
      </c>
      <c r="S1474" s="71" t="s">
        <v>636</v>
      </c>
      <c r="T1474" s="73">
        <v>45702</v>
      </c>
      <c r="U1474" s="71" t="s">
        <v>4127</v>
      </c>
      <c r="V1474" s="71" t="b">
        <v>0</v>
      </c>
    </row>
    <row r="1475" spans="1:22" ht="17.25">
      <c r="A1475" s="70">
        <v>1069</v>
      </c>
      <c r="B1475" s="70" t="s">
        <v>936</v>
      </c>
      <c r="C1475" s="70" t="s">
        <v>4529</v>
      </c>
      <c r="D1475" s="70" t="s">
        <v>935</v>
      </c>
      <c r="E1475" s="70" t="s">
        <v>84</v>
      </c>
      <c r="F1475" s="71">
        <v>43</v>
      </c>
      <c r="G1475" s="71">
        <v>2</v>
      </c>
      <c r="H1475" s="72">
        <v>0.13750000000000001</v>
      </c>
      <c r="I1475" s="71" t="b">
        <v>0</v>
      </c>
      <c r="J1475" s="71">
        <v>54</v>
      </c>
      <c r="K1475" s="71">
        <v>56</v>
      </c>
      <c r="L1475" s="71">
        <v>88</v>
      </c>
      <c r="M1475" s="71">
        <v>5</v>
      </c>
      <c r="N1475" s="71">
        <v>10</v>
      </c>
      <c r="O1475" s="71">
        <v>0</v>
      </c>
      <c r="P1475" s="71">
        <v>12</v>
      </c>
      <c r="Q1475" s="71">
        <v>16</v>
      </c>
      <c r="R1475" s="71">
        <v>110</v>
      </c>
      <c r="S1475" s="71" t="s">
        <v>636</v>
      </c>
      <c r="T1475" s="73">
        <v>45702</v>
      </c>
      <c r="U1475" s="71" t="s">
        <v>4127</v>
      </c>
      <c r="V1475" s="71" t="b">
        <v>0</v>
      </c>
    </row>
    <row r="1476" spans="1:22" ht="17.25">
      <c r="A1476" s="70">
        <v>1070</v>
      </c>
      <c r="B1476" s="70" t="s">
        <v>934</v>
      </c>
      <c r="C1476" s="70" t="s">
        <v>1613</v>
      </c>
      <c r="D1476" s="70" t="s">
        <v>933</v>
      </c>
      <c r="E1476" s="70" t="s">
        <v>327</v>
      </c>
      <c r="F1476" s="71">
        <v>37</v>
      </c>
      <c r="G1476" s="71">
        <v>3</v>
      </c>
      <c r="H1476" s="72" t="s">
        <v>4320</v>
      </c>
      <c r="I1476" s="71" t="b">
        <v>1</v>
      </c>
      <c r="J1476" s="71">
        <v>75</v>
      </c>
      <c r="K1476" s="71">
        <v>72</v>
      </c>
      <c r="L1476" s="71">
        <v>74</v>
      </c>
      <c r="M1476" s="71">
        <v>8</v>
      </c>
      <c r="N1476" s="71">
        <v>14</v>
      </c>
      <c r="O1476" s="71">
        <v>0</v>
      </c>
      <c r="P1476" s="71">
        <v>21</v>
      </c>
      <c r="Q1476" s="71">
        <v>50</v>
      </c>
      <c r="R1476" s="71">
        <v>130</v>
      </c>
      <c r="S1476" s="71" t="s">
        <v>48</v>
      </c>
      <c r="T1476" s="73" t="s">
        <v>4337</v>
      </c>
      <c r="U1476" s="71" t="s">
        <v>3943</v>
      </c>
      <c r="V1476" s="71" t="b">
        <v>0</v>
      </c>
    </row>
    <row r="1477" spans="1:22" ht="17.25">
      <c r="A1477" s="70">
        <v>1070</v>
      </c>
      <c r="B1477" s="70" t="s">
        <v>934</v>
      </c>
      <c r="C1477" s="70" t="s">
        <v>51</v>
      </c>
      <c r="D1477" s="70" t="s">
        <v>933</v>
      </c>
      <c r="E1477" s="70" t="s">
        <v>327</v>
      </c>
      <c r="F1477" s="71">
        <v>37</v>
      </c>
      <c r="G1477" s="71">
        <v>3</v>
      </c>
      <c r="H1477" s="72" t="s">
        <v>4320</v>
      </c>
      <c r="I1477" s="71" t="b">
        <v>1</v>
      </c>
      <c r="J1477" s="71">
        <v>75</v>
      </c>
      <c r="K1477" s="71">
        <v>72</v>
      </c>
      <c r="L1477" s="71">
        <v>74</v>
      </c>
      <c r="M1477" s="71">
        <v>8</v>
      </c>
      <c r="N1477" s="71">
        <v>14</v>
      </c>
      <c r="O1477" s="71">
        <v>0</v>
      </c>
      <c r="P1477" s="71">
        <v>21</v>
      </c>
      <c r="Q1477" s="71">
        <v>50</v>
      </c>
      <c r="R1477" s="71">
        <v>130</v>
      </c>
      <c r="S1477" s="71" t="s">
        <v>48</v>
      </c>
      <c r="T1477" s="73" t="s">
        <v>4337</v>
      </c>
      <c r="U1477" s="71" t="s">
        <v>3943</v>
      </c>
      <c r="V1477" s="71" t="b">
        <v>0</v>
      </c>
    </row>
    <row r="1478" spans="1:22" ht="17.25">
      <c r="A1478" s="70">
        <v>1070</v>
      </c>
      <c r="B1478" s="70" t="s">
        <v>934</v>
      </c>
      <c r="C1478" s="70" t="s">
        <v>4678</v>
      </c>
      <c r="D1478" s="70" t="s">
        <v>933</v>
      </c>
      <c r="E1478" s="70" t="s">
        <v>327</v>
      </c>
      <c r="F1478" s="71">
        <v>37</v>
      </c>
      <c r="G1478" s="71">
        <v>3</v>
      </c>
      <c r="H1478" s="72" t="s">
        <v>4320</v>
      </c>
      <c r="I1478" s="71" t="b">
        <v>1</v>
      </c>
      <c r="J1478" s="71">
        <v>75</v>
      </c>
      <c r="K1478" s="71">
        <v>72</v>
      </c>
      <c r="L1478" s="71">
        <v>74</v>
      </c>
      <c r="M1478" s="71">
        <v>8</v>
      </c>
      <c r="N1478" s="71">
        <v>14</v>
      </c>
      <c r="O1478" s="71">
        <v>0</v>
      </c>
      <c r="P1478" s="71">
        <v>21</v>
      </c>
      <c r="Q1478" s="71">
        <v>50</v>
      </c>
      <c r="R1478" s="71">
        <v>130</v>
      </c>
      <c r="S1478" s="71" t="s">
        <v>48</v>
      </c>
      <c r="T1478" s="73" t="s">
        <v>4337</v>
      </c>
      <c r="U1478" s="71" t="s">
        <v>3943</v>
      </c>
      <c r="V1478" s="71" t="b">
        <v>0</v>
      </c>
    </row>
    <row r="1479" spans="1:22" ht="17.25">
      <c r="A1479" s="70">
        <v>1071</v>
      </c>
      <c r="B1479" s="70" t="s">
        <v>932</v>
      </c>
      <c r="C1479" s="70" t="s">
        <v>705</v>
      </c>
      <c r="D1479" s="70" t="s">
        <v>931</v>
      </c>
      <c r="E1479" s="70" t="s">
        <v>133</v>
      </c>
      <c r="F1479" s="71">
        <v>29</v>
      </c>
      <c r="G1479" s="71">
        <v>9</v>
      </c>
      <c r="H1479" s="72">
        <v>0.12847222222222221</v>
      </c>
      <c r="I1479" s="71" t="b">
        <v>0</v>
      </c>
      <c r="J1479" s="71">
        <v>72</v>
      </c>
      <c r="K1479" s="71">
        <v>80</v>
      </c>
      <c r="L1479" s="71">
        <v>81</v>
      </c>
      <c r="M1479" s="71">
        <v>7</v>
      </c>
      <c r="N1479" s="71">
        <v>8</v>
      </c>
      <c r="O1479" s="71">
        <v>0</v>
      </c>
      <c r="P1479" s="71">
        <v>12</v>
      </c>
      <c r="Q1479" s="71">
        <v>55</v>
      </c>
      <c r="R1479" s="71">
        <v>120</v>
      </c>
      <c r="S1479" s="71" t="s">
        <v>96</v>
      </c>
      <c r="T1479" s="73">
        <v>45723</v>
      </c>
      <c r="U1479" s="71" t="s">
        <v>4128</v>
      </c>
      <c r="V1479" s="71" t="b">
        <v>0</v>
      </c>
    </row>
    <row r="1480" spans="1:22" ht="17.25">
      <c r="A1480" s="70">
        <v>1072</v>
      </c>
      <c r="B1480" s="70" t="s">
        <v>930</v>
      </c>
      <c r="C1480" s="70" t="s">
        <v>929</v>
      </c>
      <c r="D1480" s="70" t="s">
        <v>928</v>
      </c>
      <c r="E1480" s="70" t="s">
        <v>927</v>
      </c>
      <c r="F1480" s="71">
        <v>4</v>
      </c>
      <c r="G1480" s="71">
        <v>157</v>
      </c>
      <c r="H1480" s="72">
        <v>0.17916666666666667</v>
      </c>
      <c r="I1480" s="71" t="b">
        <v>0</v>
      </c>
      <c r="J1480" s="71">
        <v>38</v>
      </c>
      <c r="K1480" s="71">
        <v>89</v>
      </c>
      <c r="L1480" s="71">
        <v>93</v>
      </c>
      <c r="M1480" s="71">
        <v>4</v>
      </c>
      <c r="N1480" s="71">
        <v>0</v>
      </c>
      <c r="O1480" s="71">
        <v>0</v>
      </c>
      <c r="P1480" s="71">
        <v>19</v>
      </c>
      <c r="Q1480" s="71">
        <v>43</v>
      </c>
      <c r="R1480" s="71">
        <v>174</v>
      </c>
      <c r="S1480" s="71" t="s">
        <v>69</v>
      </c>
      <c r="T1480" s="73">
        <v>35002</v>
      </c>
      <c r="U1480" s="71" t="s">
        <v>4129</v>
      </c>
      <c r="V1480" s="71" t="b">
        <v>0</v>
      </c>
    </row>
    <row r="1481" spans="1:22" ht="17.25">
      <c r="A1481" s="70">
        <v>1073</v>
      </c>
      <c r="B1481" s="70" t="s">
        <v>926</v>
      </c>
      <c r="C1481" s="70" t="s">
        <v>4579</v>
      </c>
      <c r="D1481" s="70" t="s">
        <v>925</v>
      </c>
      <c r="E1481" s="70" t="s">
        <v>924</v>
      </c>
      <c r="F1481" s="71">
        <v>9</v>
      </c>
      <c r="G1481" s="71">
        <v>26</v>
      </c>
      <c r="H1481" s="72" t="s">
        <v>4315</v>
      </c>
      <c r="I1481" s="71" t="b">
        <v>0</v>
      </c>
      <c r="J1481" s="71">
        <v>78</v>
      </c>
      <c r="K1481" s="71">
        <v>74</v>
      </c>
      <c r="L1481" s="71">
        <v>75</v>
      </c>
      <c r="M1481" s="71">
        <v>7</v>
      </c>
      <c r="N1481" s="71">
        <v>15</v>
      </c>
      <c r="O1481" s="71">
        <v>0</v>
      </c>
      <c r="P1481" s="71">
        <v>14</v>
      </c>
      <c r="Q1481" s="71">
        <v>69</v>
      </c>
      <c r="R1481" s="71">
        <v>120</v>
      </c>
      <c r="S1481" s="71" t="s">
        <v>115</v>
      </c>
      <c r="T1481" s="73" t="s">
        <v>4386</v>
      </c>
      <c r="U1481" s="71" t="s">
        <v>3394</v>
      </c>
      <c r="V1481" s="71" t="b">
        <v>0</v>
      </c>
    </row>
    <row r="1482" spans="1:22" ht="17.25">
      <c r="A1482" s="70">
        <v>1073</v>
      </c>
      <c r="B1482" s="70" t="s">
        <v>926</v>
      </c>
      <c r="C1482" s="70" t="s">
        <v>4578</v>
      </c>
      <c r="D1482" s="70" t="s">
        <v>925</v>
      </c>
      <c r="E1482" s="70" t="s">
        <v>924</v>
      </c>
      <c r="F1482" s="71">
        <v>9</v>
      </c>
      <c r="G1482" s="71">
        <v>26</v>
      </c>
      <c r="H1482" s="72" t="s">
        <v>4315</v>
      </c>
      <c r="I1482" s="71" t="b">
        <v>0</v>
      </c>
      <c r="J1482" s="71">
        <v>78</v>
      </c>
      <c r="K1482" s="71">
        <v>74</v>
      </c>
      <c r="L1482" s="71">
        <v>75</v>
      </c>
      <c r="M1482" s="71">
        <v>7</v>
      </c>
      <c r="N1482" s="71">
        <v>15</v>
      </c>
      <c r="O1482" s="71">
        <v>0</v>
      </c>
      <c r="P1482" s="71">
        <v>14</v>
      </c>
      <c r="Q1482" s="71">
        <v>69</v>
      </c>
      <c r="R1482" s="71">
        <v>120</v>
      </c>
      <c r="S1482" s="71" t="s">
        <v>115</v>
      </c>
      <c r="T1482" s="73" t="s">
        <v>4386</v>
      </c>
      <c r="U1482" s="71" t="s">
        <v>3394</v>
      </c>
      <c r="V1482" s="71" t="b">
        <v>0</v>
      </c>
    </row>
    <row r="1483" spans="1:22" ht="17.25">
      <c r="A1483" s="70">
        <v>1073</v>
      </c>
      <c r="B1483" s="70" t="s">
        <v>926</v>
      </c>
      <c r="C1483" s="70" t="s">
        <v>4411</v>
      </c>
      <c r="D1483" s="70" t="s">
        <v>925</v>
      </c>
      <c r="E1483" s="70" t="s">
        <v>924</v>
      </c>
      <c r="F1483" s="71">
        <v>9</v>
      </c>
      <c r="G1483" s="71">
        <v>26</v>
      </c>
      <c r="H1483" s="72" t="s">
        <v>4315</v>
      </c>
      <c r="I1483" s="71" t="b">
        <v>0</v>
      </c>
      <c r="J1483" s="71">
        <v>78</v>
      </c>
      <c r="K1483" s="71">
        <v>74</v>
      </c>
      <c r="L1483" s="71">
        <v>75</v>
      </c>
      <c r="M1483" s="71">
        <v>7</v>
      </c>
      <c r="N1483" s="71">
        <v>15</v>
      </c>
      <c r="O1483" s="71">
        <v>0</v>
      </c>
      <c r="P1483" s="71">
        <v>14</v>
      </c>
      <c r="Q1483" s="71">
        <v>69</v>
      </c>
      <c r="R1483" s="71">
        <v>120</v>
      </c>
      <c r="S1483" s="71" t="s">
        <v>115</v>
      </c>
      <c r="T1483" s="73" t="s">
        <v>4386</v>
      </c>
      <c r="U1483" s="71" t="s">
        <v>3394</v>
      </c>
      <c r="V1483" s="71" t="b">
        <v>0</v>
      </c>
    </row>
    <row r="1484" spans="1:22" ht="17.25">
      <c r="A1484" s="70">
        <v>1073</v>
      </c>
      <c r="B1484" s="70" t="s">
        <v>926</v>
      </c>
      <c r="C1484" s="70" t="s">
        <v>4561</v>
      </c>
      <c r="D1484" s="70" t="s">
        <v>925</v>
      </c>
      <c r="E1484" s="70" t="s">
        <v>924</v>
      </c>
      <c r="F1484" s="71">
        <v>9</v>
      </c>
      <c r="G1484" s="71">
        <v>26</v>
      </c>
      <c r="H1484" s="72" t="s">
        <v>4315</v>
      </c>
      <c r="I1484" s="71" t="b">
        <v>0</v>
      </c>
      <c r="J1484" s="71">
        <v>78</v>
      </c>
      <c r="K1484" s="71">
        <v>74</v>
      </c>
      <c r="L1484" s="71">
        <v>75</v>
      </c>
      <c r="M1484" s="71">
        <v>7</v>
      </c>
      <c r="N1484" s="71">
        <v>15</v>
      </c>
      <c r="O1484" s="71">
        <v>0</v>
      </c>
      <c r="P1484" s="71">
        <v>14</v>
      </c>
      <c r="Q1484" s="71">
        <v>69</v>
      </c>
      <c r="R1484" s="71">
        <v>120</v>
      </c>
      <c r="S1484" s="71" t="s">
        <v>115</v>
      </c>
      <c r="T1484" s="73" t="s">
        <v>4386</v>
      </c>
      <c r="U1484" s="71" t="s">
        <v>3394</v>
      </c>
      <c r="V1484" s="71" t="b">
        <v>0</v>
      </c>
    </row>
    <row r="1485" spans="1:22" ht="17.25">
      <c r="A1485" s="70">
        <v>1073</v>
      </c>
      <c r="B1485" s="70" t="s">
        <v>926</v>
      </c>
      <c r="C1485" s="70" t="s">
        <v>4580</v>
      </c>
      <c r="D1485" s="70" t="s">
        <v>925</v>
      </c>
      <c r="E1485" s="70" t="s">
        <v>924</v>
      </c>
      <c r="F1485" s="71">
        <v>9</v>
      </c>
      <c r="G1485" s="71">
        <v>26</v>
      </c>
      <c r="H1485" s="72" t="s">
        <v>4315</v>
      </c>
      <c r="I1485" s="71" t="b">
        <v>0</v>
      </c>
      <c r="J1485" s="71">
        <v>78</v>
      </c>
      <c r="K1485" s="71">
        <v>74</v>
      </c>
      <c r="L1485" s="71">
        <v>75</v>
      </c>
      <c r="M1485" s="71">
        <v>7</v>
      </c>
      <c r="N1485" s="71">
        <v>15</v>
      </c>
      <c r="O1485" s="71">
        <v>0</v>
      </c>
      <c r="P1485" s="71">
        <v>14</v>
      </c>
      <c r="Q1485" s="71">
        <v>69</v>
      </c>
      <c r="R1485" s="71">
        <v>120</v>
      </c>
      <c r="S1485" s="71" t="s">
        <v>115</v>
      </c>
      <c r="T1485" s="73" t="s">
        <v>4386</v>
      </c>
      <c r="U1485" s="71" t="s">
        <v>3394</v>
      </c>
      <c r="V1485" s="71" t="b">
        <v>0</v>
      </c>
    </row>
    <row r="1486" spans="1:22" ht="17.25">
      <c r="A1486" s="70">
        <v>1074</v>
      </c>
      <c r="B1486" s="70" t="s">
        <v>923</v>
      </c>
      <c r="C1486" s="70" t="s">
        <v>922</v>
      </c>
      <c r="D1486" s="70" t="s">
        <v>921</v>
      </c>
      <c r="E1486" s="70" t="s">
        <v>920</v>
      </c>
      <c r="F1486" s="71">
        <v>155</v>
      </c>
      <c r="G1486" s="71">
        <v>1</v>
      </c>
      <c r="H1486" s="72">
        <v>0.13750000000000001</v>
      </c>
      <c r="I1486" s="71" t="b">
        <v>0</v>
      </c>
      <c r="J1486" s="71">
        <v>47</v>
      </c>
      <c r="K1486" s="71">
        <v>68</v>
      </c>
      <c r="L1486" s="71">
        <v>90</v>
      </c>
      <c r="M1486" s="71">
        <v>5</v>
      </c>
      <c r="N1486" s="71">
        <v>18</v>
      </c>
      <c r="O1486" s="71">
        <v>0</v>
      </c>
      <c r="P1486" s="71">
        <v>22</v>
      </c>
      <c r="Q1486" s="71">
        <v>49</v>
      </c>
      <c r="R1486" s="71">
        <v>79</v>
      </c>
      <c r="S1486" s="71" t="s">
        <v>636</v>
      </c>
      <c r="T1486" s="73">
        <v>45702</v>
      </c>
      <c r="U1486" s="71" t="s">
        <v>4130</v>
      </c>
      <c r="V1486" s="71" t="b">
        <v>0</v>
      </c>
    </row>
    <row r="1487" spans="1:22" ht="17.25">
      <c r="A1487" s="70">
        <v>1077</v>
      </c>
      <c r="B1487" s="70" t="s">
        <v>913</v>
      </c>
      <c r="C1487" s="70" t="s">
        <v>198</v>
      </c>
      <c r="D1487" s="70" t="s">
        <v>912</v>
      </c>
      <c r="E1487" s="70" t="s">
        <v>196</v>
      </c>
      <c r="F1487" s="71">
        <v>74</v>
      </c>
      <c r="G1487" s="71">
        <v>1</v>
      </c>
      <c r="H1487" s="72" t="s">
        <v>4334</v>
      </c>
      <c r="I1487" s="71" t="b">
        <v>0</v>
      </c>
      <c r="J1487" s="71">
        <v>55</v>
      </c>
      <c r="K1487" s="71">
        <v>52</v>
      </c>
      <c r="L1487" s="71">
        <v>71</v>
      </c>
      <c r="M1487" s="71">
        <v>5</v>
      </c>
      <c r="N1487" s="71">
        <v>45</v>
      </c>
      <c r="O1487" s="71">
        <v>0</v>
      </c>
      <c r="P1487" s="71">
        <v>13</v>
      </c>
      <c r="Q1487" s="71">
        <v>43</v>
      </c>
      <c r="R1487" s="71">
        <v>128</v>
      </c>
      <c r="S1487" s="71" t="s">
        <v>195</v>
      </c>
      <c r="T1487" s="73" t="s">
        <v>4337</v>
      </c>
      <c r="U1487" s="71" t="s">
        <v>3860</v>
      </c>
      <c r="V1487" s="71" t="b">
        <v>0</v>
      </c>
    </row>
    <row r="1488" spans="1:22" ht="17.25">
      <c r="A1488" s="70">
        <v>1078</v>
      </c>
      <c r="B1488" s="70" t="s">
        <v>911</v>
      </c>
      <c r="C1488" s="70" t="s">
        <v>910</v>
      </c>
      <c r="D1488" s="70" t="s">
        <v>909</v>
      </c>
      <c r="E1488" s="70" t="s">
        <v>84</v>
      </c>
      <c r="F1488" s="71">
        <v>189</v>
      </c>
      <c r="G1488" s="71">
        <v>1</v>
      </c>
      <c r="H1488" s="72">
        <v>0.13750000000000001</v>
      </c>
      <c r="I1488" s="71" t="b">
        <v>0</v>
      </c>
      <c r="J1488" s="71">
        <v>60</v>
      </c>
      <c r="K1488" s="71">
        <v>57</v>
      </c>
      <c r="L1488" s="71">
        <v>93</v>
      </c>
      <c r="M1488" s="71">
        <v>3</v>
      </c>
      <c r="N1488" s="71">
        <v>50</v>
      </c>
      <c r="O1488" s="71">
        <v>0</v>
      </c>
      <c r="P1488" s="71">
        <v>10</v>
      </c>
      <c r="Q1488" s="71">
        <v>49</v>
      </c>
      <c r="R1488" s="71">
        <v>143</v>
      </c>
      <c r="S1488" s="71" t="s">
        <v>636</v>
      </c>
      <c r="T1488" s="73">
        <v>45702</v>
      </c>
      <c r="U1488" s="71" t="s">
        <v>4131</v>
      </c>
      <c r="V1488" s="71" t="b">
        <v>0</v>
      </c>
    </row>
    <row r="1489" spans="1:22" ht="17.25">
      <c r="A1489" s="70">
        <v>1079</v>
      </c>
      <c r="B1489" s="70" t="s">
        <v>908</v>
      </c>
      <c r="C1489" s="70" t="s">
        <v>907</v>
      </c>
      <c r="D1489" s="70" t="s">
        <v>906</v>
      </c>
      <c r="E1489" s="70" t="s">
        <v>905</v>
      </c>
      <c r="F1489" s="71">
        <v>89</v>
      </c>
      <c r="G1489" s="71">
        <v>14</v>
      </c>
      <c r="H1489" s="72" t="s">
        <v>4315</v>
      </c>
      <c r="I1489" s="71" t="b">
        <v>0</v>
      </c>
      <c r="J1489" s="71">
        <v>65</v>
      </c>
      <c r="K1489" s="71">
        <v>54</v>
      </c>
      <c r="L1489" s="71">
        <v>70</v>
      </c>
      <c r="M1489" s="71">
        <v>4</v>
      </c>
      <c r="N1489" s="71">
        <v>51</v>
      </c>
      <c r="O1489" s="71">
        <v>0</v>
      </c>
      <c r="P1489" s="71">
        <v>12</v>
      </c>
      <c r="Q1489" s="71">
        <v>56</v>
      </c>
      <c r="R1489" s="71">
        <v>100</v>
      </c>
      <c r="S1489" s="71" t="s">
        <v>74</v>
      </c>
      <c r="T1489" s="73" t="s">
        <v>4355</v>
      </c>
      <c r="U1489" s="71" t="s">
        <v>4132</v>
      </c>
      <c r="V1489" s="71" t="b">
        <v>0</v>
      </c>
    </row>
    <row r="1490" spans="1:22" ht="17.25">
      <c r="A1490" s="70">
        <v>1080</v>
      </c>
      <c r="B1490" s="70" t="s">
        <v>904</v>
      </c>
      <c r="C1490" s="70" t="s">
        <v>511</v>
      </c>
      <c r="D1490" s="70" t="s">
        <v>903</v>
      </c>
      <c r="E1490" s="70" t="s">
        <v>124</v>
      </c>
      <c r="F1490" s="71">
        <v>7</v>
      </c>
      <c r="G1490" s="71">
        <v>13</v>
      </c>
      <c r="H1490" s="72" t="s">
        <v>4320</v>
      </c>
      <c r="I1490" s="71" t="b">
        <v>0</v>
      </c>
      <c r="J1490" s="71">
        <v>74</v>
      </c>
      <c r="K1490" s="71">
        <v>66</v>
      </c>
      <c r="L1490" s="71">
        <v>73</v>
      </c>
      <c r="M1490" s="71">
        <v>7</v>
      </c>
      <c r="N1490" s="71">
        <v>22</v>
      </c>
      <c r="O1490" s="71">
        <v>0</v>
      </c>
      <c r="P1490" s="71">
        <v>15</v>
      </c>
      <c r="Q1490" s="71">
        <v>60</v>
      </c>
      <c r="R1490" s="71">
        <v>125</v>
      </c>
      <c r="S1490" s="71" t="s">
        <v>115</v>
      </c>
      <c r="T1490" s="73" t="s">
        <v>4341</v>
      </c>
      <c r="U1490" s="71" t="s">
        <v>3435</v>
      </c>
      <c r="V1490" s="71" t="b">
        <v>0</v>
      </c>
    </row>
    <row r="1491" spans="1:22" ht="17.25">
      <c r="A1491" s="70">
        <v>1081</v>
      </c>
      <c r="B1491" s="70" t="s">
        <v>902</v>
      </c>
      <c r="C1491" s="70" t="s">
        <v>4514</v>
      </c>
      <c r="D1491" s="70" t="s">
        <v>901</v>
      </c>
      <c r="E1491" s="70" t="s">
        <v>44</v>
      </c>
      <c r="F1491" s="71">
        <v>158</v>
      </c>
      <c r="G1491" s="71">
        <v>1</v>
      </c>
      <c r="H1491" s="72">
        <v>0.13750000000000001</v>
      </c>
      <c r="I1491" s="71" t="b">
        <v>1</v>
      </c>
      <c r="J1491" s="71">
        <v>95</v>
      </c>
      <c r="K1491" s="71">
        <v>77</v>
      </c>
      <c r="L1491" s="71">
        <v>91</v>
      </c>
      <c r="M1491" s="71">
        <v>27</v>
      </c>
      <c r="N1491" s="71">
        <v>19</v>
      </c>
      <c r="O1491" s="71">
        <v>0</v>
      </c>
      <c r="P1491" s="71">
        <v>10</v>
      </c>
      <c r="Q1491" s="71">
        <v>90</v>
      </c>
      <c r="R1491" s="71">
        <v>130</v>
      </c>
      <c r="S1491" s="71" t="s">
        <v>48</v>
      </c>
      <c r="T1491" s="73">
        <v>45681</v>
      </c>
      <c r="U1491" s="71" t="s">
        <v>4133</v>
      </c>
      <c r="V1491" s="71" t="b">
        <v>0</v>
      </c>
    </row>
    <row r="1492" spans="1:22" ht="17.25">
      <c r="A1492" s="70">
        <v>1081</v>
      </c>
      <c r="B1492" s="70" t="s">
        <v>902</v>
      </c>
      <c r="C1492" s="70" t="s">
        <v>4492</v>
      </c>
      <c r="D1492" s="70" t="s">
        <v>901</v>
      </c>
      <c r="E1492" s="70" t="s">
        <v>44</v>
      </c>
      <c r="F1492" s="71">
        <v>158</v>
      </c>
      <c r="G1492" s="71">
        <v>1</v>
      </c>
      <c r="H1492" s="72">
        <v>0.13750000000000001</v>
      </c>
      <c r="I1492" s="71" t="b">
        <v>1</v>
      </c>
      <c r="J1492" s="71">
        <v>95</v>
      </c>
      <c r="K1492" s="71">
        <v>77</v>
      </c>
      <c r="L1492" s="71">
        <v>91</v>
      </c>
      <c r="M1492" s="71">
        <v>27</v>
      </c>
      <c r="N1492" s="71">
        <v>19</v>
      </c>
      <c r="O1492" s="71">
        <v>0</v>
      </c>
      <c r="P1492" s="71">
        <v>10</v>
      </c>
      <c r="Q1492" s="71">
        <v>90</v>
      </c>
      <c r="R1492" s="71">
        <v>130</v>
      </c>
      <c r="S1492" s="71" t="s">
        <v>48</v>
      </c>
      <c r="T1492" s="73">
        <v>45681</v>
      </c>
      <c r="U1492" s="71" t="s">
        <v>4133</v>
      </c>
      <c r="V1492" s="71" t="b">
        <v>0</v>
      </c>
    </row>
    <row r="1493" spans="1:22" ht="17.25">
      <c r="A1493" s="70">
        <v>1082</v>
      </c>
      <c r="B1493" s="70" t="s">
        <v>900</v>
      </c>
      <c r="C1493" s="70" t="s">
        <v>899</v>
      </c>
      <c r="D1493" s="70" t="s">
        <v>898</v>
      </c>
      <c r="E1493" s="70" t="s">
        <v>897</v>
      </c>
      <c r="F1493" s="71">
        <v>30</v>
      </c>
      <c r="G1493" s="71">
        <v>32</v>
      </c>
      <c r="H1493" s="72">
        <v>0.15833333333333333</v>
      </c>
      <c r="I1493" s="71" t="b">
        <v>0</v>
      </c>
      <c r="J1493" s="71">
        <v>47</v>
      </c>
      <c r="K1493" s="71">
        <v>56</v>
      </c>
      <c r="L1493" s="71">
        <v>87</v>
      </c>
      <c r="M1493" s="71">
        <v>4</v>
      </c>
      <c r="N1493" s="71">
        <v>43</v>
      </c>
      <c r="O1493" s="71">
        <v>0</v>
      </c>
      <c r="P1493" s="71">
        <v>10</v>
      </c>
      <c r="Q1493" s="71">
        <v>44</v>
      </c>
      <c r="R1493" s="71">
        <v>208</v>
      </c>
      <c r="S1493" s="71" t="s">
        <v>74</v>
      </c>
      <c r="T1493" s="73">
        <v>45520</v>
      </c>
      <c r="U1493" s="71" t="s">
        <v>4134</v>
      </c>
      <c r="V1493" s="71" t="b">
        <v>0</v>
      </c>
    </row>
    <row r="1494" spans="1:22" ht="17.25">
      <c r="A1494" s="70">
        <v>1083</v>
      </c>
      <c r="B1494" s="70" t="s">
        <v>896</v>
      </c>
      <c r="C1494" s="70" t="s">
        <v>895</v>
      </c>
      <c r="D1494" s="70" t="s">
        <v>894</v>
      </c>
      <c r="E1494" s="70" t="s">
        <v>44</v>
      </c>
      <c r="F1494" s="71">
        <v>7</v>
      </c>
      <c r="G1494" s="71">
        <v>338</v>
      </c>
      <c r="H1494" s="72">
        <v>0.14652777777777778</v>
      </c>
      <c r="I1494" s="71" t="b">
        <v>0</v>
      </c>
      <c r="J1494" s="71">
        <v>36</v>
      </c>
      <c r="K1494" s="71">
        <v>56</v>
      </c>
      <c r="L1494" s="71">
        <v>88</v>
      </c>
      <c r="M1494" s="71">
        <v>6</v>
      </c>
      <c r="N1494" s="71">
        <v>70</v>
      </c>
      <c r="O1494" s="71">
        <v>0</v>
      </c>
      <c r="P1494" s="71">
        <v>9</v>
      </c>
      <c r="Q1494" s="71">
        <v>49</v>
      </c>
      <c r="R1494" s="71">
        <v>85</v>
      </c>
      <c r="S1494" s="71" t="s">
        <v>96</v>
      </c>
      <c r="T1494" s="73">
        <v>42622</v>
      </c>
      <c r="U1494" s="71" t="s">
        <v>4135</v>
      </c>
      <c r="V1494" s="71" t="b">
        <v>0</v>
      </c>
    </row>
    <row r="1495" spans="1:22" ht="17.25">
      <c r="A1495" s="70">
        <v>1084</v>
      </c>
      <c r="B1495" s="70" t="s">
        <v>893</v>
      </c>
      <c r="C1495" s="70" t="s">
        <v>97</v>
      </c>
      <c r="D1495" s="70" t="s">
        <v>892</v>
      </c>
      <c r="E1495" s="70" t="s">
        <v>891</v>
      </c>
      <c r="F1495" s="71">
        <v>5</v>
      </c>
      <c r="G1495" s="71">
        <v>12</v>
      </c>
      <c r="H1495" s="72" t="s">
        <v>4320</v>
      </c>
      <c r="I1495" s="71" t="b">
        <v>0</v>
      </c>
      <c r="J1495" s="71">
        <v>68</v>
      </c>
      <c r="K1495" s="71">
        <v>56</v>
      </c>
      <c r="L1495" s="71">
        <v>74</v>
      </c>
      <c r="M1495" s="71">
        <v>4</v>
      </c>
      <c r="N1495" s="71">
        <v>44</v>
      </c>
      <c r="O1495" s="71">
        <v>0</v>
      </c>
      <c r="P1495" s="71">
        <v>12</v>
      </c>
      <c r="Q1495" s="71">
        <v>52</v>
      </c>
      <c r="R1495" s="71">
        <v>93</v>
      </c>
      <c r="S1495" s="71" t="s">
        <v>96</v>
      </c>
      <c r="T1495" s="73" t="s">
        <v>4325</v>
      </c>
      <c r="U1495" s="71" t="s">
        <v>4136</v>
      </c>
      <c r="V1495" s="71" t="b">
        <v>0</v>
      </c>
    </row>
    <row r="1496" spans="1:22" ht="17.25">
      <c r="A1496" s="70">
        <v>1085</v>
      </c>
      <c r="B1496" s="70" t="s">
        <v>890</v>
      </c>
      <c r="C1496" s="70" t="s">
        <v>889</v>
      </c>
      <c r="D1496" s="70" t="s">
        <v>888</v>
      </c>
      <c r="E1496" s="70" t="s">
        <v>607</v>
      </c>
      <c r="F1496" s="71">
        <v>59</v>
      </c>
      <c r="G1496" s="71">
        <v>2</v>
      </c>
      <c r="H1496" s="72" t="s">
        <v>4317</v>
      </c>
      <c r="I1496" s="71" t="b">
        <v>0</v>
      </c>
      <c r="J1496" s="71">
        <v>76</v>
      </c>
      <c r="K1496" s="71">
        <v>82</v>
      </c>
      <c r="L1496" s="71">
        <v>79</v>
      </c>
      <c r="M1496" s="71">
        <v>6</v>
      </c>
      <c r="N1496" s="71">
        <v>11</v>
      </c>
      <c r="O1496" s="71">
        <v>0</v>
      </c>
      <c r="P1496" s="71">
        <v>18</v>
      </c>
      <c r="Q1496" s="71">
        <v>61</v>
      </c>
      <c r="R1496" s="71">
        <v>130</v>
      </c>
      <c r="S1496" s="71" t="s">
        <v>115</v>
      </c>
      <c r="T1496" s="73" t="s">
        <v>4316</v>
      </c>
      <c r="U1496" s="71" t="s">
        <v>4137</v>
      </c>
      <c r="V1496" s="71" t="b">
        <v>0</v>
      </c>
    </row>
    <row r="1497" spans="1:22" ht="17.25">
      <c r="A1497" s="70">
        <v>1086</v>
      </c>
      <c r="B1497" s="70" t="s">
        <v>887</v>
      </c>
      <c r="C1497" s="70" t="s">
        <v>430</v>
      </c>
      <c r="D1497" s="70" t="s">
        <v>886</v>
      </c>
      <c r="E1497" s="70" t="s">
        <v>428</v>
      </c>
      <c r="F1497" s="71">
        <v>99</v>
      </c>
      <c r="G1497" s="71">
        <v>4</v>
      </c>
      <c r="H1497" s="72">
        <v>0.12847222222222221</v>
      </c>
      <c r="I1497" s="71" t="b">
        <v>0</v>
      </c>
      <c r="J1497" s="71">
        <v>62</v>
      </c>
      <c r="K1497" s="71">
        <v>62</v>
      </c>
      <c r="L1497" s="71">
        <v>77</v>
      </c>
      <c r="M1497" s="71">
        <v>5</v>
      </c>
      <c r="N1497" s="71">
        <v>30</v>
      </c>
      <c r="O1497" s="71">
        <v>0</v>
      </c>
      <c r="P1497" s="71">
        <v>14</v>
      </c>
      <c r="Q1497" s="71">
        <v>78</v>
      </c>
      <c r="R1497" s="71">
        <v>120</v>
      </c>
      <c r="S1497" s="71" t="s">
        <v>29</v>
      </c>
      <c r="T1497" s="73">
        <v>41597</v>
      </c>
      <c r="U1497" s="71" t="s">
        <v>4138</v>
      </c>
      <c r="V1497" s="71" t="b">
        <v>1</v>
      </c>
    </row>
    <row r="1498" spans="1:22" ht="17.25">
      <c r="A1498" s="70">
        <v>1087</v>
      </c>
      <c r="B1498" s="70" t="s">
        <v>885</v>
      </c>
      <c r="C1498" s="70" t="s">
        <v>336</v>
      </c>
      <c r="D1498" s="70" t="s">
        <v>884</v>
      </c>
      <c r="E1498" s="70" t="s">
        <v>334</v>
      </c>
      <c r="F1498" s="71">
        <v>19</v>
      </c>
      <c r="G1498" s="71">
        <v>4</v>
      </c>
      <c r="H1498" s="72" t="s">
        <v>4320</v>
      </c>
      <c r="I1498" s="71" t="b">
        <v>0</v>
      </c>
      <c r="J1498" s="71">
        <v>74</v>
      </c>
      <c r="K1498" s="71">
        <v>68</v>
      </c>
      <c r="L1498" s="71">
        <v>73</v>
      </c>
      <c r="M1498" s="71">
        <v>5</v>
      </c>
      <c r="N1498" s="71">
        <v>22</v>
      </c>
      <c r="O1498" s="71">
        <v>0</v>
      </c>
      <c r="P1498" s="71">
        <v>13</v>
      </c>
      <c r="Q1498" s="71">
        <v>71</v>
      </c>
      <c r="R1498" s="71">
        <v>122</v>
      </c>
      <c r="S1498" s="71" t="s">
        <v>96</v>
      </c>
      <c r="T1498" s="73" t="s">
        <v>4379</v>
      </c>
      <c r="U1498" s="71" t="s">
        <v>4139</v>
      </c>
      <c r="V1498" s="71" t="b">
        <v>0</v>
      </c>
    </row>
    <row r="1499" spans="1:22" ht="17.25">
      <c r="A1499" s="70">
        <v>1088</v>
      </c>
      <c r="B1499" s="70" t="s">
        <v>883</v>
      </c>
      <c r="C1499" s="70" t="s">
        <v>4814</v>
      </c>
      <c r="D1499" s="70" t="s">
        <v>882</v>
      </c>
      <c r="E1499" s="70" t="s">
        <v>881</v>
      </c>
      <c r="F1499" s="71">
        <v>156</v>
      </c>
      <c r="G1499" s="71">
        <v>1</v>
      </c>
      <c r="H1499" s="72" t="s">
        <v>4334</v>
      </c>
      <c r="I1499" s="71" t="b">
        <v>1</v>
      </c>
      <c r="J1499" s="71">
        <v>72</v>
      </c>
      <c r="K1499" s="71">
        <v>85</v>
      </c>
      <c r="L1499" s="71">
        <v>77</v>
      </c>
      <c r="M1499" s="71">
        <v>14</v>
      </c>
      <c r="N1499" s="71">
        <v>10</v>
      </c>
      <c r="O1499" s="71">
        <v>0</v>
      </c>
      <c r="P1499" s="71">
        <v>33</v>
      </c>
      <c r="Q1499" s="71">
        <v>64</v>
      </c>
      <c r="R1499" s="71">
        <v>150</v>
      </c>
      <c r="S1499" s="71" t="s">
        <v>359</v>
      </c>
      <c r="T1499" s="73" t="s">
        <v>4344</v>
      </c>
      <c r="U1499" s="71" t="s">
        <v>4089</v>
      </c>
      <c r="V1499" s="71" t="b">
        <v>0</v>
      </c>
    </row>
    <row r="1500" spans="1:22" ht="17.25">
      <c r="A1500" s="70">
        <v>1088</v>
      </c>
      <c r="B1500" s="70" t="s">
        <v>883</v>
      </c>
      <c r="C1500" s="70" t="s">
        <v>4811</v>
      </c>
      <c r="D1500" s="70" t="s">
        <v>882</v>
      </c>
      <c r="E1500" s="70" t="s">
        <v>881</v>
      </c>
      <c r="F1500" s="71">
        <v>156</v>
      </c>
      <c r="G1500" s="71">
        <v>1</v>
      </c>
      <c r="H1500" s="72" t="s">
        <v>4334</v>
      </c>
      <c r="I1500" s="71" t="b">
        <v>1</v>
      </c>
      <c r="J1500" s="71">
        <v>72</v>
      </c>
      <c r="K1500" s="71">
        <v>85</v>
      </c>
      <c r="L1500" s="71">
        <v>77</v>
      </c>
      <c r="M1500" s="71">
        <v>14</v>
      </c>
      <c r="N1500" s="71">
        <v>10</v>
      </c>
      <c r="O1500" s="71">
        <v>0</v>
      </c>
      <c r="P1500" s="71">
        <v>33</v>
      </c>
      <c r="Q1500" s="71">
        <v>64</v>
      </c>
      <c r="R1500" s="71">
        <v>150</v>
      </c>
      <c r="S1500" s="71" t="s">
        <v>359</v>
      </c>
      <c r="T1500" s="73" t="s">
        <v>4344</v>
      </c>
      <c r="U1500" s="71" t="s">
        <v>4089</v>
      </c>
      <c r="V1500" s="71" t="b">
        <v>0</v>
      </c>
    </row>
    <row r="1501" spans="1:22" ht="17.25">
      <c r="A1501" s="70">
        <v>1088</v>
      </c>
      <c r="B1501" s="70" t="s">
        <v>883</v>
      </c>
      <c r="C1501" s="70" t="s">
        <v>4810</v>
      </c>
      <c r="D1501" s="70" t="s">
        <v>882</v>
      </c>
      <c r="E1501" s="70" t="s">
        <v>881</v>
      </c>
      <c r="F1501" s="71">
        <v>156</v>
      </c>
      <c r="G1501" s="71">
        <v>1</v>
      </c>
      <c r="H1501" s="72" t="s">
        <v>4334</v>
      </c>
      <c r="I1501" s="71" t="b">
        <v>1</v>
      </c>
      <c r="J1501" s="71">
        <v>72</v>
      </c>
      <c r="K1501" s="71">
        <v>85</v>
      </c>
      <c r="L1501" s="71">
        <v>77</v>
      </c>
      <c r="M1501" s="71">
        <v>14</v>
      </c>
      <c r="N1501" s="71">
        <v>10</v>
      </c>
      <c r="O1501" s="71">
        <v>0</v>
      </c>
      <c r="P1501" s="71">
        <v>33</v>
      </c>
      <c r="Q1501" s="71">
        <v>64</v>
      </c>
      <c r="R1501" s="71">
        <v>150</v>
      </c>
      <c r="S1501" s="71" t="s">
        <v>359</v>
      </c>
      <c r="T1501" s="73" t="s">
        <v>4344</v>
      </c>
      <c r="U1501" s="71" t="s">
        <v>4089</v>
      </c>
      <c r="V1501" s="71" t="b">
        <v>0</v>
      </c>
    </row>
    <row r="1502" spans="1:22" ht="17.25">
      <c r="A1502" s="70">
        <v>1088</v>
      </c>
      <c r="B1502" s="70" t="s">
        <v>883</v>
      </c>
      <c r="C1502" s="70" t="s">
        <v>4613</v>
      </c>
      <c r="D1502" s="70" t="s">
        <v>882</v>
      </c>
      <c r="E1502" s="70" t="s">
        <v>881</v>
      </c>
      <c r="F1502" s="71">
        <v>156</v>
      </c>
      <c r="G1502" s="71">
        <v>1</v>
      </c>
      <c r="H1502" s="72" t="s">
        <v>4334</v>
      </c>
      <c r="I1502" s="71" t="b">
        <v>1</v>
      </c>
      <c r="J1502" s="71">
        <v>72</v>
      </c>
      <c r="K1502" s="71">
        <v>85</v>
      </c>
      <c r="L1502" s="71">
        <v>77</v>
      </c>
      <c r="M1502" s="71">
        <v>14</v>
      </c>
      <c r="N1502" s="71">
        <v>10</v>
      </c>
      <c r="O1502" s="71">
        <v>0</v>
      </c>
      <c r="P1502" s="71">
        <v>33</v>
      </c>
      <c r="Q1502" s="71">
        <v>64</v>
      </c>
      <c r="R1502" s="71">
        <v>150</v>
      </c>
      <c r="S1502" s="71" t="s">
        <v>359</v>
      </c>
      <c r="T1502" s="73" t="s">
        <v>4344</v>
      </c>
      <c r="U1502" s="71" t="s">
        <v>4089</v>
      </c>
      <c r="V1502" s="71" t="b">
        <v>0</v>
      </c>
    </row>
    <row r="1503" spans="1:22" ht="17.25">
      <c r="A1503" s="70">
        <v>1088</v>
      </c>
      <c r="B1503" s="70" t="s">
        <v>883</v>
      </c>
      <c r="C1503" s="70" t="s">
        <v>4812</v>
      </c>
      <c r="D1503" s="70" t="s">
        <v>882</v>
      </c>
      <c r="E1503" s="70" t="s">
        <v>881</v>
      </c>
      <c r="F1503" s="71">
        <v>156</v>
      </c>
      <c r="G1503" s="71">
        <v>1</v>
      </c>
      <c r="H1503" s="72" t="s">
        <v>4334</v>
      </c>
      <c r="I1503" s="71" t="b">
        <v>1</v>
      </c>
      <c r="J1503" s="71">
        <v>72</v>
      </c>
      <c r="K1503" s="71">
        <v>85</v>
      </c>
      <c r="L1503" s="71">
        <v>77</v>
      </c>
      <c r="M1503" s="71">
        <v>14</v>
      </c>
      <c r="N1503" s="71">
        <v>10</v>
      </c>
      <c r="O1503" s="71">
        <v>0</v>
      </c>
      <c r="P1503" s="71">
        <v>33</v>
      </c>
      <c r="Q1503" s="71">
        <v>64</v>
      </c>
      <c r="R1503" s="71">
        <v>150</v>
      </c>
      <c r="S1503" s="71" t="s">
        <v>359</v>
      </c>
      <c r="T1503" s="73" t="s">
        <v>4344</v>
      </c>
      <c r="U1503" s="71" t="s">
        <v>4089</v>
      </c>
      <c r="V1503" s="71" t="b">
        <v>0</v>
      </c>
    </row>
    <row r="1504" spans="1:22" ht="17.25">
      <c r="A1504" s="70">
        <v>1088</v>
      </c>
      <c r="B1504" s="70" t="s">
        <v>883</v>
      </c>
      <c r="C1504" s="70" t="s">
        <v>4813</v>
      </c>
      <c r="D1504" s="70" t="s">
        <v>882</v>
      </c>
      <c r="E1504" s="70" t="s">
        <v>881</v>
      </c>
      <c r="F1504" s="71">
        <v>156</v>
      </c>
      <c r="G1504" s="71">
        <v>1</v>
      </c>
      <c r="H1504" s="72" t="s">
        <v>4334</v>
      </c>
      <c r="I1504" s="71" t="b">
        <v>1</v>
      </c>
      <c r="J1504" s="71">
        <v>72</v>
      </c>
      <c r="K1504" s="71">
        <v>85</v>
      </c>
      <c r="L1504" s="71">
        <v>77</v>
      </c>
      <c r="M1504" s="71">
        <v>14</v>
      </c>
      <c r="N1504" s="71">
        <v>10</v>
      </c>
      <c r="O1504" s="71">
        <v>0</v>
      </c>
      <c r="P1504" s="71">
        <v>33</v>
      </c>
      <c r="Q1504" s="71">
        <v>64</v>
      </c>
      <c r="R1504" s="71">
        <v>150</v>
      </c>
      <c r="S1504" s="71" t="s">
        <v>359</v>
      </c>
      <c r="T1504" s="73" t="s">
        <v>4344</v>
      </c>
      <c r="U1504" s="71" t="s">
        <v>4089</v>
      </c>
      <c r="V1504" s="71" t="b">
        <v>0</v>
      </c>
    </row>
    <row r="1505" spans="1:22" ht="17.25">
      <c r="A1505" s="70">
        <v>1088</v>
      </c>
      <c r="B1505" s="70" t="s">
        <v>883</v>
      </c>
      <c r="C1505" s="70" t="s">
        <v>4432</v>
      </c>
      <c r="D1505" s="70" t="s">
        <v>882</v>
      </c>
      <c r="E1505" s="70" t="s">
        <v>881</v>
      </c>
      <c r="F1505" s="71">
        <v>156</v>
      </c>
      <c r="G1505" s="71">
        <v>1</v>
      </c>
      <c r="H1505" s="72" t="s">
        <v>4334</v>
      </c>
      <c r="I1505" s="71" t="b">
        <v>1</v>
      </c>
      <c r="J1505" s="71">
        <v>72</v>
      </c>
      <c r="K1505" s="71">
        <v>85</v>
      </c>
      <c r="L1505" s="71">
        <v>77</v>
      </c>
      <c r="M1505" s="71">
        <v>14</v>
      </c>
      <c r="N1505" s="71">
        <v>10</v>
      </c>
      <c r="O1505" s="71">
        <v>0</v>
      </c>
      <c r="P1505" s="71">
        <v>33</v>
      </c>
      <c r="Q1505" s="71">
        <v>64</v>
      </c>
      <c r="R1505" s="71">
        <v>150</v>
      </c>
      <c r="S1505" s="71" t="s">
        <v>359</v>
      </c>
      <c r="T1505" s="73" t="s">
        <v>4344</v>
      </c>
      <c r="U1505" s="71" t="s">
        <v>4089</v>
      </c>
      <c r="V1505" s="71" t="b">
        <v>0</v>
      </c>
    </row>
    <row r="1506" spans="1:22" ht="17.25">
      <c r="A1506" s="70">
        <v>1088</v>
      </c>
      <c r="B1506" s="70" t="s">
        <v>883</v>
      </c>
      <c r="C1506" s="70" t="s">
        <v>4614</v>
      </c>
      <c r="D1506" s="70" t="s">
        <v>882</v>
      </c>
      <c r="E1506" s="70" t="s">
        <v>881</v>
      </c>
      <c r="F1506" s="71">
        <v>156</v>
      </c>
      <c r="G1506" s="71">
        <v>1</v>
      </c>
      <c r="H1506" s="72" t="s">
        <v>4334</v>
      </c>
      <c r="I1506" s="71" t="b">
        <v>1</v>
      </c>
      <c r="J1506" s="71">
        <v>72</v>
      </c>
      <c r="K1506" s="71">
        <v>85</v>
      </c>
      <c r="L1506" s="71">
        <v>77</v>
      </c>
      <c r="M1506" s="71">
        <v>14</v>
      </c>
      <c r="N1506" s="71">
        <v>10</v>
      </c>
      <c r="O1506" s="71">
        <v>0</v>
      </c>
      <c r="P1506" s="71">
        <v>33</v>
      </c>
      <c r="Q1506" s="71">
        <v>64</v>
      </c>
      <c r="R1506" s="71">
        <v>150</v>
      </c>
      <c r="S1506" s="71" t="s">
        <v>359</v>
      </c>
      <c r="T1506" s="73" t="s">
        <v>4344</v>
      </c>
      <c r="U1506" s="71" t="s">
        <v>4089</v>
      </c>
      <c r="V1506" s="71" t="b">
        <v>0</v>
      </c>
    </row>
    <row r="1507" spans="1:22" ht="17.25">
      <c r="A1507" s="70">
        <v>1089</v>
      </c>
      <c r="B1507" s="70" t="s">
        <v>880</v>
      </c>
      <c r="C1507" s="70" t="s">
        <v>4530</v>
      </c>
      <c r="D1507" s="70" t="s">
        <v>879</v>
      </c>
      <c r="E1507" s="70" t="s">
        <v>878</v>
      </c>
      <c r="F1507" s="71">
        <v>132</v>
      </c>
      <c r="G1507" s="71">
        <v>3</v>
      </c>
      <c r="H1507" s="72">
        <v>0.12847222222222221</v>
      </c>
      <c r="I1507" s="71" t="b">
        <v>1</v>
      </c>
      <c r="J1507" s="71">
        <v>83</v>
      </c>
      <c r="K1507" s="71">
        <v>68</v>
      </c>
      <c r="L1507" s="71">
        <v>92</v>
      </c>
      <c r="M1507" s="71">
        <v>36</v>
      </c>
      <c r="N1507" s="71">
        <v>0</v>
      </c>
      <c r="O1507" s="71">
        <v>0</v>
      </c>
      <c r="P1507" s="71">
        <v>23</v>
      </c>
      <c r="Q1507" s="71">
        <v>68</v>
      </c>
      <c r="R1507" s="71">
        <v>167</v>
      </c>
      <c r="S1507" s="71" t="s">
        <v>48</v>
      </c>
      <c r="T1507" s="73">
        <v>45758</v>
      </c>
      <c r="U1507" s="71" t="s">
        <v>4140</v>
      </c>
      <c r="V1507" s="71" t="b">
        <v>0</v>
      </c>
    </row>
    <row r="1508" spans="1:22" ht="17.25">
      <c r="A1508" s="70">
        <v>1089</v>
      </c>
      <c r="B1508" s="70" t="s">
        <v>880</v>
      </c>
      <c r="C1508" s="70" t="s">
        <v>4525</v>
      </c>
      <c r="D1508" s="70" t="s">
        <v>879</v>
      </c>
      <c r="E1508" s="70" t="s">
        <v>878</v>
      </c>
      <c r="F1508" s="71">
        <v>132</v>
      </c>
      <c r="G1508" s="71">
        <v>3</v>
      </c>
      <c r="H1508" s="72">
        <v>0.12847222222222221</v>
      </c>
      <c r="I1508" s="71" t="b">
        <v>1</v>
      </c>
      <c r="J1508" s="71">
        <v>83</v>
      </c>
      <c r="K1508" s="71">
        <v>68</v>
      </c>
      <c r="L1508" s="71">
        <v>92</v>
      </c>
      <c r="M1508" s="71">
        <v>36</v>
      </c>
      <c r="N1508" s="71">
        <v>0</v>
      </c>
      <c r="O1508" s="71">
        <v>0</v>
      </c>
      <c r="P1508" s="71">
        <v>23</v>
      </c>
      <c r="Q1508" s="71">
        <v>68</v>
      </c>
      <c r="R1508" s="71">
        <v>167</v>
      </c>
      <c r="S1508" s="71" t="s">
        <v>48</v>
      </c>
      <c r="T1508" s="73">
        <v>45758</v>
      </c>
      <c r="U1508" s="71" t="s">
        <v>4140</v>
      </c>
      <c r="V1508" s="71" t="b">
        <v>0</v>
      </c>
    </row>
    <row r="1509" spans="1:22" ht="17.25">
      <c r="A1509" s="70">
        <v>1090</v>
      </c>
      <c r="B1509" s="70" t="s">
        <v>877</v>
      </c>
      <c r="C1509" s="70" t="s">
        <v>876</v>
      </c>
      <c r="D1509" s="70" t="s">
        <v>875</v>
      </c>
      <c r="E1509" s="70" t="s">
        <v>104</v>
      </c>
      <c r="F1509" s="71">
        <v>48</v>
      </c>
      <c r="G1509" s="71">
        <v>17</v>
      </c>
      <c r="H1509" s="72">
        <v>8.4722222222222227E-2</v>
      </c>
      <c r="I1509" s="71" t="b">
        <v>0</v>
      </c>
      <c r="J1509" s="71">
        <v>58</v>
      </c>
      <c r="K1509" s="71">
        <v>55</v>
      </c>
      <c r="L1509" s="71">
        <v>74</v>
      </c>
      <c r="M1509" s="71">
        <v>4</v>
      </c>
      <c r="N1509" s="71">
        <v>55</v>
      </c>
      <c r="O1509" s="71">
        <v>0</v>
      </c>
      <c r="P1509" s="71">
        <v>15</v>
      </c>
      <c r="Q1509" s="71">
        <v>78</v>
      </c>
      <c r="R1509" s="71">
        <v>120</v>
      </c>
      <c r="S1509" s="71" t="s">
        <v>29</v>
      </c>
      <c r="T1509" s="73">
        <v>23354</v>
      </c>
      <c r="U1509" s="71" t="s">
        <v>4141</v>
      </c>
      <c r="V1509" s="71" t="b">
        <v>1</v>
      </c>
    </row>
    <row r="1510" spans="1:22" ht="17.25">
      <c r="A1510" s="70">
        <v>1091</v>
      </c>
      <c r="B1510" s="70" t="s">
        <v>874</v>
      </c>
      <c r="C1510" s="70" t="s">
        <v>366</v>
      </c>
      <c r="D1510" s="70" t="s">
        <v>873</v>
      </c>
      <c r="E1510" s="70" t="s">
        <v>171</v>
      </c>
      <c r="F1510" s="71">
        <v>3</v>
      </c>
      <c r="G1510" s="71">
        <v>31</v>
      </c>
      <c r="H1510" s="72" t="s">
        <v>4315</v>
      </c>
      <c r="I1510" s="71" t="b">
        <v>0</v>
      </c>
      <c r="J1510" s="71">
        <v>66</v>
      </c>
      <c r="K1510" s="71">
        <v>54</v>
      </c>
      <c r="L1510" s="71">
        <v>71</v>
      </c>
      <c r="M1510" s="71">
        <v>4</v>
      </c>
      <c r="N1510" s="71">
        <v>44</v>
      </c>
      <c r="O1510" s="71">
        <v>0</v>
      </c>
      <c r="P1510" s="71">
        <v>13</v>
      </c>
      <c r="Q1510" s="71">
        <v>49</v>
      </c>
      <c r="R1510" s="71">
        <v>124</v>
      </c>
      <c r="S1510" s="71" t="s">
        <v>96</v>
      </c>
      <c r="T1510" s="73" t="s">
        <v>4368</v>
      </c>
      <c r="U1510" s="71" t="s">
        <v>3448</v>
      </c>
      <c r="V1510" s="71" t="b">
        <v>0</v>
      </c>
    </row>
    <row r="1511" spans="1:22" ht="17.25">
      <c r="A1511" s="70">
        <v>1093</v>
      </c>
      <c r="B1511" s="70" t="s">
        <v>870</v>
      </c>
      <c r="C1511" s="70" t="s">
        <v>97</v>
      </c>
      <c r="D1511" s="70" t="s">
        <v>869</v>
      </c>
      <c r="E1511" s="70" t="s">
        <v>97</v>
      </c>
      <c r="F1511" s="71">
        <v>5</v>
      </c>
      <c r="G1511" s="71">
        <v>6</v>
      </c>
      <c r="H1511" s="72" t="s">
        <v>4320</v>
      </c>
      <c r="I1511" s="71" t="b">
        <v>0</v>
      </c>
      <c r="J1511" s="71">
        <v>55</v>
      </c>
      <c r="K1511" s="71">
        <v>42</v>
      </c>
      <c r="L1511" s="71">
        <v>70</v>
      </c>
      <c r="M1511" s="71">
        <v>4</v>
      </c>
      <c r="N1511" s="71">
        <v>66</v>
      </c>
      <c r="O1511" s="71">
        <v>0</v>
      </c>
      <c r="P1511" s="71">
        <v>11</v>
      </c>
      <c r="Q1511" s="71">
        <v>33</v>
      </c>
      <c r="R1511" s="71">
        <v>94</v>
      </c>
      <c r="S1511" s="71" t="s">
        <v>96</v>
      </c>
      <c r="T1511" s="73" t="s">
        <v>4364</v>
      </c>
      <c r="U1511" s="71" t="s">
        <v>3765</v>
      </c>
      <c r="V1511" s="71" t="b">
        <v>0</v>
      </c>
    </row>
    <row r="1512" spans="1:22" ht="17.25">
      <c r="A1512" s="70">
        <v>1094</v>
      </c>
      <c r="B1512" s="70" t="s">
        <v>868</v>
      </c>
      <c r="C1512" s="70" t="s">
        <v>678</v>
      </c>
      <c r="D1512" s="70" t="s">
        <v>867</v>
      </c>
      <c r="E1512" s="70" t="s">
        <v>44</v>
      </c>
      <c r="F1512" s="71">
        <v>8</v>
      </c>
      <c r="G1512" s="71">
        <v>33</v>
      </c>
      <c r="H1512" s="72" t="s">
        <v>4373</v>
      </c>
      <c r="I1512" s="71" t="b">
        <v>0</v>
      </c>
      <c r="J1512" s="71">
        <v>74</v>
      </c>
      <c r="K1512" s="71">
        <v>68</v>
      </c>
      <c r="L1512" s="71">
        <v>73</v>
      </c>
      <c r="M1512" s="71">
        <v>6</v>
      </c>
      <c r="N1512" s="71">
        <v>25</v>
      </c>
      <c r="O1512" s="71">
        <v>1</v>
      </c>
      <c r="P1512" s="71">
        <v>12</v>
      </c>
      <c r="Q1512" s="71">
        <v>65</v>
      </c>
      <c r="R1512" s="71">
        <v>120</v>
      </c>
      <c r="S1512" s="71" t="s">
        <v>262</v>
      </c>
      <c r="T1512" s="73" t="s">
        <v>4375</v>
      </c>
      <c r="U1512" s="71" t="s">
        <v>4142</v>
      </c>
      <c r="V1512" s="71" t="b">
        <v>0</v>
      </c>
    </row>
    <row r="1513" spans="1:22" ht="17.25">
      <c r="A1513" s="70">
        <v>1094</v>
      </c>
      <c r="B1513" s="70" t="s">
        <v>868</v>
      </c>
      <c r="C1513" s="70" t="s">
        <v>264</v>
      </c>
      <c r="D1513" s="70" t="s">
        <v>867</v>
      </c>
      <c r="E1513" s="70" t="s">
        <v>44</v>
      </c>
      <c r="F1513" s="71">
        <v>8</v>
      </c>
      <c r="G1513" s="71">
        <v>33</v>
      </c>
      <c r="H1513" s="72" t="s">
        <v>4373</v>
      </c>
      <c r="I1513" s="71" t="b">
        <v>0</v>
      </c>
      <c r="J1513" s="71">
        <v>74</v>
      </c>
      <c r="K1513" s="71">
        <v>68</v>
      </c>
      <c r="L1513" s="71">
        <v>73</v>
      </c>
      <c r="M1513" s="71">
        <v>6</v>
      </c>
      <c r="N1513" s="71">
        <v>25</v>
      </c>
      <c r="O1513" s="71">
        <v>1</v>
      </c>
      <c r="P1513" s="71">
        <v>12</v>
      </c>
      <c r="Q1513" s="71">
        <v>65</v>
      </c>
      <c r="R1513" s="71">
        <v>120</v>
      </c>
      <c r="S1513" s="71" t="s">
        <v>262</v>
      </c>
      <c r="T1513" s="73" t="s">
        <v>4375</v>
      </c>
      <c r="U1513" s="71" t="s">
        <v>4142</v>
      </c>
      <c r="V1513" s="71" t="b">
        <v>0</v>
      </c>
    </row>
    <row r="1514" spans="1:22" ht="17.25">
      <c r="A1514" s="70">
        <v>1097</v>
      </c>
      <c r="B1514" s="70" t="s">
        <v>863</v>
      </c>
      <c r="C1514" s="70" t="s">
        <v>862</v>
      </c>
      <c r="D1514" s="70" t="s">
        <v>861</v>
      </c>
      <c r="E1514" s="70" t="s">
        <v>120</v>
      </c>
      <c r="F1514" s="71">
        <v>22</v>
      </c>
      <c r="G1514" s="71">
        <v>163</v>
      </c>
      <c r="H1514" s="72">
        <v>0.15</v>
      </c>
      <c r="I1514" s="71" t="b">
        <v>0</v>
      </c>
      <c r="J1514" s="71">
        <v>56</v>
      </c>
      <c r="K1514" s="71">
        <v>86</v>
      </c>
      <c r="L1514" s="71">
        <v>90</v>
      </c>
      <c r="M1514" s="71">
        <v>6</v>
      </c>
      <c r="N1514" s="71">
        <v>1</v>
      </c>
      <c r="O1514" s="71">
        <v>0</v>
      </c>
      <c r="P1514" s="71">
        <v>21</v>
      </c>
      <c r="Q1514" s="71">
        <v>40</v>
      </c>
      <c r="R1514" s="71">
        <v>105</v>
      </c>
      <c r="S1514" s="71" t="s">
        <v>860</v>
      </c>
      <c r="T1514" s="73">
        <v>37173</v>
      </c>
      <c r="U1514" s="71" t="s">
        <v>4143</v>
      </c>
      <c r="V1514" s="71" t="b">
        <v>0</v>
      </c>
    </row>
    <row r="1515" spans="1:22" ht="17.25">
      <c r="A1515" s="70">
        <v>1098</v>
      </c>
      <c r="B1515" s="70" t="s">
        <v>859</v>
      </c>
      <c r="C1515" s="70" t="s">
        <v>146</v>
      </c>
      <c r="D1515" s="70" t="s">
        <v>858</v>
      </c>
      <c r="E1515" s="70" t="s">
        <v>144</v>
      </c>
      <c r="F1515" s="71">
        <v>170</v>
      </c>
      <c r="G1515" s="71">
        <v>1</v>
      </c>
      <c r="H1515" s="72" t="s">
        <v>4315</v>
      </c>
      <c r="I1515" s="71" t="b">
        <v>0</v>
      </c>
      <c r="J1515" s="71">
        <v>58</v>
      </c>
      <c r="K1515" s="71">
        <v>64</v>
      </c>
      <c r="L1515" s="71">
        <v>72</v>
      </c>
      <c r="M1515" s="71">
        <v>4</v>
      </c>
      <c r="N1515" s="71">
        <v>33</v>
      </c>
      <c r="O1515" s="71">
        <v>0</v>
      </c>
      <c r="P1515" s="71">
        <v>12</v>
      </c>
      <c r="Q1515" s="71">
        <v>48</v>
      </c>
      <c r="R1515" s="71">
        <v>132</v>
      </c>
      <c r="S1515" s="71" t="s">
        <v>143</v>
      </c>
      <c r="T1515" s="73" t="s">
        <v>4333</v>
      </c>
      <c r="U1515" s="71" t="s">
        <v>4144</v>
      </c>
      <c r="V1515" s="71" t="b">
        <v>0</v>
      </c>
    </row>
    <row r="1516" spans="1:22" ht="17.25">
      <c r="A1516" s="70">
        <v>1098</v>
      </c>
      <c r="B1516" s="70" t="s">
        <v>859</v>
      </c>
      <c r="C1516" s="70" t="s">
        <v>221</v>
      </c>
      <c r="D1516" s="70" t="s">
        <v>858</v>
      </c>
      <c r="E1516" s="70" t="s">
        <v>144</v>
      </c>
      <c r="F1516" s="71">
        <v>170</v>
      </c>
      <c r="G1516" s="71">
        <v>1</v>
      </c>
      <c r="H1516" s="72" t="s">
        <v>4315</v>
      </c>
      <c r="I1516" s="71" t="b">
        <v>0</v>
      </c>
      <c r="J1516" s="71">
        <v>58</v>
      </c>
      <c r="K1516" s="71">
        <v>64</v>
      </c>
      <c r="L1516" s="71">
        <v>72</v>
      </c>
      <c r="M1516" s="71">
        <v>4</v>
      </c>
      <c r="N1516" s="71">
        <v>33</v>
      </c>
      <c r="O1516" s="71">
        <v>0</v>
      </c>
      <c r="P1516" s="71">
        <v>12</v>
      </c>
      <c r="Q1516" s="71">
        <v>48</v>
      </c>
      <c r="R1516" s="71">
        <v>132</v>
      </c>
      <c r="S1516" s="71" t="s">
        <v>143</v>
      </c>
      <c r="T1516" s="73" t="s">
        <v>4333</v>
      </c>
      <c r="U1516" s="71" t="s">
        <v>4144</v>
      </c>
      <c r="V1516" s="71" t="b">
        <v>0</v>
      </c>
    </row>
    <row r="1517" spans="1:22" ht="17.25">
      <c r="A1517" s="70">
        <v>1099</v>
      </c>
      <c r="B1517" s="70" t="s">
        <v>857</v>
      </c>
      <c r="C1517" s="70" t="s">
        <v>54</v>
      </c>
      <c r="D1517" s="70" t="s">
        <v>856</v>
      </c>
      <c r="E1517" s="70" t="s">
        <v>52</v>
      </c>
      <c r="F1517" s="71">
        <v>118</v>
      </c>
      <c r="G1517" s="71">
        <v>2</v>
      </c>
      <c r="H1517" s="72">
        <v>0.14444444444444443</v>
      </c>
      <c r="I1517" s="71" t="b">
        <v>0</v>
      </c>
      <c r="J1517" s="71">
        <v>56</v>
      </c>
      <c r="K1517" s="71">
        <v>80</v>
      </c>
      <c r="L1517" s="71">
        <v>92</v>
      </c>
      <c r="M1517" s="71">
        <v>6</v>
      </c>
      <c r="N1517" s="71">
        <v>13</v>
      </c>
      <c r="O1517" s="71">
        <v>0</v>
      </c>
      <c r="P1517" s="71">
        <v>8</v>
      </c>
      <c r="Q1517" s="71">
        <v>42</v>
      </c>
      <c r="R1517" s="71">
        <v>95</v>
      </c>
      <c r="S1517" s="71" t="s">
        <v>96</v>
      </c>
      <c r="T1517" s="73">
        <v>42321</v>
      </c>
      <c r="U1517" s="71" t="s">
        <v>3408</v>
      </c>
      <c r="V1517" s="71" t="b">
        <v>0</v>
      </c>
    </row>
    <row r="1518" spans="1:22" ht="17.25">
      <c r="A1518" s="70">
        <v>1100</v>
      </c>
      <c r="B1518" s="70" t="s">
        <v>855</v>
      </c>
      <c r="C1518" s="70" t="s">
        <v>373</v>
      </c>
      <c r="D1518" s="70" t="s">
        <v>854</v>
      </c>
      <c r="E1518" s="70" t="s">
        <v>371</v>
      </c>
      <c r="F1518" s="71">
        <v>1</v>
      </c>
      <c r="G1518" s="71">
        <v>27</v>
      </c>
      <c r="H1518" s="72">
        <v>0.12430555555555556</v>
      </c>
      <c r="I1518" s="71" t="b">
        <v>0</v>
      </c>
      <c r="J1518" s="71">
        <v>89</v>
      </c>
      <c r="K1518" s="71">
        <v>40</v>
      </c>
      <c r="L1518" s="71">
        <v>87</v>
      </c>
      <c r="M1518" s="71">
        <v>6</v>
      </c>
      <c r="N1518" s="71">
        <v>5</v>
      </c>
      <c r="O1518" s="71">
        <v>8</v>
      </c>
      <c r="P1518" s="71">
        <v>6</v>
      </c>
      <c r="Q1518" s="71">
        <v>94</v>
      </c>
      <c r="R1518" s="71">
        <v>125</v>
      </c>
      <c r="S1518" s="71" t="s">
        <v>96</v>
      </c>
      <c r="T1518" s="73">
        <v>45429</v>
      </c>
      <c r="U1518" s="71" t="s">
        <v>4145</v>
      </c>
      <c r="V1518" s="71" t="b">
        <v>0</v>
      </c>
    </row>
    <row r="1519" spans="1:22" ht="17.25">
      <c r="A1519" s="70">
        <v>1101</v>
      </c>
      <c r="B1519" s="70" t="s">
        <v>853</v>
      </c>
      <c r="C1519" s="70" t="s">
        <v>97</v>
      </c>
      <c r="D1519" s="70" t="s">
        <v>852</v>
      </c>
      <c r="E1519" s="70" t="s">
        <v>97</v>
      </c>
      <c r="F1519" s="71">
        <v>10</v>
      </c>
      <c r="G1519" s="71">
        <v>5</v>
      </c>
      <c r="H1519" s="72" t="s">
        <v>4320</v>
      </c>
      <c r="I1519" s="71" t="b">
        <v>0</v>
      </c>
      <c r="J1519" s="71">
        <v>62</v>
      </c>
      <c r="K1519" s="71">
        <v>50</v>
      </c>
      <c r="L1519" s="71">
        <v>71</v>
      </c>
      <c r="M1519" s="71">
        <v>5</v>
      </c>
      <c r="N1519" s="71">
        <v>49</v>
      </c>
      <c r="O1519" s="71">
        <v>0</v>
      </c>
      <c r="P1519" s="71">
        <v>12</v>
      </c>
      <c r="Q1519" s="71">
        <v>41</v>
      </c>
      <c r="R1519" s="71">
        <v>128</v>
      </c>
      <c r="S1519" s="71" t="s">
        <v>96</v>
      </c>
      <c r="T1519" s="73" t="s">
        <v>4364</v>
      </c>
      <c r="U1519" s="71" t="s">
        <v>3397</v>
      </c>
      <c r="V1519" s="71" t="b">
        <v>0</v>
      </c>
    </row>
    <row r="1520" spans="1:22" ht="17.25">
      <c r="A1520" s="70">
        <v>1102</v>
      </c>
      <c r="B1520" s="70" t="s">
        <v>851</v>
      </c>
      <c r="C1520" s="70" t="s">
        <v>97</v>
      </c>
      <c r="D1520" s="70" t="s">
        <v>850</v>
      </c>
      <c r="E1520" s="70" t="s">
        <v>97</v>
      </c>
      <c r="F1520" s="71">
        <v>11</v>
      </c>
      <c r="G1520" s="71">
        <v>5</v>
      </c>
      <c r="H1520" s="72" t="s">
        <v>4320</v>
      </c>
      <c r="I1520" s="71" t="b">
        <v>0</v>
      </c>
      <c r="J1520" s="71">
        <v>69</v>
      </c>
      <c r="K1520" s="71">
        <v>54</v>
      </c>
      <c r="L1520" s="71">
        <v>72</v>
      </c>
      <c r="M1520" s="71">
        <v>6</v>
      </c>
      <c r="N1520" s="71">
        <v>34</v>
      </c>
      <c r="O1520" s="71">
        <v>0</v>
      </c>
      <c r="P1520" s="71">
        <v>10</v>
      </c>
      <c r="Q1520" s="71">
        <v>48</v>
      </c>
      <c r="R1520" s="71">
        <v>105</v>
      </c>
      <c r="S1520" s="71" t="s">
        <v>96</v>
      </c>
      <c r="T1520" s="73" t="s">
        <v>4364</v>
      </c>
      <c r="U1520" s="71" t="s">
        <v>3397</v>
      </c>
      <c r="V1520" s="71" t="b">
        <v>0</v>
      </c>
    </row>
    <row r="1521" spans="1:22" ht="17.25">
      <c r="A1521" s="70">
        <v>1103</v>
      </c>
      <c r="B1521" s="70" t="s">
        <v>849</v>
      </c>
      <c r="C1521" s="70" t="s">
        <v>848</v>
      </c>
      <c r="D1521" s="70" t="s">
        <v>847</v>
      </c>
      <c r="E1521" s="70" t="s">
        <v>735</v>
      </c>
      <c r="F1521" s="71">
        <v>10</v>
      </c>
      <c r="G1521" s="71">
        <v>20</v>
      </c>
      <c r="H1521" s="72">
        <v>0.1388888888888889</v>
      </c>
      <c r="I1521" s="71" t="b">
        <v>0</v>
      </c>
      <c r="J1521" s="71">
        <v>61</v>
      </c>
      <c r="K1521" s="71">
        <v>93</v>
      </c>
      <c r="L1521" s="71">
        <v>92</v>
      </c>
      <c r="M1521" s="71">
        <v>5</v>
      </c>
      <c r="N1521" s="71">
        <v>3</v>
      </c>
      <c r="O1521" s="71">
        <v>0</v>
      </c>
      <c r="P1521" s="71">
        <v>8</v>
      </c>
      <c r="Q1521" s="71">
        <v>86</v>
      </c>
      <c r="R1521" s="71">
        <v>173</v>
      </c>
      <c r="S1521" s="71" t="s">
        <v>96</v>
      </c>
      <c r="T1521" s="73">
        <v>36536</v>
      </c>
      <c r="U1521" s="71" t="s">
        <v>4146</v>
      </c>
      <c r="V1521" s="71" t="b">
        <v>0</v>
      </c>
    </row>
    <row r="1522" spans="1:22" ht="17.25">
      <c r="A1522" s="70">
        <v>1104</v>
      </c>
      <c r="B1522" s="70" t="s">
        <v>846</v>
      </c>
      <c r="C1522" s="70" t="s">
        <v>4478</v>
      </c>
      <c r="D1522" s="70" t="s">
        <v>845</v>
      </c>
      <c r="E1522" s="70" t="s">
        <v>344</v>
      </c>
      <c r="F1522" s="71">
        <v>81</v>
      </c>
      <c r="G1522" s="71">
        <v>1</v>
      </c>
      <c r="H1522" s="72">
        <v>0.17499999999999999</v>
      </c>
      <c r="I1522" s="71" t="b">
        <v>1</v>
      </c>
      <c r="J1522" s="71">
        <v>63</v>
      </c>
      <c r="K1522" s="71">
        <v>62</v>
      </c>
      <c r="L1522" s="71">
        <v>88</v>
      </c>
      <c r="M1522" s="71">
        <v>5</v>
      </c>
      <c r="N1522" s="71">
        <v>18</v>
      </c>
      <c r="O1522" s="71">
        <v>0</v>
      </c>
      <c r="P1522" s="71">
        <v>33</v>
      </c>
      <c r="Q1522" s="71">
        <v>24</v>
      </c>
      <c r="R1522" s="71">
        <v>120</v>
      </c>
      <c r="S1522" s="71" t="s">
        <v>26</v>
      </c>
      <c r="T1522" s="73">
        <v>45688</v>
      </c>
      <c r="U1522" s="71" t="s">
        <v>3481</v>
      </c>
      <c r="V1522" s="71" t="b">
        <v>0</v>
      </c>
    </row>
    <row r="1523" spans="1:22" ht="17.25">
      <c r="A1523" s="70">
        <v>1104</v>
      </c>
      <c r="B1523" s="70" t="s">
        <v>846</v>
      </c>
      <c r="C1523" s="70" t="s">
        <v>237</v>
      </c>
      <c r="D1523" s="70" t="s">
        <v>845</v>
      </c>
      <c r="E1523" s="70" t="s">
        <v>344</v>
      </c>
      <c r="F1523" s="71">
        <v>81</v>
      </c>
      <c r="G1523" s="71">
        <v>1</v>
      </c>
      <c r="H1523" s="72">
        <v>0.17499999999999999</v>
      </c>
      <c r="I1523" s="71" t="b">
        <v>1</v>
      </c>
      <c r="J1523" s="71">
        <v>63</v>
      </c>
      <c r="K1523" s="71">
        <v>62</v>
      </c>
      <c r="L1523" s="71">
        <v>88</v>
      </c>
      <c r="M1523" s="71">
        <v>5</v>
      </c>
      <c r="N1523" s="71">
        <v>18</v>
      </c>
      <c r="O1523" s="71">
        <v>0</v>
      </c>
      <c r="P1523" s="71">
        <v>33</v>
      </c>
      <c r="Q1523" s="71">
        <v>24</v>
      </c>
      <c r="R1523" s="71">
        <v>120</v>
      </c>
      <c r="S1523" s="71" t="s">
        <v>26</v>
      </c>
      <c r="T1523" s="73">
        <v>45688</v>
      </c>
      <c r="U1523" s="71" t="s">
        <v>3481</v>
      </c>
      <c r="V1523" s="71" t="b">
        <v>0</v>
      </c>
    </row>
    <row r="1524" spans="1:22" ht="17.25">
      <c r="A1524" s="70">
        <v>1107</v>
      </c>
      <c r="B1524" s="70" t="s">
        <v>842</v>
      </c>
      <c r="C1524" s="70" t="s">
        <v>841</v>
      </c>
      <c r="D1524" s="70" t="s">
        <v>840</v>
      </c>
      <c r="E1524" s="70" t="s">
        <v>839</v>
      </c>
      <c r="F1524" s="71">
        <v>69</v>
      </c>
      <c r="G1524" s="71">
        <v>24</v>
      </c>
      <c r="H1524" s="72">
        <v>0.14930555555555555</v>
      </c>
      <c r="I1524" s="71" t="b">
        <v>0</v>
      </c>
      <c r="J1524" s="71">
        <v>81</v>
      </c>
      <c r="K1524" s="71">
        <v>37</v>
      </c>
      <c r="L1524" s="71">
        <v>82</v>
      </c>
      <c r="M1524" s="71">
        <v>4</v>
      </c>
      <c r="N1524" s="71">
        <v>79</v>
      </c>
      <c r="O1524" s="71">
        <v>0</v>
      </c>
      <c r="P1524" s="71">
        <v>12</v>
      </c>
      <c r="Q1524" s="71">
        <v>79</v>
      </c>
      <c r="R1524" s="71">
        <v>120</v>
      </c>
      <c r="S1524" s="71" t="s">
        <v>74</v>
      </c>
      <c r="T1524" s="73">
        <v>38643</v>
      </c>
      <c r="U1524" s="71" t="s">
        <v>4147</v>
      </c>
      <c r="V1524" s="71" t="b">
        <v>0</v>
      </c>
    </row>
    <row r="1525" spans="1:22" ht="17.25">
      <c r="A1525" s="70">
        <v>1108</v>
      </c>
      <c r="B1525" s="70" t="s">
        <v>838</v>
      </c>
      <c r="C1525" s="70" t="s">
        <v>837</v>
      </c>
      <c r="D1525" s="70" t="s">
        <v>836</v>
      </c>
      <c r="E1525" s="70" t="s">
        <v>835</v>
      </c>
      <c r="F1525" s="71">
        <v>119</v>
      </c>
      <c r="G1525" s="71">
        <v>4</v>
      </c>
      <c r="H1525" s="72">
        <v>0.13472222222222222</v>
      </c>
      <c r="I1525" s="71" t="b">
        <v>0</v>
      </c>
      <c r="J1525" s="71">
        <v>62</v>
      </c>
      <c r="K1525" s="71">
        <v>62</v>
      </c>
      <c r="L1525" s="71">
        <v>76</v>
      </c>
      <c r="M1525" s="71">
        <v>6</v>
      </c>
      <c r="N1525" s="71">
        <v>30</v>
      </c>
      <c r="O1525" s="71">
        <v>0</v>
      </c>
      <c r="P1525" s="71">
        <v>11</v>
      </c>
      <c r="Q1525" s="71">
        <v>48</v>
      </c>
      <c r="R1525" s="71">
        <v>140</v>
      </c>
      <c r="S1525" s="71" t="s">
        <v>834</v>
      </c>
      <c r="T1525" s="73">
        <v>34243</v>
      </c>
      <c r="U1525" s="71" t="s">
        <v>4148</v>
      </c>
      <c r="V1525" s="71" t="b">
        <v>0</v>
      </c>
    </row>
    <row r="1526" spans="1:22" ht="17.25">
      <c r="A1526" s="70">
        <v>1109</v>
      </c>
      <c r="B1526" s="70" t="s">
        <v>833</v>
      </c>
      <c r="C1526" s="70" t="s">
        <v>832</v>
      </c>
      <c r="D1526" s="70" t="s">
        <v>831</v>
      </c>
      <c r="E1526" s="70" t="s">
        <v>830</v>
      </c>
      <c r="F1526" s="71">
        <v>24</v>
      </c>
      <c r="G1526" s="71">
        <v>16</v>
      </c>
      <c r="H1526" s="72">
        <v>0.15833333333333333</v>
      </c>
      <c r="I1526" s="71" t="b">
        <v>0</v>
      </c>
      <c r="J1526" s="71">
        <v>55</v>
      </c>
      <c r="K1526" s="71">
        <v>55</v>
      </c>
      <c r="L1526" s="71">
        <v>74</v>
      </c>
      <c r="M1526" s="71">
        <v>5</v>
      </c>
      <c r="N1526" s="71">
        <v>45</v>
      </c>
      <c r="O1526" s="71">
        <v>0</v>
      </c>
      <c r="P1526" s="71">
        <v>10</v>
      </c>
      <c r="Q1526" s="71">
        <v>50</v>
      </c>
      <c r="R1526" s="71">
        <v>90</v>
      </c>
      <c r="S1526" s="71" t="s">
        <v>74</v>
      </c>
      <c r="T1526" s="73">
        <v>45702</v>
      </c>
      <c r="U1526" s="71" t="s">
        <v>4149</v>
      </c>
      <c r="V1526" s="71" t="b">
        <v>0</v>
      </c>
    </row>
    <row r="1527" spans="1:22" ht="17.25">
      <c r="A1527" s="70">
        <v>1110</v>
      </c>
      <c r="B1527" s="70" t="s">
        <v>829</v>
      </c>
      <c r="C1527" s="70" t="s">
        <v>446</v>
      </c>
      <c r="D1527" s="70" t="s">
        <v>828</v>
      </c>
      <c r="E1527" s="70" t="s">
        <v>444</v>
      </c>
      <c r="F1527" s="71">
        <v>102</v>
      </c>
      <c r="G1527" s="71">
        <v>4</v>
      </c>
      <c r="H1527" s="72" t="s">
        <v>4315</v>
      </c>
      <c r="I1527" s="71" t="b">
        <v>0</v>
      </c>
      <c r="J1527" s="71">
        <v>80</v>
      </c>
      <c r="K1527" s="71">
        <v>72</v>
      </c>
      <c r="L1527" s="71">
        <v>74</v>
      </c>
      <c r="M1527" s="71">
        <v>8</v>
      </c>
      <c r="N1527" s="71">
        <v>19</v>
      </c>
      <c r="O1527" s="71">
        <v>0</v>
      </c>
      <c r="P1527" s="71">
        <v>13</v>
      </c>
      <c r="Q1527" s="71">
        <v>75</v>
      </c>
      <c r="R1527" s="71">
        <v>115</v>
      </c>
      <c r="S1527" s="71" t="s">
        <v>128</v>
      </c>
      <c r="T1527" s="73" t="s">
        <v>4390</v>
      </c>
      <c r="U1527" s="71" t="s">
        <v>3519</v>
      </c>
      <c r="V1527" s="71" t="b">
        <v>0</v>
      </c>
    </row>
    <row r="1528" spans="1:22" ht="17.25">
      <c r="A1528" s="70">
        <v>1111</v>
      </c>
      <c r="B1528" s="70" t="s">
        <v>827</v>
      </c>
      <c r="C1528" s="70" t="s">
        <v>461</v>
      </c>
      <c r="D1528" s="70" t="s">
        <v>826</v>
      </c>
      <c r="E1528" s="70" t="s">
        <v>461</v>
      </c>
      <c r="F1528" s="71">
        <v>61</v>
      </c>
      <c r="G1528" s="71">
        <v>15</v>
      </c>
      <c r="H1528" s="72">
        <v>0.15833333333333333</v>
      </c>
      <c r="I1528" s="71" t="b">
        <v>0</v>
      </c>
      <c r="J1528" s="71">
        <v>70</v>
      </c>
      <c r="K1528" s="71">
        <v>41</v>
      </c>
      <c r="L1528" s="71">
        <v>86</v>
      </c>
      <c r="M1528" s="71">
        <v>3</v>
      </c>
      <c r="N1528" s="71">
        <v>40</v>
      </c>
      <c r="O1528" s="71">
        <v>0</v>
      </c>
      <c r="P1528" s="71">
        <v>10</v>
      </c>
      <c r="Q1528" s="71">
        <v>34</v>
      </c>
      <c r="R1528" s="71">
        <v>134</v>
      </c>
      <c r="S1528" s="71" t="s">
        <v>74</v>
      </c>
      <c r="T1528" s="73">
        <v>45457</v>
      </c>
      <c r="U1528" s="71" t="s">
        <v>4150</v>
      </c>
      <c r="V1528" s="71" t="b">
        <v>0</v>
      </c>
    </row>
    <row r="1529" spans="1:22" ht="17.25">
      <c r="A1529" s="70">
        <v>1112</v>
      </c>
      <c r="B1529" s="70" t="s">
        <v>825</v>
      </c>
      <c r="C1529" s="70" t="s">
        <v>146</v>
      </c>
      <c r="D1529" s="70" t="s">
        <v>145</v>
      </c>
      <c r="E1529" s="70" t="s">
        <v>144</v>
      </c>
      <c r="F1529" s="71">
        <v>32</v>
      </c>
      <c r="G1529" s="71">
        <v>14</v>
      </c>
      <c r="H1529" s="72" t="s">
        <v>4326</v>
      </c>
      <c r="I1529" s="71" t="b">
        <v>0</v>
      </c>
      <c r="J1529" s="71">
        <v>56</v>
      </c>
      <c r="K1529" s="71">
        <v>62</v>
      </c>
      <c r="L1529" s="71">
        <v>72</v>
      </c>
      <c r="M1529" s="71">
        <v>4</v>
      </c>
      <c r="N1529" s="71">
        <v>35</v>
      </c>
      <c r="O1529" s="71">
        <v>0</v>
      </c>
      <c r="P1529" s="71">
        <v>12</v>
      </c>
      <c r="Q1529" s="71">
        <v>51</v>
      </c>
      <c r="R1529" s="71">
        <v>112</v>
      </c>
      <c r="S1529" s="71" t="s">
        <v>143</v>
      </c>
      <c r="T1529" s="73" t="s">
        <v>4392</v>
      </c>
      <c r="U1529" s="71" t="s">
        <v>4151</v>
      </c>
      <c r="V1529" s="71" t="b">
        <v>0</v>
      </c>
    </row>
    <row r="1530" spans="1:22" ht="17.25">
      <c r="A1530" s="70">
        <v>1114</v>
      </c>
      <c r="B1530" s="70" t="s">
        <v>823</v>
      </c>
      <c r="C1530" s="70" t="s">
        <v>822</v>
      </c>
      <c r="D1530" s="70" t="s">
        <v>821</v>
      </c>
      <c r="E1530" s="70" t="s">
        <v>820</v>
      </c>
      <c r="F1530" s="71">
        <v>128</v>
      </c>
      <c r="G1530" s="71">
        <v>4</v>
      </c>
      <c r="H1530" s="72">
        <v>9.0972222222222218E-2</v>
      </c>
      <c r="I1530" s="71" t="b">
        <v>0</v>
      </c>
      <c r="J1530" s="71">
        <v>52</v>
      </c>
      <c r="K1530" s="71">
        <v>50</v>
      </c>
      <c r="L1530" s="71">
        <v>72</v>
      </c>
      <c r="M1530" s="71">
        <v>3</v>
      </c>
      <c r="N1530" s="71">
        <v>55</v>
      </c>
      <c r="O1530" s="71">
        <v>0</v>
      </c>
      <c r="P1530" s="71">
        <v>15</v>
      </c>
      <c r="Q1530" s="71">
        <v>75</v>
      </c>
      <c r="R1530" s="71">
        <v>120</v>
      </c>
      <c r="S1530" s="71" t="s">
        <v>29</v>
      </c>
      <c r="T1530" s="73">
        <v>22221</v>
      </c>
      <c r="U1530" s="71" t="s">
        <v>4152</v>
      </c>
      <c r="V1530" s="71" t="b">
        <v>1</v>
      </c>
    </row>
    <row r="1531" spans="1:22" ht="17.25">
      <c r="A1531" s="70">
        <v>1115</v>
      </c>
      <c r="B1531" s="70" t="s">
        <v>819</v>
      </c>
      <c r="C1531" s="70" t="s">
        <v>310</v>
      </c>
      <c r="D1531" s="70" t="s">
        <v>818</v>
      </c>
      <c r="E1531" s="70" t="s">
        <v>308</v>
      </c>
      <c r="F1531" s="71">
        <v>89</v>
      </c>
      <c r="G1531" s="71">
        <v>1</v>
      </c>
      <c r="H1531" s="72">
        <v>0.12847222222222221</v>
      </c>
      <c r="I1531" s="71" t="b">
        <v>0</v>
      </c>
      <c r="J1531" s="71">
        <v>55</v>
      </c>
      <c r="K1531" s="71">
        <v>50</v>
      </c>
      <c r="L1531" s="71">
        <v>73</v>
      </c>
      <c r="M1531" s="71">
        <v>4</v>
      </c>
      <c r="N1531" s="71">
        <v>55</v>
      </c>
      <c r="O1531" s="71">
        <v>0</v>
      </c>
      <c r="P1531" s="71">
        <v>15</v>
      </c>
      <c r="Q1531" s="71">
        <v>75</v>
      </c>
      <c r="R1531" s="71">
        <v>120</v>
      </c>
      <c r="S1531" s="71" t="s">
        <v>29</v>
      </c>
      <c r="T1531" s="73">
        <v>40840</v>
      </c>
      <c r="U1531" s="71" t="s">
        <v>3784</v>
      </c>
      <c r="V1531" s="71" t="b">
        <v>1</v>
      </c>
    </row>
    <row r="1532" spans="1:22" ht="17.25">
      <c r="A1532" s="70">
        <v>1116</v>
      </c>
      <c r="B1532" s="70" t="s">
        <v>817</v>
      </c>
      <c r="C1532" s="70" t="s">
        <v>4816</v>
      </c>
      <c r="D1532" s="70" t="s">
        <v>816</v>
      </c>
      <c r="E1532" s="70" t="s">
        <v>815</v>
      </c>
      <c r="F1532" s="71">
        <v>95</v>
      </c>
      <c r="G1532" s="71">
        <v>2</v>
      </c>
      <c r="H1532" s="72">
        <v>0.1736111111111111</v>
      </c>
      <c r="I1532" s="71" t="b">
        <v>0</v>
      </c>
      <c r="J1532" s="71">
        <v>43</v>
      </c>
      <c r="K1532" s="71">
        <v>78</v>
      </c>
      <c r="L1532" s="71">
        <v>93</v>
      </c>
      <c r="M1532" s="71">
        <v>6</v>
      </c>
      <c r="N1532" s="71">
        <v>4</v>
      </c>
      <c r="O1532" s="71">
        <v>0</v>
      </c>
      <c r="P1532" s="71">
        <v>8</v>
      </c>
      <c r="Q1532" s="71">
        <v>20</v>
      </c>
      <c r="R1532" s="71">
        <v>139</v>
      </c>
      <c r="S1532" s="71" t="s">
        <v>274</v>
      </c>
      <c r="T1532" s="73">
        <v>42062</v>
      </c>
      <c r="U1532" s="71" t="s">
        <v>4153</v>
      </c>
      <c r="V1532" s="71" t="b">
        <v>0</v>
      </c>
    </row>
    <row r="1533" spans="1:22" ht="17.25">
      <c r="A1533" s="70">
        <v>1116</v>
      </c>
      <c r="B1533" s="70" t="s">
        <v>817</v>
      </c>
      <c r="C1533" s="70" t="s">
        <v>4531</v>
      </c>
      <c r="D1533" s="70" t="s">
        <v>816</v>
      </c>
      <c r="E1533" s="70" t="s">
        <v>815</v>
      </c>
      <c r="F1533" s="71">
        <v>95</v>
      </c>
      <c r="G1533" s="71">
        <v>2</v>
      </c>
      <c r="H1533" s="72">
        <v>0.1736111111111111</v>
      </c>
      <c r="I1533" s="71" t="b">
        <v>0</v>
      </c>
      <c r="J1533" s="71">
        <v>43</v>
      </c>
      <c r="K1533" s="71">
        <v>78</v>
      </c>
      <c r="L1533" s="71">
        <v>93</v>
      </c>
      <c r="M1533" s="71">
        <v>6</v>
      </c>
      <c r="N1533" s="71">
        <v>4</v>
      </c>
      <c r="O1533" s="71">
        <v>0</v>
      </c>
      <c r="P1533" s="71">
        <v>8</v>
      </c>
      <c r="Q1533" s="71">
        <v>20</v>
      </c>
      <c r="R1533" s="71">
        <v>139</v>
      </c>
      <c r="S1533" s="71" t="s">
        <v>274</v>
      </c>
      <c r="T1533" s="73">
        <v>42062</v>
      </c>
      <c r="U1533" s="71" t="s">
        <v>4153</v>
      </c>
      <c r="V1533" s="71" t="b">
        <v>0</v>
      </c>
    </row>
    <row r="1534" spans="1:22" ht="17.25">
      <c r="A1534" s="70">
        <v>1116</v>
      </c>
      <c r="B1534" s="70" t="s">
        <v>817</v>
      </c>
      <c r="C1534" s="70" t="s">
        <v>54</v>
      </c>
      <c r="D1534" s="70" t="s">
        <v>816</v>
      </c>
      <c r="E1534" s="70" t="s">
        <v>815</v>
      </c>
      <c r="F1534" s="71">
        <v>95</v>
      </c>
      <c r="G1534" s="71">
        <v>2</v>
      </c>
      <c r="H1534" s="72">
        <v>0.1736111111111111</v>
      </c>
      <c r="I1534" s="71" t="b">
        <v>0</v>
      </c>
      <c r="J1534" s="71">
        <v>43</v>
      </c>
      <c r="K1534" s="71">
        <v>78</v>
      </c>
      <c r="L1534" s="71">
        <v>93</v>
      </c>
      <c r="M1534" s="71">
        <v>6</v>
      </c>
      <c r="N1534" s="71">
        <v>4</v>
      </c>
      <c r="O1534" s="71">
        <v>0</v>
      </c>
      <c r="P1534" s="71">
        <v>8</v>
      </c>
      <c r="Q1534" s="71">
        <v>20</v>
      </c>
      <c r="R1534" s="71">
        <v>139</v>
      </c>
      <c r="S1534" s="71" t="s">
        <v>274</v>
      </c>
      <c r="T1534" s="73">
        <v>42062</v>
      </c>
      <c r="U1534" s="71" t="s">
        <v>4153</v>
      </c>
      <c r="V1534" s="71" t="b">
        <v>0</v>
      </c>
    </row>
    <row r="1535" spans="1:22" ht="17.25">
      <c r="A1535" s="70">
        <v>1116</v>
      </c>
      <c r="B1535" s="70" t="s">
        <v>817</v>
      </c>
      <c r="C1535" s="70" t="s">
        <v>4815</v>
      </c>
      <c r="D1535" s="70" t="s">
        <v>816</v>
      </c>
      <c r="E1535" s="70" t="s">
        <v>815</v>
      </c>
      <c r="F1535" s="71">
        <v>95</v>
      </c>
      <c r="G1535" s="71">
        <v>2</v>
      </c>
      <c r="H1535" s="72">
        <v>0.1736111111111111</v>
      </c>
      <c r="I1535" s="71" t="b">
        <v>0</v>
      </c>
      <c r="J1535" s="71">
        <v>43</v>
      </c>
      <c r="K1535" s="71">
        <v>78</v>
      </c>
      <c r="L1535" s="71">
        <v>93</v>
      </c>
      <c r="M1535" s="71">
        <v>6</v>
      </c>
      <c r="N1535" s="71">
        <v>4</v>
      </c>
      <c r="O1535" s="71">
        <v>0</v>
      </c>
      <c r="P1535" s="71">
        <v>8</v>
      </c>
      <c r="Q1535" s="71">
        <v>20</v>
      </c>
      <c r="R1535" s="71">
        <v>139</v>
      </c>
      <c r="S1535" s="71" t="s">
        <v>274</v>
      </c>
      <c r="T1535" s="73">
        <v>42062</v>
      </c>
      <c r="U1535" s="71" t="s">
        <v>4153</v>
      </c>
      <c r="V1535" s="71" t="b">
        <v>0</v>
      </c>
    </row>
    <row r="1536" spans="1:22" ht="17.25">
      <c r="A1536" s="70">
        <v>1117</v>
      </c>
      <c r="B1536" s="70" t="s">
        <v>814</v>
      </c>
      <c r="C1536" s="70" t="s">
        <v>383</v>
      </c>
      <c r="D1536" s="70" t="s">
        <v>813</v>
      </c>
      <c r="E1536" s="70" t="s">
        <v>381</v>
      </c>
      <c r="F1536" s="71">
        <v>77</v>
      </c>
      <c r="G1536" s="71">
        <v>1</v>
      </c>
      <c r="H1536" s="72">
        <v>0.12847222222222221</v>
      </c>
      <c r="I1536" s="71" t="b">
        <v>0</v>
      </c>
      <c r="J1536" s="71">
        <v>72</v>
      </c>
      <c r="K1536" s="71">
        <v>72</v>
      </c>
      <c r="L1536" s="71">
        <v>79</v>
      </c>
      <c r="M1536" s="71">
        <v>8</v>
      </c>
      <c r="N1536" s="71">
        <v>18</v>
      </c>
      <c r="O1536" s="71">
        <v>0</v>
      </c>
      <c r="P1536" s="71">
        <v>11</v>
      </c>
      <c r="Q1536" s="71">
        <v>58</v>
      </c>
      <c r="R1536" s="71">
        <v>105</v>
      </c>
      <c r="S1536" s="71" t="s">
        <v>96</v>
      </c>
      <c r="T1536" s="73">
        <v>45709</v>
      </c>
      <c r="U1536" s="71" t="s">
        <v>4154</v>
      </c>
      <c r="V1536" s="71" t="b">
        <v>0</v>
      </c>
    </row>
    <row r="1537" spans="1:22" ht="17.25">
      <c r="A1537" s="70">
        <v>1118</v>
      </c>
      <c r="B1537" s="70" t="s">
        <v>812</v>
      </c>
      <c r="C1537" s="70" t="s">
        <v>2055</v>
      </c>
      <c r="D1537" s="70" t="s">
        <v>811</v>
      </c>
      <c r="E1537" s="70" t="s">
        <v>222</v>
      </c>
      <c r="F1537" s="71">
        <v>39</v>
      </c>
      <c r="G1537" s="71">
        <v>1</v>
      </c>
      <c r="H1537" s="72" t="s">
        <v>4315</v>
      </c>
      <c r="I1537" s="71" t="b">
        <v>1</v>
      </c>
      <c r="J1537" s="71">
        <v>76</v>
      </c>
      <c r="K1537" s="71">
        <v>70</v>
      </c>
      <c r="L1537" s="71">
        <v>73</v>
      </c>
      <c r="M1537" s="71">
        <v>6</v>
      </c>
      <c r="N1537" s="71">
        <v>21</v>
      </c>
      <c r="O1537" s="71">
        <v>0</v>
      </c>
      <c r="P1537" s="71">
        <v>13</v>
      </c>
      <c r="Q1537" s="71">
        <v>85</v>
      </c>
      <c r="R1537" s="71">
        <v>138</v>
      </c>
      <c r="S1537" s="71" t="s">
        <v>61</v>
      </c>
      <c r="T1537" s="73" t="s">
        <v>4376</v>
      </c>
      <c r="U1537" s="71" t="s">
        <v>4155</v>
      </c>
      <c r="V1537" s="71" t="b">
        <v>0</v>
      </c>
    </row>
    <row r="1538" spans="1:22" ht="17.25">
      <c r="A1538" s="70">
        <v>1118</v>
      </c>
      <c r="B1538" s="70" t="s">
        <v>812</v>
      </c>
      <c r="C1538" s="70" t="s">
        <v>4817</v>
      </c>
      <c r="D1538" s="70" t="s">
        <v>811</v>
      </c>
      <c r="E1538" s="70" t="s">
        <v>222</v>
      </c>
      <c r="F1538" s="71">
        <v>39</v>
      </c>
      <c r="G1538" s="71">
        <v>1</v>
      </c>
      <c r="H1538" s="72" t="s">
        <v>4315</v>
      </c>
      <c r="I1538" s="71" t="b">
        <v>1</v>
      </c>
      <c r="J1538" s="71">
        <v>76</v>
      </c>
      <c r="K1538" s="71">
        <v>70</v>
      </c>
      <c r="L1538" s="71">
        <v>73</v>
      </c>
      <c r="M1538" s="71">
        <v>6</v>
      </c>
      <c r="N1538" s="71">
        <v>21</v>
      </c>
      <c r="O1538" s="71">
        <v>0</v>
      </c>
      <c r="P1538" s="71">
        <v>13</v>
      </c>
      <c r="Q1538" s="71">
        <v>85</v>
      </c>
      <c r="R1538" s="71">
        <v>138</v>
      </c>
      <c r="S1538" s="71" t="s">
        <v>61</v>
      </c>
      <c r="T1538" s="73" t="s">
        <v>4376</v>
      </c>
      <c r="U1538" s="71" t="s">
        <v>4155</v>
      </c>
      <c r="V1538" s="71" t="b">
        <v>0</v>
      </c>
    </row>
    <row r="1539" spans="1:22" ht="17.25">
      <c r="A1539" s="70">
        <v>1118</v>
      </c>
      <c r="B1539" s="70" t="s">
        <v>812</v>
      </c>
      <c r="C1539" s="70" t="s">
        <v>141</v>
      </c>
      <c r="D1539" s="70" t="s">
        <v>811</v>
      </c>
      <c r="E1539" s="70" t="s">
        <v>222</v>
      </c>
      <c r="F1539" s="71">
        <v>39</v>
      </c>
      <c r="G1539" s="71">
        <v>1</v>
      </c>
      <c r="H1539" s="72" t="s">
        <v>4315</v>
      </c>
      <c r="I1539" s="71" t="b">
        <v>1</v>
      </c>
      <c r="J1539" s="71">
        <v>76</v>
      </c>
      <c r="K1539" s="71">
        <v>70</v>
      </c>
      <c r="L1539" s="71">
        <v>73</v>
      </c>
      <c r="M1539" s="71">
        <v>6</v>
      </c>
      <c r="N1539" s="71">
        <v>21</v>
      </c>
      <c r="O1539" s="71">
        <v>0</v>
      </c>
      <c r="P1539" s="71">
        <v>13</v>
      </c>
      <c r="Q1539" s="71">
        <v>85</v>
      </c>
      <c r="R1539" s="71">
        <v>138</v>
      </c>
      <c r="S1539" s="71" t="s">
        <v>61</v>
      </c>
      <c r="T1539" s="73" t="s">
        <v>4376</v>
      </c>
      <c r="U1539" s="71" t="s">
        <v>4155</v>
      </c>
      <c r="V1539" s="71" t="b">
        <v>0</v>
      </c>
    </row>
    <row r="1540" spans="1:22" ht="17.25">
      <c r="A1540" s="70">
        <v>1118</v>
      </c>
      <c r="B1540" s="70" t="s">
        <v>812</v>
      </c>
      <c r="C1540" s="70" t="s">
        <v>3097</v>
      </c>
      <c r="D1540" s="70" t="s">
        <v>811</v>
      </c>
      <c r="E1540" s="70" t="s">
        <v>222</v>
      </c>
      <c r="F1540" s="71">
        <v>39</v>
      </c>
      <c r="G1540" s="71">
        <v>1</v>
      </c>
      <c r="H1540" s="72" t="s">
        <v>4315</v>
      </c>
      <c r="I1540" s="71" t="b">
        <v>1</v>
      </c>
      <c r="J1540" s="71">
        <v>76</v>
      </c>
      <c r="K1540" s="71">
        <v>70</v>
      </c>
      <c r="L1540" s="71">
        <v>73</v>
      </c>
      <c r="M1540" s="71">
        <v>6</v>
      </c>
      <c r="N1540" s="71">
        <v>21</v>
      </c>
      <c r="O1540" s="71">
        <v>0</v>
      </c>
      <c r="P1540" s="71">
        <v>13</v>
      </c>
      <c r="Q1540" s="71">
        <v>85</v>
      </c>
      <c r="R1540" s="71">
        <v>138</v>
      </c>
      <c r="S1540" s="71" t="s">
        <v>61</v>
      </c>
      <c r="T1540" s="73" t="s">
        <v>4376</v>
      </c>
      <c r="U1540" s="71" t="s">
        <v>4155</v>
      </c>
      <c r="V1540" s="71" t="b">
        <v>0</v>
      </c>
    </row>
    <row r="1541" spans="1:22" ht="17.25">
      <c r="A1541" s="70">
        <v>1119</v>
      </c>
      <c r="B1541" s="70" t="s">
        <v>810</v>
      </c>
      <c r="C1541" s="70" t="s">
        <v>485</v>
      </c>
      <c r="D1541" s="70" t="s">
        <v>809</v>
      </c>
      <c r="E1541" s="70" t="s">
        <v>808</v>
      </c>
      <c r="F1541" s="71">
        <v>107</v>
      </c>
      <c r="G1541" s="71">
        <v>1</v>
      </c>
      <c r="H1541" s="72" t="s">
        <v>4315</v>
      </c>
      <c r="I1541" s="71" t="b">
        <v>1</v>
      </c>
      <c r="J1541" s="71">
        <v>74</v>
      </c>
      <c r="K1541" s="71">
        <v>69</v>
      </c>
      <c r="L1541" s="71">
        <v>74</v>
      </c>
      <c r="M1541" s="71">
        <v>5</v>
      </c>
      <c r="N1541" s="71">
        <v>22</v>
      </c>
      <c r="O1541" s="71">
        <v>0</v>
      </c>
      <c r="P1541" s="71">
        <v>13</v>
      </c>
      <c r="Q1541" s="71">
        <v>84</v>
      </c>
      <c r="R1541" s="71">
        <v>148</v>
      </c>
      <c r="S1541" s="71" t="s">
        <v>61</v>
      </c>
      <c r="T1541" s="73" t="s">
        <v>4353</v>
      </c>
      <c r="U1541" s="71" t="s">
        <v>4156</v>
      </c>
      <c r="V1541" s="71" t="b">
        <v>0</v>
      </c>
    </row>
    <row r="1542" spans="1:22" ht="17.25">
      <c r="A1542" s="70">
        <v>1119</v>
      </c>
      <c r="B1542" s="70" t="s">
        <v>810</v>
      </c>
      <c r="C1542" s="70" t="s">
        <v>4449</v>
      </c>
      <c r="D1542" s="70" t="s">
        <v>809</v>
      </c>
      <c r="E1542" s="70" t="s">
        <v>808</v>
      </c>
      <c r="F1542" s="71">
        <v>107</v>
      </c>
      <c r="G1542" s="71">
        <v>1</v>
      </c>
      <c r="H1542" s="72" t="s">
        <v>4315</v>
      </c>
      <c r="I1542" s="71" t="b">
        <v>1</v>
      </c>
      <c r="J1542" s="71">
        <v>74</v>
      </c>
      <c r="K1542" s="71">
        <v>69</v>
      </c>
      <c r="L1542" s="71">
        <v>74</v>
      </c>
      <c r="M1542" s="71">
        <v>5</v>
      </c>
      <c r="N1542" s="71">
        <v>22</v>
      </c>
      <c r="O1542" s="71">
        <v>0</v>
      </c>
      <c r="P1542" s="71">
        <v>13</v>
      </c>
      <c r="Q1542" s="71">
        <v>84</v>
      </c>
      <c r="R1542" s="71">
        <v>148</v>
      </c>
      <c r="S1542" s="71" t="s">
        <v>61</v>
      </c>
      <c r="T1542" s="73" t="s">
        <v>4353</v>
      </c>
      <c r="U1542" s="71" t="s">
        <v>4156</v>
      </c>
      <c r="V1542" s="71" t="b">
        <v>0</v>
      </c>
    </row>
    <row r="1543" spans="1:22" ht="17.25">
      <c r="A1543" s="70">
        <v>1119</v>
      </c>
      <c r="B1543" s="70" t="s">
        <v>810</v>
      </c>
      <c r="C1543" s="70" t="s">
        <v>4532</v>
      </c>
      <c r="D1543" s="70" t="s">
        <v>809</v>
      </c>
      <c r="E1543" s="70" t="s">
        <v>808</v>
      </c>
      <c r="F1543" s="71">
        <v>107</v>
      </c>
      <c r="G1543" s="71">
        <v>1</v>
      </c>
      <c r="H1543" s="72" t="s">
        <v>4315</v>
      </c>
      <c r="I1543" s="71" t="b">
        <v>1</v>
      </c>
      <c r="J1543" s="71">
        <v>74</v>
      </c>
      <c r="K1543" s="71">
        <v>69</v>
      </c>
      <c r="L1543" s="71">
        <v>74</v>
      </c>
      <c r="M1543" s="71">
        <v>5</v>
      </c>
      <c r="N1543" s="71">
        <v>22</v>
      </c>
      <c r="O1543" s="71">
        <v>0</v>
      </c>
      <c r="P1543" s="71">
        <v>13</v>
      </c>
      <c r="Q1543" s="71">
        <v>84</v>
      </c>
      <c r="R1543" s="71">
        <v>148</v>
      </c>
      <c r="S1543" s="71" t="s">
        <v>61</v>
      </c>
      <c r="T1543" s="73" t="s">
        <v>4353</v>
      </c>
      <c r="U1543" s="71" t="s">
        <v>4156</v>
      </c>
      <c r="V1543" s="71" t="b">
        <v>0</v>
      </c>
    </row>
    <row r="1544" spans="1:22" ht="17.25">
      <c r="A1544" s="70">
        <v>1120</v>
      </c>
      <c r="B1544" s="70" t="s">
        <v>807</v>
      </c>
      <c r="C1544" s="70" t="s">
        <v>310</v>
      </c>
      <c r="D1544" s="70" t="s">
        <v>520</v>
      </c>
      <c r="E1544" s="70" t="s">
        <v>308</v>
      </c>
      <c r="F1544" s="71">
        <v>12</v>
      </c>
      <c r="G1544" s="71">
        <v>45</v>
      </c>
      <c r="H1544" s="72">
        <v>8.4722222222222227E-2</v>
      </c>
      <c r="I1544" s="71" t="b">
        <v>0</v>
      </c>
      <c r="J1544" s="71">
        <v>58</v>
      </c>
      <c r="K1544" s="71">
        <v>55</v>
      </c>
      <c r="L1544" s="71">
        <v>74</v>
      </c>
      <c r="M1544" s="71">
        <v>4</v>
      </c>
      <c r="N1544" s="71">
        <v>55</v>
      </c>
      <c r="O1544" s="71">
        <v>0</v>
      </c>
      <c r="P1544" s="71">
        <v>15</v>
      </c>
      <c r="Q1544" s="71">
        <v>78</v>
      </c>
      <c r="R1544" s="71">
        <v>125</v>
      </c>
      <c r="S1544" s="71" t="s">
        <v>29</v>
      </c>
      <c r="T1544" s="73">
        <v>40840</v>
      </c>
      <c r="U1544" s="71" t="s">
        <v>3426</v>
      </c>
      <c r="V1544" s="71" t="b">
        <v>1</v>
      </c>
    </row>
    <row r="1545" spans="1:22" ht="17.25">
      <c r="A1545" s="70">
        <v>1121</v>
      </c>
      <c r="B1545" s="70" t="s">
        <v>806</v>
      </c>
      <c r="C1545" s="70" t="s">
        <v>511</v>
      </c>
      <c r="D1545" s="70" t="s">
        <v>805</v>
      </c>
      <c r="E1545" s="70" t="s">
        <v>124</v>
      </c>
      <c r="F1545" s="71">
        <v>1</v>
      </c>
      <c r="G1545" s="71">
        <v>28</v>
      </c>
      <c r="H1545" s="72" t="s">
        <v>4320</v>
      </c>
      <c r="I1545" s="71" t="b">
        <v>0</v>
      </c>
      <c r="J1545" s="71">
        <v>69</v>
      </c>
      <c r="K1545" s="71">
        <v>55</v>
      </c>
      <c r="L1545" s="71">
        <v>71</v>
      </c>
      <c r="M1545" s="71">
        <v>5</v>
      </c>
      <c r="N1545" s="71">
        <v>40</v>
      </c>
      <c r="O1545" s="71">
        <v>0</v>
      </c>
      <c r="P1545" s="71">
        <v>12</v>
      </c>
      <c r="Q1545" s="71">
        <v>46</v>
      </c>
      <c r="R1545" s="71">
        <v>96</v>
      </c>
      <c r="S1545" s="71" t="s">
        <v>115</v>
      </c>
      <c r="T1545" s="73" t="s">
        <v>4341</v>
      </c>
      <c r="U1545" s="71" t="s">
        <v>3691</v>
      </c>
      <c r="V1545" s="71" t="b">
        <v>0</v>
      </c>
    </row>
    <row r="1546" spans="1:22" ht="17.25">
      <c r="A1546" s="70">
        <v>1122</v>
      </c>
      <c r="B1546" s="70" t="s">
        <v>804</v>
      </c>
      <c r="C1546" s="70" t="s">
        <v>67</v>
      </c>
      <c r="D1546" s="70" t="s">
        <v>803</v>
      </c>
      <c r="E1546" s="70" t="s">
        <v>65</v>
      </c>
      <c r="F1546" s="71">
        <v>7</v>
      </c>
      <c r="G1546" s="71">
        <v>6</v>
      </c>
      <c r="H1546" s="72">
        <v>0.13750000000000001</v>
      </c>
      <c r="I1546" s="71" t="b">
        <v>1</v>
      </c>
      <c r="J1546" s="71">
        <v>72</v>
      </c>
      <c r="K1546" s="71">
        <v>66</v>
      </c>
      <c r="L1546" s="71">
        <v>93</v>
      </c>
      <c r="M1546" s="71">
        <v>3</v>
      </c>
      <c r="N1546" s="71">
        <v>6</v>
      </c>
      <c r="O1546" s="71">
        <v>0</v>
      </c>
      <c r="P1546" s="71">
        <v>21</v>
      </c>
      <c r="Q1546" s="71">
        <v>28</v>
      </c>
      <c r="R1546" s="71">
        <v>133</v>
      </c>
      <c r="S1546" s="71" t="s">
        <v>48</v>
      </c>
      <c r="T1546" s="73">
        <v>45730</v>
      </c>
      <c r="U1546" s="71" t="s">
        <v>3912</v>
      </c>
      <c r="V1546" s="71" t="b">
        <v>0</v>
      </c>
    </row>
    <row r="1547" spans="1:22" ht="17.25">
      <c r="A1547" s="70">
        <v>1122</v>
      </c>
      <c r="B1547" s="70" t="s">
        <v>804</v>
      </c>
      <c r="C1547" s="70" t="s">
        <v>237</v>
      </c>
      <c r="D1547" s="70" t="s">
        <v>803</v>
      </c>
      <c r="E1547" s="70" t="s">
        <v>65</v>
      </c>
      <c r="F1547" s="71">
        <v>7</v>
      </c>
      <c r="G1547" s="71">
        <v>6</v>
      </c>
      <c r="H1547" s="72">
        <v>0.13750000000000001</v>
      </c>
      <c r="I1547" s="71" t="b">
        <v>1</v>
      </c>
      <c r="J1547" s="71">
        <v>72</v>
      </c>
      <c r="K1547" s="71">
        <v>66</v>
      </c>
      <c r="L1547" s="71">
        <v>93</v>
      </c>
      <c r="M1547" s="71">
        <v>3</v>
      </c>
      <c r="N1547" s="71">
        <v>6</v>
      </c>
      <c r="O1547" s="71">
        <v>0</v>
      </c>
      <c r="P1547" s="71">
        <v>21</v>
      </c>
      <c r="Q1547" s="71">
        <v>28</v>
      </c>
      <c r="R1547" s="71">
        <v>133</v>
      </c>
      <c r="S1547" s="71" t="s">
        <v>48</v>
      </c>
      <c r="T1547" s="73">
        <v>45730</v>
      </c>
      <c r="U1547" s="71" t="s">
        <v>3912</v>
      </c>
      <c r="V1547" s="71" t="b">
        <v>0</v>
      </c>
    </row>
    <row r="1548" spans="1:22" ht="17.25">
      <c r="A1548" s="70">
        <v>1123</v>
      </c>
      <c r="B1548" s="70" t="s">
        <v>802</v>
      </c>
      <c r="C1548" s="70" t="s">
        <v>54</v>
      </c>
      <c r="D1548" s="70" t="s">
        <v>801</v>
      </c>
      <c r="E1548" s="70" t="s">
        <v>52</v>
      </c>
      <c r="F1548" s="71">
        <v>70</v>
      </c>
      <c r="G1548" s="71">
        <v>4</v>
      </c>
      <c r="H1548" s="72">
        <v>0.15972222222222221</v>
      </c>
      <c r="I1548" s="71" t="b">
        <v>0</v>
      </c>
      <c r="J1548" s="71">
        <v>56</v>
      </c>
      <c r="K1548" s="71">
        <v>75</v>
      </c>
      <c r="L1548" s="71">
        <v>93</v>
      </c>
      <c r="M1548" s="71">
        <v>20</v>
      </c>
      <c r="N1548" s="71">
        <v>16</v>
      </c>
      <c r="O1548" s="71">
        <v>0</v>
      </c>
      <c r="P1548" s="71">
        <v>27</v>
      </c>
      <c r="Q1548" s="71">
        <v>73</v>
      </c>
      <c r="R1548" s="71">
        <v>87</v>
      </c>
      <c r="S1548" s="71" t="s">
        <v>96</v>
      </c>
      <c r="T1548" s="73">
        <v>40092</v>
      </c>
      <c r="U1548" s="71" t="s">
        <v>4022</v>
      </c>
      <c r="V1548" s="71" t="b">
        <v>0</v>
      </c>
    </row>
    <row r="1549" spans="1:22" ht="17.25">
      <c r="A1549" s="70">
        <v>1124</v>
      </c>
      <c r="B1549" s="70" t="s">
        <v>800</v>
      </c>
      <c r="C1549" s="70" t="s">
        <v>292</v>
      </c>
      <c r="D1549" s="70" t="s">
        <v>799</v>
      </c>
      <c r="E1549" s="70" t="s">
        <v>798</v>
      </c>
      <c r="F1549" s="71">
        <v>2</v>
      </c>
      <c r="G1549" s="71">
        <v>78</v>
      </c>
      <c r="H1549" s="72">
        <v>0.19027777777777777</v>
      </c>
      <c r="I1549" s="71" t="b">
        <v>1</v>
      </c>
      <c r="J1549" s="71">
        <v>90</v>
      </c>
      <c r="K1549" s="71">
        <v>47</v>
      </c>
      <c r="L1549" s="71">
        <v>88</v>
      </c>
      <c r="M1549" s="71">
        <v>8</v>
      </c>
      <c r="N1549" s="71">
        <v>1</v>
      </c>
      <c r="O1549" s="71">
        <v>0</v>
      </c>
      <c r="P1549" s="71">
        <v>14</v>
      </c>
      <c r="Q1549" s="71">
        <v>21</v>
      </c>
      <c r="R1549" s="71">
        <v>101</v>
      </c>
      <c r="S1549" s="71" t="s">
        <v>48</v>
      </c>
      <c r="T1549" s="73">
        <v>45416</v>
      </c>
      <c r="U1549" s="71" t="s">
        <v>4157</v>
      </c>
      <c r="V1549" s="71" t="b">
        <v>0</v>
      </c>
    </row>
    <row r="1550" spans="1:22" ht="17.25">
      <c r="A1550" s="70">
        <v>1125</v>
      </c>
      <c r="B1550" s="70" t="s">
        <v>797</v>
      </c>
      <c r="C1550" s="70" t="s">
        <v>54</v>
      </c>
      <c r="D1550" s="70" t="s">
        <v>796</v>
      </c>
      <c r="E1550" s="70" t="s">
        <v>324</v>
      </c>
      <c r="F1550" s="71">
        <v>129</v>
      </c>
      <c r="G1550" s="71">
        <v>1</v>
      </c>
      <c r="H1550" s="72" t="s">
        <v>4320</v>
      </c>
      <c r="I1550" s="71" t="b">
        <v>1</v>
      </c>
      <c r="J1550" s="71">
        <v>82</v>
      </c>
      <c r="K1550" s="71">
        <v>64</v>
      </c>
      <c r="L1550" s="71">
        <v>73</v>
      </c>
      <c r="M1550" s="71">
        <v>15</v>
      </c>
      <c r="N1550" s="71">
        <v>15</v>
      </c>
      <c r="O1550" s="71">
        <v>0</v>
      </c>
      <c r="P1550" s="71">
        <v>12</v>
      </c>
      <c r="Q1550" s="71">
        <v>70</v>
      </c>
      <c r="R1550" s="71">
        <v>130</v>
      </c>
      <c r="S1550" s="71" t="s">
        <v>48</v>
      </c>
      <c r="T1550" s="73" t="s">
        <v>4368</v>
      </c>
      <c r="U1550" s="71" t="s">
        <v>4001</v>
      </c>
      <c r="V1550" s="71" t="b">
        <v>0</v>
      </c>
    </row>
    <row r="1551" spans="1:22" ht="17.25">
      <c r="A1551" s="70">
        <v>1125</v>
      </c>
      <c r="B1551" s="70" t="s">
        <v>797</v>
      </c>
      <c r="C1551" s="70" t="s">
        <v>4525</v>
      </c>
      <c r="D1551" s="70" t="s">
        <v>796</v>
      </c>
      <c r="E1551" s="70" t="s">
        <v>324</v>
      </c>
      <c r="F1551" s="71">
        <v>129</v>
      </c>
      <c r="G1551" s="71">
        <v>1</v>
      </c>
      <c r="H1551" s="72" t="s">
        <v>4320</v>
      </c>
      <c r="I1551" s="71" t="b">
        <v>1</v>
      </c>
      <c r="J1551" s="71">
        <v>82</v>
      </c>
      <c r="K1551" s="71">
        <v>64</v>
      </c>
      <c r="L1551" s="71">
        <v>73</v>
      </c>
      <c r="M1551" s="71">
        <v>15</v>
      </c>
      <c r="N1551" s="71">
        <v>15</v>
      </c>
      <c r="O1551" s="71">
        <v>0</v>
      </c>
      <c r="P1551" s="71">
        <v>12</v>
      </c>
      <c r="Q1551" s="71">
        <v>70</v>
      </c>
      <c r="R1551" s="71">
        <v>130</v>
      </c>
      <c r="S1551" s="71" t="s">
        <v>48</v>
      </c>
      <c r="T1551" s="73" t="s">
        <v>4368</v>
      </c>
      <c r="U1551" s="71" t="s">
        <v>4001</v>
      </c>
      <c r="V1551" s="71" t="b">
        <v>0</v>
      </c>
    </row>
    <row r="1552" spans="1:22" ht="17.25">
      <c r="A1552" s="70">
        <v>1126</v>
      </c>
      <c r="B1552" s="70" t="s">
        <v>795</v>
      </c>
      <c r="C1552" s="70" t="s">
        <v>4821</v>
      </c>
      <c r="D1552" s="70" t="s">
        <v>794</v>
      </c>
      <c r="E1552" s="70" t="s">
        <v>793</v>
      </c>
      <c r="F1552" s="71">
        <v>81</v>
      </c>
      <c r="G1552" s="71">
        <v>13</v>
      </c>
      <c r="H1552" s="72" t="s">
        <v>4315</v>
      </c>
      <c r="I1552" s="71" t="b">
        <v>1</v>
      </c>
      <c r="J1552" s="71">
        <v>84</v>
      </c>
      <c r="K1552" s="71">
        <v>76</v>
      </c>
      <c r="L1552" s="71">
        <v>75</v>
      </c>
      <c r="M1552" s="71">
        <v>12</v>
      </c>
      <c r="N1552" s="71">
        <v>15</v>
      </c>
      <c r="O1552" s="71">
        <v>0</v>
      </c>
      <c r="P1552" s="71">
        <v>18</v>
      </c>
      <c r="Q1552" s="71">
        <v>80</v>
      </c>
      <c r="R1552" s="71">
        <v>130</v>
      </c>
      <c r="S1552" s="71" t="s">
        <v>128</v>
      </c>
      <c r="T1552" s="73" t="s">
        <v>4392</v>
      </c>
      <c r="U1552" s="71" t="s">
        <v>4158</v>
      </c>
      <c r="V1552" s="71" t="b">
        <v>0</v>
      </c>
    </row>
    <row r="1553" spans="1:22" ht="17.25">
      <c r="A1553" s="70">
        <v>1126</v>
      </c>
      <c r="B1553" s="70" t="s">
        <v>795</v>
      </c>
      <c r="C1553" s="70" t="s">
        <v>4819</v>
      </c>
      <c r="D1553" s="70" t="s">
        <v>794</v>
      </c>
      <c r="E1553" s="70" t="s">
        <v>793</v>
      </c>
      <c r="F1553" s="71">
        <v>81</v>
      </c>
      <c r="G1553" s="71">
        <v>13</v>
      </c>
      <c r="H1553" s="72" t="s">
        <v>4315</v>
      </c>
      <c r="I1553" s="71" t="b">
        <v>1</v>
      </c>
      <c r="J1553" s="71">
        <v>84</v>
      </c>
      <c r="K1553" s="71">
        <v>76</v>
      </c>
      <c r="L1553" s="71">
        <v>75</v>
      </c>
      <c r="M1553" s="71">
        <v>12</v>
      </c>
      <c r="N1553" s="71">
        <v>15</v>
      </c>
      <c r="O1553" s="71">
        <v>0</v>
      </c>
      <c r="P1553" s="71">
        <v>18</v>
      </c>
      <c r="Q1553" s="71">
        <v>80</v>
      </c>
      <c r="R1553" s="71">
        <v>130</v>
      </c>
      <c r="S1553" s="71" t="s">
        <v>128</v>
      </c>
      <c r="T1553" s="73" t="s">
        <v>4392</v>
      </c>
      <c r="U1553" s="71" t="s">
        <v>4158</v>
      </c>
      <c r="V1553" s="71" t="b">
        <v>0</v>
      </c>
    </row>
    <row r="1554" spans="1:22" ht="17.25">
      <c r="A1554" s="70">
        <v>1126</v>
      </c>
      <c r="B1554" s="70" t="s">
        <v>795</v>
      </c>
      <c r="C1554" s="70" t="s">
        <v>4820</v>
      </c>
      <c r="D1554" s="70" t="s">
        <v>794</v>
      </c>
      <c r="E1554" s="70" t="s">
        <v>793</v>
      </c>
      <c r="F1554" s="71">
        <v>81</v>
      </c>
      <c r="G1554" s="71">
        <v>13</v>
      </c>
      <c r="H1554" s="72" t="s">
        <v>4315</v>
      </c>
      <c r="I1554" s="71" t="b">
        <v>1</v>
      </c>
      <c r="J1554" s="71">
        <v>84</v>
      </c>
      <c r="K1554" s="71">
        <v>76</v>
      </c>
      <c r="L1554" s="71">
        <v>75</v>
      </c>
      <c r="M1554" s="71">
        <v>12</v>
      </c>
      <c r="N1554" s="71">
        <v>15</v>
      </c>
      <c r="O1554" s="71">
        <v>0</v>
      </c>
      <c r="P1554" s="71">
        <v>18</v>
      </c>
      <c r="Q1554" s="71">
        <v>80</v>
      </c>
      <c r="R1554" s="71">
        <v>130</v>
      </c>
      <c r="S1554" s="71" t="s">
        <v>128</v>
      </c>
      <c r="T1554" s="73" t="s">
        <v>4392</v>
      </c>
      <c r="U1554" s="71" t="s">
        <v>4158</v>
      </c>
      <c r="V1554" s="71" t="b">
        <v>0</v>
      </c>
    </row>
    <row r="1555" spans="1:22" ht="17.25">
      <c r="A1555" s="70">
        <v>1126</v>
      </c>
      <c r="B1555" s="70" t="s">
        <v>795</v>
      </c>
      <c r="C1555" s="70" t="s">
        <v>4818</v>
      </c>
      <c r="D1555" s="70" t="s">
        <v>794</v>
      </c>
      <c r="E1555" s="70" t="s">
        <v>793</v>
      </c>
      <c r="F1555" s="71">
        <v>81</v>
      </c>
      <c r="G1555" s="71">
        <v>13</v>
      </c>
      <c r="H1555" s="72" t="s">
        <v>4315</v>
      </c>
      <c r="I1555" s="71" t="b">
        <v>1</v>
      </c>
      <c r="J1555" s="71">
        <v>84</v>
      </c>
      <c r="K1555" s="71">
        <v>76</v>
      </c>
      <c r="L1555" s="71">
        <v>75</v>
      </c>
      <c r="M1555" s="71">
        <v>12</v>
      </c>
      <c r="N1555" s="71">
        <v>15</v>
      </c>
      <c r="O1555" s="71">
        <v>0</v>
      </c>
      <c r="P1555" s="71">
        <v>18</v>
      </c>
      <c r="Q1555" s="71">
        <v>80</v>
      </c>
      <c r="R1555" s="71">
        <v>130</v>
      </c>
      <c r="S1555" s="71" t="s">
        <v>128</v>
      </c>
      <c r="T1555" s="73" t="s">
        <v>4392</v>
      </c>
      <c r="U1555" s="71" t="s">
        <v>4158</v>
      </c>
      <c r="V1555" s="71" t="b">
        <v>0</v>
      </c>
    </row>
    <row r="1556" spans="1:22" ht="17.25">
      <c r="A1556" s="70">
        <v>1126</v>
      </c>
      <c r="B1556" s="70" t="s">
        <v>795</v>
      </c>
      <c r="C1556" s="70" t="s">
        <v>4533</v>
      </c>
      <c r="D1556" s="70" t="s">
        <v>794</v>
      </c>
      <c r="E1556" s="70" t="s">
        <v>793</v>
      </c>
      <c r="F1556" s="71">
        <v>81</v>
      </c>
      <c r="G1556" s="71">
        <v>13</v>
      </c>
      <c r="H1556" s="72" t="s">
        <v>4315</v>
      </c>
      <c r="I1556" s="71" t="b">
        <v>1</v>
      </c>
      <c r="J1556" s="71">
        <v>84</v>
      </c>
      <c r="K1556" s="71">
        <v>76</v>
      </c>
      <c r="L1556" s="71">
        <v>75</v>
      </c>
      <c r="M1556" s="71">
        <v>12</v>
      </c>
      <c r="N1556" s="71">
        <v>15</v>
      </c>
      <c r="O1556" s="71">
        <v>0</v>
      </c>
      <c r="P1556" s="71">
        <v>18</v>
      </c>
      <c r="Q1556" s="71">
        <v>80</v>
      </c>
      <c r="R1556" s="71">
        <v>130</v>
      </c>
      <c r="S1556" s="71" t="s">
        <v>128</v>
      </c>
      <c r="T1556" s="73" t="s">
        <v>4392</v>
      </c>
      <c r="U1556" s="71" t="s">
        <v>4158</v>
      </c>
      <c r="V1556" s="71" t="b">
        <v>0</v>
      </c>
    </row>
    <row r="1557" spans="1:22" ht="17.25">
      <c r="A1557" s="70">
        <v>1127</v>
      </c>
      <c r="B1557" s="70" t="s">
        <v>792</v>
      </c>
      <c r="C1557" s="70" t="s">
        <v>430</v>
      </c>
      <c r="D1557" s="70" t="s">
        <v>791</v>
      </c>
      <c r="E1557" s="70" t="s">
        <v>790</v>
      </c>
      <c r="F1557" s="71">
        <v>130</v>
      </c>
      <c r="G1557" s="71">
        <v>1</v>
      </c>
      <c r="H1557" s="72">
        <v>0.17499999999999999</v>
      </c>
      <c r="I1557" s="71" t="b">
        <v>0</v>
      </c>
      <c r="J1557" s="71">
        <v>55</v>
      </c>
      <c r="K1557" s="71">
        <v>55</v>
      </c>
      <c r="L1557" s="71">
        <v>74</v>
      </c>
      <c r="M1557" s="71">
        <v>4</v>
      </c>
      <c r="N1557" s="71">
        <v>50</v>
      </c>
      <c r="O1557" s="71">
        <v>0</v>
      </c>
      <c r="P1557" s="71">
        <v>11</v>
      </c>
      <c r="Q1557" s="71">
        <v>48</v>
      </c>
      <c r="R1557" s="71">
        <v>100</v>
      </c>
      <c r="S1557" s="71" t="s">
        <v>789</v>
      </c>
      <c r="T1557" s="73">
        <v>45618</v>
      </c>
      <c r="U1557" s="71" t="s">
        <v>4159</v>
      </c>
      <c r="V1557" s="71" t="b">
        <v>0</v>
      </c>
    </row>
    <row r="1558" spans="1:22" ht="17.25">
      <c r="A1558" s="70">
        <v>1127</v>
      </c>
      <c r="B1558" s="70" t="s">
        <v>792</v>
      </c>
      <c r="C1558" s="70" t="s">
        <v>942</v>
      </c>
      <c r="D1558" s="70" t="s">
        <v>791</v>
      </c>
      <c r="E1558" s="70" t="s">
        <v>790</v>
      </c>
      <c r="F1558" s="71">
        <v>130</v>
      </c>
      <c r="G1558" s="71">
        <v>1</v>
      </c>
      <c r="H1558" s="72">
        <v>0.17499999999999999</v>
      </c>
      <c r="I1558" s="71" t="b">
        <v>0</v>
      </c>
      <c r="J1558" s="71">
        <v>55</v>
      </c>
      <c r="K1558" s="71">
        <v>55</v>
      </c>
      <c r="L1558" s="71">
        <v>74</v>
      </c>
      <c r="M1558" s="71">
        <v>4</v>
      </c>
      <c r="N1558" s="71">
        <v>50</v>
      </c>
      <c r="O1558" s="71">
        <v>0</v>
      </c>
      <c r="P1558" s="71">
        <v>11</v>
      </c>
      <c r="Q1558" s="71">
        <v>48</v>
      </c>
      <c r="R1558" s="71">
        <v>100</v>
      </c>
      <c r="S1558" s="71" t="s">
        <v>789</v>
      </c>
      <c r="T1558" s="73">
        <v>45618</v>
      </c>
      <c r="U1558" s="71" t="s">
        <v>4159</v>
      </c>
      <c r="V1558" s="71" t="b">
        <v>0</v>
      </c>
    </row>
    <row r="1559" spans="1:22" ht="17.25">
      <c r="A1559" s="70">
        <v>1128</v>
      </c>
      <c r="B1559" s="70" t="s">
        <v>788</v>
      </c>
      <c r="C1559" s="70" t="s">
        <v>713</v>
      </c>
      <c r="D1559" s="70" t="s">
        <v>787</v>
      </c>
      <c r="E1559" s="70" t="s">
        <v>338</v>
      </c>
      <c r="F1559" s="71">
        <v>147</v>
      </c>
      <c r="G1559" s="71">
        <v>1</v>
      </c>
      <c r="H1559" s="72" t="s">
        <v>4315</v>
      </c>
      <c r="I1559" s="71" t="b">
        <v>1</v>
      </c>
      <c r="J1559" s="71">
        <v>68</v>
      </c>
      <c r="K1559" s="71">
        <v>74</v>
      </c>
      <c r="L1559" s="71">
        <v>74</v>
      </c>
      <c r="M1559" s="71">
        <v>7</v>
      </c>
      <c r="N1559" s="71">
        <v>34</v>
      </c>
      <c r="O1559" s="71">
        <v>0</v>
      </c>
      <c r="P1559" s="71">
        <v>78</v>
      </c>
      <c r="Q1559" s="71">
        <v>71</v>
      </c>
      <c r="R1559" s="71">
        <v>145</v>
      </c>
      <c r="S1559" s="71" t="s">
        <v>312</v>
      </c>
      <c r="T1559" s="73" t="s">
        <v>4348</v>
      </c>
      <c r="U1559" s="71" t="s">
        <v>3842</v>
      </c>
      <c r="V1559" s="71" t="b">
        <v>0</v>
      </c>
    </row>
    <row r="1560" spans="1:22" ht="17.25">
      <c r="A1560" s="70">
        <v>1128</v>
      </c>
      <c r="B1560" s="70" t="s">
        <v>788</v>
      </c>
      <c r="C1560" s="70" t="s">
        <v>4822</v>
      </c>
      <c r="D1560" s="70" t="s">
        <v>787</v>
      </c>
      <c r="E1560" s="70" t="s">
        <v>338</v>
      </c>
      <c r="F1560" s="71">
        <v>147</v>
      </c>
      <c r="G1560" s="71">
        <v>1</v>
      </c>
      <c r="H1560" s="72" t="s">
        <v>4315</v>
      </c>
      <c r="I1560" s="71" t="b">
        <v>1</v>
      </c>
      <c r="J1560" s="71">
        <v>68</v>
      </c>
      <c r="K1560" s="71">
        <v>74</v>
      </c>
      <c r="L1560" s="71">
        <v>74</v>
      </c>
      <c r="M1560" s="71">
        <v>7</v>
      </c>
      <c r="N1560" s="71">
        <v>34</v>
      </c>
      <c r="O1560" s="71">
        <v>0</v>
      </c>
      <c r="P1560" s="71">
        <v>78</v>
      </c>
      <c r="Q1560" s="71">
        <v>71</v>
      </c>
      <c r="R1560" s="71">
        <v>145</v>
      </c>
      <c r="S1560" s="71" t="s">
        <v>312</v>
      </c>
      <c r="T1560" s="73" t="s">
        <v>4348</v>
      </c>
      <c r="U1560" s="71" t="s">
        <v>3842</v>
      </c>
      <c r="V1560" s="71" t="b">
        <v>0</v>
      </c>
    </row>
    <row r="1561" spans="1:22" ht="17.25">
      <c r="A1561" s="70">
        <v>1129</v>
      </c>
      <c r="B1561" s="70" t="s">
        <v>786</v>
      </c>
      <c r="C1561" s="70" t="s">
        <v>4534</v>
      </c>
      <c r="D1561" s="70" t="s">
        <v>785</v>
      </c>
      <c r="E1561" s="70" t="s">
        <v>784</v>
      </c>
      <c r="F1561" s="71">
        <v>6</v>
      </c>
      <c r="G1561" s="71">
        <v>14</v>
      </c>
      <c r="H1561" s="72">
        <v>0.13750000000000001</v>
      </c>
      <c r="I1561" s="71" t="b">
        <v>0</v>
      </c>
      <c r="J1561" s="71">
        <v>68</v>
      </c>
      <c r="K1561" s="71">
        <v>60</v>
      </c>
      <c r="L1561" s="71">
        <v>87</v>
      </c>
      <c r="M1561" s="71">
        <v>10</v>
      </c>
      <c r="N1561" s="71">
        <v>0</v>
      </c>
      <c r="O1561" s="71">
        <v>0</v>
      </c>
      <c r="P1561" s="71">
        <v>28</v>
      </c>
      <c r="Q1561" s="71">
        <v>37</v>
      </c>
      <c r="R1561" s="71">
        <v>88</v>
      </c>
      <c r="S1561" s="71" t="s">
        <v>96</v>
      </c>
      <c r="T1561" s="73">
        <v>45605</v>
      </c>
      <c r="U1561" s="71" t="s">
        <v>4160</v>
      </c>
      <c r="V1561" s="71" t="b">
        <v>0</v>
      </c>
    </row>
    <row r="1562" spans="1:22" ht="17.25">
      <c r="A1562" s="70">
        <v>1129</v>
      </c>
      <c r="B1562" s="70" t="s">
        <v>786</v>
      </c>
      <c r="C1562" s="70" t="s">
        <v>4824</v>
      </c>
      <c r="D1562" s="70" t="s">
        <v>785</v>
      </c>
      <c r="E1562" s="70" t="s">
        <v>784</v>
      </c>
      <c r="F1562" s="71">
        <v>6</v>
      </c>
      <c r="G1562" s="71">
        <v>14</v>
      </c>
      <c r="H1562" s="72">
        <v>0.13750000000000001</v>
      </c>
      <c r="I1562" s="71" t="b">
        <v>0</v>
      </c>
      <c r="J1562" s="71">
        <v>68</v>
      </c>
      <c r="K1562" s="71">
        <v>60</v>
      </c>
      <c r="L1562" s="71">
        <v>87</v>
      </c>
      <c r="M1562" s="71">
        <v>10</v>
      </c>
      <c r="N1562" s="71">
        <v>0</v>
      </c>
      <c r="O1562" s="71">
        <v>0</v>
      </c>
      <c r="P1562" s="71">
        <v>28</v>
      </c>
      <c r="Q1562" s="71">
        <v>37</v>
      </c>
      <c r="R1562" s="71">
        <v>88</v>
      </c>
      <c r="S1562" s="71" t="s">
        <v>96</v>
      </c>
      <c r="T1562" s="73">
        <v>45605</v>
      </c>
      <c r="U1562" s="71" t="s">
        <v>4160</v>
      </c>
      <c r="V1562" s="71" t="b">
        <v>0</v>
      </c>
    </row>
    <row r="1563" spans="1:22" ht="17.25">
      <c r="A1563" s="70">
        <v>1129</v>
      </c>
      <c r="B1563" s="70" t="s">
        <v>786</v>
      </c>
      <c r="C1563" s="70" t="s">
        <v>4823</v>
      </c>
      <c r="D1563" s="70" t="s">
        <v>785</v>
      </c>
      <c r="E1563" s="70" t="s">
        <v>784</v>
      </c>
      <c r="F1563" s="71">
        <v>6</v>
      </c>
      <c r="G1563" s="71">
        <v>14</v>
      </c>
      <c r="H1563" s="72">
        <v>0.13750000000000001</v>
      </c>
      <c r="I1563" s="71" t="b">
        <v>0</v>
      </c>
      <c r="J1563" s="71">
        <v>68</v>
      </c>
      <c r="K1563" s="71">
        <v>60</v>
      </c>
      <c r="L1563" s="71">
        <v>87</v>
      </c>
      <c r="M1563" s="71">
        <v>10</v>
      </c>
      <c r="N1563" s="71">
        <v>0</v>
      </c>
      <c r="O1563" s="71">
        <v>0</v>
      </c>
      <c r="P1563" s="71">
        <v>28</v>
      </c>
      <c r="Q1563" s="71">
        <v>37</v>
      </c>
      <c r="R1563" s="71">
        <v>88</v>
      </c>
      <c r="S1563" s="71" t="s">
        <v>96</v>
      </c>
      <c r="T1563" s="73">
        <v>45605</v>
      </c>
      <c r="U1563" s="71" t="s">
        <v>4160</v>
      </c>
      <c r="V1563" s="71" t="b">
        <v>0</v>
      </c>
    </row>
    <row r="1564" spans="1:22" ht="17.25">
      <c r="A1564" s="70">
        <v>1130</v>
      </c>
      <c r="B1564" s="70" t="s">
        <v>783</v>
      </c>
      <c r="C1564" s="70" t="s">
        <v>4826</v>
      </c>
      <c r="D1564" s="70" t="s">
        <v>782</v>
      </c>
      <c r="E1564" s="70" t="s">
        <v>129</v>
      </c>
      <c r="F1564" s="71">
        <v>57</v>
      </c>
      <c r="G1564" s="71">
        <v>5</v>
      </c>
      <c r="H1564" s="72">
        <v>0.19166666666666668</v>
      </c>
      <c r="I1564" s="71" t="b">
        <v>1</v>
      </c>
      <c r="J1564" s="71">
        <v>81</v>
      </c>
      <c r="K1564" s="71">
        <v>56</v>
      </c>
      <c r="L1564" s="71">
        <v>90</v>
      </c>
      <c r="M1564" s="71">
        <v>6</v>
      </c>
      <c r="N1564" s="71">
        <v>11</v>
      </c>
      <c r="O1564" s="71">
        <v>0</v>
      </c>
      <c r="P1564" s="71">
        <v>27</v>
      </c>
      <c r="Q1564" s="71">
        <v>29</v>
      </c>
      <c r="R1564" s="71">
        <v>118</v>
      </c>
      <c r="S1564" s="71" t="s">
        <v>128</v>
      </c>
      <c r="T1564" s="73">
        <v>42608</v>
      </c>
      <c r="U1564" s="71" t="s">
        <v>4161</v>
      </c>
      <c r="V1564" s="71" t="b">
        <v>0</v>
      </c>
    </row>
    <row r="1565" spans="1:22" ht="17.25">
      <c r="A1565" s="70">
        <v>1130</v>
      </c>
      <c r="B1565" s="70" t="s">
        <v>783</v>
      </c>
      <c r="C1565" s="70" t="s">
        <v>131</v>
      </c>
      <c r="D1565" s="70" t="s">
        <v>782</v>
      </c>
      <c r="E1565" s="70" t="s">
        <v>129</v>
      </c>
      <c r="F1565" s="71">
        <v>57</v>
      </c>
      <c r="G1565" s="71">
        <v>5</v>
      </c>
      <c r="H1565" s="72">
        <v>0.19166666666666668</v>
      </c>
      <c r="I1565" s="71" t="b">
        <v>1</v>
      </c>
      <c r="J1565" s="71">
        <v>81</v>
      </c>
      <c r="K1565" s="71">
        <v>56</v>
      </c>
      <c r="L1565" s="71">
        <v>90</v>
      </c>
      <c r="M1565" s="71">
        <v>6</v>
      </c>
      <c r="N1565" s="71">
        <v>11</v>
      </c>
      <c r="O1565" s="71">
        <v>0</v>
      </c>
      <c r="P1565" s="71">
        <v>27</v>
      </c>
      <c r="Q1565" s="71">
        <v>29</v>
      </c>
      <c r="R1565" s="71">
        <v>118</v>
      </c>
      <c r="S1565" s="71" t="s">
        <v>128</v>
      </c>
      <c r="T1565" s="73">
        <v>42608</v>
      </c>
      <c r="U1565" s="71" t="s">
        <v>4161</v>
      </c>
      <c r="V1565" s="71" t="b">
        <v>0</v>
      </c>
    </row>
    <row r="1566" spans="1:22" ht="17.25">
      <c r="A1566" s="70">
        <v>1130</v>
      </c>
      <c r="B1566" s="70" t="s">
        <v>783</v>
      </c>
      <c r="C1566" s="70" t="s">
        <v>4827</v>
      </c>
      <c r="D1566" s="70" t="s">
        <v>782</v>
      </c>
      <c r="E1566" s="70" t="s">
        <v>129</v>
      </c>
      <c r="F1566" s="71">
        <v>57</v>
      </c>
      <c r="G1566" s="71">
        <v>5</v>
      </c>
      <c r="H1566" s="72">
        <v>0.19166666666666668</v>
      </c>
      <c r="I1566" s="71" t="b">
        <v>1</v>
      </c>
      <c r="J1566" s="71">
        <v>81</v>
      </c>
      <c r="K1566" s="71">
        <v>56</v>
      </c>
      <c r="L1566" s="71">
        <v>90</v>
      </c>
      <c r="M1566" s="71">
        <v>6</v>
      </c>
      <c r="N1566" s="71">
        <v>11</v>
      </c>
      <c r="O1566" s="71">
        <v>0</v>
      </c>
      <c r="P1566" s="71">
        <v>27</v>
      </c>
      <c r="Q1566" s="71">
        <v>29</v>
      </c>
      <c r="R1566" s="71">
        <v>118</v>
      </c>
      <c r="S1566" s="71" t="s">
        <v>128</v>
      </c>
      <c r="T1566" s="73">
        <v>42608</v>
      </c>
      <c r="U1566" s="71" t="s">
        <v>4161</v>
      </c>
      <c r="V1566" s="71" t="b">
        <v>0</v>
      </c>
    </row>
    <row r="1567" spans="1:22" ht="17.25">
      <c r="A1567" s="70">
        <v>1130</v>
      </c>
      <c r="B1567" s="70" t="s">
        <v>783</v>
      </c>
      <c r="C1567" s="70" t="s">
        <v>4825</v>
      </c>
      <c r="D1567" s="70" t="s">
        <v>782</v>
      </c>
      <c r="E1567" s="70" t="s">
        <v>129</v>
      </c>
      <c r="F1567" s="71">
        <v>57</v>
      </c>
      <c r="G1567" s="71">
        <v>5</v>
      </c>
      <c r="H1567" s="72">
        <v>0.19166666666666668</v>
      </c>
      <c r="I1567" s="71" t="b">
        <v>1</v>
      </c>
      <c r="J1567" s="71">
        <v>81</v>
      </c>
      <c r="K1567" s="71">
        <v>56</v>
      </c>
      <c r="L1567" s="71">
        <v>90</v>
      </c>
      <c r="M1567" s="71">
        <v>6</v>
      </c>
      <c r="N1567" s="71">
        <v>11</v>
      </c>
      <c r="O1567" s="71">
        <v>0</v>
      </c>
      <c r="P1567" s="71">
        <v>27</v>
      </c>
      <c r="Q1567" s="71">
        <v>29</v>
      </c>
      <c r="R1567" s="71">
        <v>118</v>
      </c>
      <c r="S1567" s="71" t="s">
        <v>128</v>
      </c>
      <c r="T1567" s="73">
        <v>42608</v>
      </c>
      <c r="U1567" s="71" t="s">
        <v>4161</v>
      </c>
      <c r="V1567" s="71" t="b">
        <v>0</v>
      </c>
    </row>
    <row r="1568" spans="1:22" ht="17.25">
      <c r="A1568" s="70">
        <v>1130</v>
      </c>
      <c r="B1568" s="70" t="s">
        <v>783</v>
      </c>
      <c r="C1568" s="70" t="s">
        <v>4828</v>
      </c>
      <c r="D1568" s="70" t="s">
        <v>782</v>
      </c>
      <c r="E1568" s="70" t="s">
        <v>129</v>
      </c>
      <c r="F1568" s="71">
        <v>57</v>
      </c>
      <c r="G1568" s="71">
        <v>5</v>
      </c>
      <c r="H1568" s="72">
        <v>0.19166666666666668</v>
      </c>
      <c r="I1568" s="71" t="b">
        <v>1</v>
      </c>
      <c r="J1568" s="71">
        <v>81</v>
      </c>
      <c r="K1568" s="71">
        <v>56</v>
      </c>
      <c r="L1568" s="71">
        <v>90</v>
      </c>
      <c r="M1568" s="71">
        <v>6</v>
      </c>
      <c r="N1568" s="71">
        <v>11</v>
      </c>
      <c r="O1568" s="71">
        <v>0</v>
      </c>
      <c r="P1568" s="71">
        <v>27</v>
      </c>
      <c r="Q1568" s="71">
        <v>29</v>
      </c>
      <c r="R1568" s="71">
        <v>118</v>
      </c>
      <c r="S1568" s="71" t="s">
        <v>128</v>
      </c>
      <c r="T1568" s="73">
        <v>42608</v>
      </c>
      <c r="U1568" s="71" t="s">
        <v>4161</v>
      </c>
      <c r="V1568" s="71" t="b">
        <v>0</v>
      </c>
    </row>
    <row r="1569" spans="1:22" ht="17.25">
      <c r="A1569" s="70">
        <v>1130</v>
      </c>
      <c r="B1569" s="70" t="s">
        <v>783</v>
      </c>
      <c r="C1569" s="70" t="s">
        <v>4641</v>
      </c>
      <c r="D1569" s="70" t="s">
        <v>782</v>
      </c>
      <c r="E1569" s="70" t="s">
        <v>129</v>
      </c>
      <c r="F1569" s="71">
        <v>57</v>
      </c>
      <c r="G1569" s="71">
        <v>5</v>
      </c>
      <c r="H1569" s="72">
        <v>0.19166666666666668</v>
      </c>
      <c r="I1569" s="71" t="b">
        <v>1</v>
      </c>
      <c r="J1569" s="71">
        <v>81</v>
      </c>
      <c r="K1569" s="71">
        <v>56</v>
      </c>
      <c r="L1569" s="71">
        <v>90</v>
      </c>
      <c r="M1569" s="71">
        <v>6</v>
      </c>
      <c r="N1569" s="71">
        <v>11</v>
      </c>
      <c r="O1569" s="71">
        <v>0</v>
      </c>
      <c r="P1569" s="71">
        <v>27</v>
      </c>
      <c r="Q1569" s="71">
        <v>29</v>
      </c>
      <c r="R1569" s="71">
        <v>118</v>
      </c>
      <c r="S1569" s="71" t="s">
        <v>128</v>
      </c>
      <c r="T1569" s="73">
        <v>42608</v>
      </c>
      <c r="U1569" s="71" t="s">
        <v>4161</v>
      </c>
      <c r="V1569" s="71" t="b">
        <v>0</v>
      </c>
    </row>
    <row r="1570" spans="1:22" ht="17.25">
      <c r="A1570" s="70">
        <v>1130</v>
      </c>
      <c r="B1570" s="70" t="s">
        <v>783</v>
      </c>
      <c r="C1570" s="70" t="s">
        <v>4522</v>
      </c>
      <c r="D1570" s="70" t="s">
        <v>782</v>
      </c>
      <c r="E1570" s="70" t="s">
        <v>129</v>
      </c>
      <c r="F1570" s="71">
        <v>57</v>
      </c>
      <c r="G1570" s="71">
        <v>5</v>
      </c>
      <c r="H1570" s="72">
        <v>0.19166666666666668</v>
      </c>
      <c r="I1570" s="71" t="b">
        <v>1</v>
      </c>
      <c r="J1570" s="71">
        <v>81</v>
      </c>
      <c r="K1570" s="71">
        <v>56</v>
      </c>
      <c r="L1570" s="71">
        <v>90</v>
      </c>
      <c r="M1570" s="71">
        <v>6</v>
      </c>
      <c r="N1570" s="71">
        <v>11</v>
      </c>
      <c r="O1570" s="71">
        <v>0</v>
      </c>
      <c r="P1570" s="71">
        <v>27</v>
      </c>
      <c r="Q1570" s="71">
        <v>29</v>
      </c>
      <c r="R1570" s="71">
        <v>118</v>
      </c>
      <c r="S1570" s="71" t="s">
        <v>128</v>
      </c>
      <c r="T1570" s="73">
        <v>42608</v>
      </c>
      <c r="U1570" s="71" t="s">
        <v>4161</v>
      </c>
      <c r="V1570" s="71" t="b">
        <v>0</v>
      </c>
    </row>
    <row r="1571" spans="1:22" ht="17.25">
      <c r="A1571" s="70">
        <v>1131</v>
      </c>
      <c r="B1571" s="70" t="s">
        <v>781</v>
      </c>
      <c r="C1571" s="70" t="s">
        <v>780</v>
      </c>
      <c r="D1571" s="70" t="s">
        <v>779</v>
      </c>
      <c r="E1571" s="70" t="s">
        <v>778</v>
      </c>
      <c r="F1571" s="71">
        <v>85</v>
      </c>
      <c r="G1571" s="71">
        <v>1</v>
      </c>
      <c r="H1571" s="72" t="s">
        <v>4320</v>
      </c>
      <c r="I1571" s="71" t="b">
        <v>0</v>
      </c>
      <c r="J1571" s="71">
        <v>48</v>
      </c>
      <c r="K1571" s="71">
        <v>32</v>
      </c>
      <c r="L1571" s="71">
        <v>67</v>
      </c>
      <c r="M1571" s="71">
        <v>4</v>
      </c>
      <c r="N1571" s="71">
        <v>85</v>
      </c>
      <c r="O1571" s="71">
        <v>1</v>
      </c>
      <c r="P1571" s="71">
        <v>14</v>
      </c>
      <c r="Q1571" s="71">
        <v>22</v>
      </c>
      <c r="R1571" s="71">
        <v>82</v>
      </c>
      <c r="S1571" s="71" t="s">
        <v>777</v>
      </c>
      <c r="T1571" s="73" t="s">
        <v>4333</v>
      </c>
      <c r="U1571" s="71" t="s">
        <v>4162</v>
      </c>
      <c r="V1571" s="71" t="b">
        <v>0</v>
      </c>
    </row>
    <row r="1572" spans="1:22" ht="17.25">
      <c r="A1572" s="70">
        <v>1132</v>
      </c>
      <c r="B1572" s="70" t="s">
        <v>776</v>
      </c>
      <c r="C1572" s="70" t="s">
        <v>383</v>
      </c>
      <c r="D1572" s="70" t="s">
        <v>775</v>
      </c>
      <c r="E1572" s="70" t="s">
        <v>381</v>
      </c>
      <c r="F1572" s="71">
        <v>142</v>
      </c>
      <c r="G1572" s="71">
        <v>1</v>
      </c>
      <c r="H1572" s="72">
        <v>0.12847222222222221</v>
      </c>
      <c r="I1572" s="71" t="b">
        <v>1</v>
      </c>
      <c r="J1572" s="71">
        <v>66</v>
      </c>
      <c r="K1572" s="71">
        <v>58</v>
      </c>
      <c r="L1572" s="71">
        <v>91</v>
      </c>
      <c r="M1572" s="71">
        <v>4</v>
      </c>
      <c r="N1572" s="71">
        <v>39</v>
      </c>
      <c r="O1572" s="71">
        <v>0</v>
      </c>
      <c r="P1572" s="71">
        <v>9</v>
      </c>
      <c r="Q1572" s="71">
        <v>66</v>
      </c>
      <c r="R1572" s="71">
        <v>112</v>
      </c>
      <c r="S1572" s="71" t="s">
        <v>96</v>
      </c>
      <c r="T1572" s="73">
        <v>45709</v>
      </c>
      <c r="U1572" s="71" t="s">
        <v>3411</v>
      </c>
      <c r="V1572" s="71" t="b">
        <v>0</v>
      </c>
    </row>
    <row r="1573" spans="1:22" ht="17.25">
      <c r="A1573" s="70">
        <v>1133</v>
      </c>
      <c r="B1573" s="70" t="s">
        <v>774</v>
      </c>
      <c r="C1573" s="70" t="s">
        <v>452</v>
      </c>
      <c r="D1573" s="70" t="s">
        <v>773</v>
      </c>
      <c r="E1573" s="70" t="s">
        <v>75</v>
      </c>
      <c r="F1573" s="71">
        <v>58</v>
      </c>
      <c r="G1573" s="71">
        <v>34</v>
      </c>
      <c r="H1573" s="72">
        <v>0.13750000000000001</v>
      </c>
      <c r="I1573" s="71" t="b">
        <v>0</v>
      </c>
      <c r="J1573" s="71">
        <v>58</v>
      </c>
      <c r="K1573" s="71">
        <v>58</v>
      </c>
      <c r="L1573" s="71">
        <v>75</v>
      </c>
      <c r="M1573" s="71">
        <v>6</v>
      </c>
      <c r="N1573" s="71">
        <v>35</v>
      </c>
      <c r="O1573" s="71">
        <v>0</v>
      </c>
      <c r="P1573" s="71">
        <v>10</v>
      </c>
      <c r="Q1573" s="71">
        <v>52</v>
      </c>
      <c r="R1573" s="71">
        <v>95</v>
      </c>
      <c r="S1573" s="71" t="s">
        <v>26</v>
      </c>
      <c r="T1573" s="73">
        <v>45772</v>
      </c>
      <c r="U1573" s="71" t="s">
        <v>4163</v>
      </c>
      <c r="V1573" s="71" t="b">
        <v>0</v>
      </c>
    </row>
    <row r="1574" spans="1:22" ht="17.25">
      <c r="A1574" s="70">
        <v>1134</v>
      </c>
      <c r="B1574" s="70" t="s">
        <v>772</v>
      </c>
      <c r="C1574" s="70" t="s">
        <v>771</v>
      </c>
      <c r="D1574" s="70" t="s">
        <v>770</v>
      </c>
      <c r="E1574" s="70" t="s">
        <v>769</v>
      </c>
      <c r="F1574" s="71">
        <v>55</v>
      </c>
      <c r="G1574" s="71">
        <v>10</v>
      </c>
      <c r="H1574" s="72" t="s">
        <v>4317</v>
      </c>
      <c r="I1574" s="71" t="b">
        <v>1</v>
      </c>
      <c r="J1574" s="71">
        <v>56</v>
      </c>
      <c r="K1574" s="71">
        <v>48</v>
      </c>
      <c r="L1574" s="71">
        <v>69</v>
      </c>
      <c r="M1574" s="71">
        <v>5</v>
      </c>
      <c r="N1574" s="71">
        <v>58</v>
      </c>
      <c r="O1574" s="71">
        <v>0</v>
      </c>
      <c r="P1574" s="71">
        <v>11</v>
      </c>
      <c r="Q1574" s="71">
        <v>39</v>
      </c>
      <c r="R1574" s="71">
        <v>135</v>
      </c>
      <c r="S1574" s="71" t="s">
        <v>768</v>
      </c>
      <c r="T1574" s="73" t="s">
        <v>4355</v>
      </c>
      <c r="U1574" s="71" t="s">
        <v>4164</v>
      </c>
      <c r="V1574" s="71" t="b">
        <v>0</v>
      </c>
    </row>
    <row r="1575" spans="1:22" ht="17.25">
      <c r="A1575" s="70">
        <v>1135</v>
      </c>
      <c r="B1575" s="70" t="s">
        <v>767</v>
      </c>
      <c r="C1575" s="70" t="s">
        <v>766</v>
      </c>
      <c r="D1575" s="70" t="s">
        <v>765</v>
      </c>
      <c r="E1575" s="70" t="s">
        <v>764</v>
      </c>
      <c r="F1575" s="71">
        <v>194</v>
      </c>
      <c r="G1575" s="71">
        <v>1</v>
      </c>
      <c r="H1575" s="72" t="s">
        <v>4320</v>
      </c>
      <c r="I1575" s="71" t="b">
        <v>0</v>
      </c>
      <c r="J1575" s="71">
        <v>64</v>
      </c>
      <c r="K1575" s="71">
        <v>70</v>
      </c>
      <c r="L1575" s="71">
        <v>74</v>
      </c>
      <c r="M1575" s="71">
        <v>5</v>
      </c>
      <c r="N1575" s="71">
        <v>16</v>
      </c>
      <c r="O1575" s="71">
        <v>0</v>
      </c>
      <c r="P1575" s="71">
        <v>15</v>
      </c>
      <c r="Q1575" s="71">
        <v>50</v>
      </c>
      <c r="R1575" s="71">
        <v>138</v>
      </c>
      <c r="S1575" s="71" t="s">
        <v>79</v>
      </c>
      <c r="T1575" s="73" t="s">
        <v>4339</v>
      </c>
      <c r="U1575" s="71" t="s">
        <v>4165</v>
      </c>
      <c r="V1575" s="71" t="b">
        <v>0</v>
      </c>
    </row>
    <row r="1576" spans="1:22" ht="17.25">
      <c r="A1576" s="70">
        <v>1136</v>
      </c>
      <c r="B1576" s="70" t="s">
        <v>763</v>
      </c>
      <c r="C1576" s="70" t="s">
        <v>762</v>
      </c>
      <c r="D1576" s="70" t="s">
        <v>761</v>
      </c>
      <c r="E1576" s="70" t="s">
        <v>760</v>
      </c>
      <c r="F1576" s="71">
        <v>139</v>
      </c>
      <c r="G1576" s="71">
        <v>8</v>
      </c>
      <c r="H1576" s="72" t="s">
        <v>4320</v>
      </c>
      <c r="I1576" s="71" t="b">
        <v>1</v>
      </c>
      <c r="J1576" s="71">
        <v>84</v>
      </c>
      <c r="K1576" s="71">
        <v>58</v>
      </c>
      <c r="L1576" s="71">
        <v>71</v>
      </c>
      <c r="M1576" s="71">
        <v>21</v>
      </c>
      <c r="N1576" s="71">
        <v>16</v>
      </c>
      <c r="O1576" s="71">
        <v>0</v>
      </c>
      <c r="P1576" s="71">
        <v>10</v>
      </c>
      <c r="Q1576" s="71">
        <v>54</v>
      </c>
      <c r="R1576" s="71">
        <v>122</v>
      </c>
      <c r="S1576" s="71" t="s">
        <v>48</v>
      </c>
      <c r="T1576" s="73" t="s">
        <v>4388</v>
      </c>
      <c r="U1576" s="71" t="s">
        <v>4166</v>
      </c>
      <c r="V1576" s="71" t="b">
        <v>0</v>
      </c>
    </row>
    <row r="1577" spans="1:22" ht="17.25">
      <c r="A1577" s="70">
        <v>1137</v>
      </c>
      <c r="B1577" s="70" t="s">
        <v>759</v>
      </c>
      <c r="C1577" s="70" t="s">
        <v>758</v>
      </c>
      <c r="D1577" s="70" t="s">
        <v>757</v>
      </c>
      <c r="E1577" s="70" t="s">
        <v>313</v>
      </c>
      <c r="F1577" s="71">
        <v>179</v>
      </c>
      <c r="G1577" s="71">
        <v>2</v>
      </c>
      <c r="H1577" s="72" t="s">
        <v>4315</v>
      </c>
      <c r="I1577" s="71" t="b">
        <v>0</v>
      </c>
      <c r="J1577" s="71">
        <v>64</v>
      </c>
      <c r="K1577" s="71">
        <v>76</v>
      </c>
      <c r="L1577" s="71">
        <v>75</v>
      </c>
      <c r="M1577" s="71">
        <v>8</v>
      </c>
      <c r="N1577" s="71">
        <v>28</v>
      </c>
      <c r="O1577" s="71">
        <v>0</v>
      </c>
      <c r="P1577" s="71">
        <v>85</v>
      </c>
      <c r="Q1577" s="71">
        <v>67</v>
      </c>
      <c r="R1577" s="71">
        <v>136</v>
      </c>
      <c r="S1577" s="71" t="s">
        <v>312</v>
      </c>
      <c r="T1577" s="73" t="s">
        <v>4325</v>
      </c>
      <c r="U1577" s="71" t="s">
        <v>4167</v>
      </c>
      <c r="V1577" s="71" t="b">
        <v>0</v>
      </c>
    </row>
    <row r="1578" spans="1:22" ht="17.25">
      <c r="A1578" s="70">
        <v>1138</v>
      </c>
      <c r="B1578" s="70" t="s">
        <v>756</v>
      </c>
      <c r="C1578" s="70" t="s">
        <v>301</v>
      </c>
      <c r="D1578" s="70" t="s">
        <v>755</v>
      </c>
      <c r="E1578" s="70" t="s">
        <v>44</v>
      </c>
      <c r="F1578" s="71">
        <v>79</v>
      </c>
      <c r="G1578" s="71">
        <v>1</v>
      </c>
      <c r="H1578" s="72" t="s">
        <v>4320</v>
      </c>
      <c r="I1578" s="71" t="b">
        <v>0</v>
      </c>
      <c r="J1578" s="71">
        <v>79</v>
      </c>
      <c r="K1578" s="71">
        <v>63</v>
      </c>
      <c r="L1578" s="71">
        <v>73</v>
      </c>
      <c r="M1578" s="71">
        <v>15</v>
      </c>
      <c r="N1578" s="71">
        <v>18</v>
      </c>
      <c r="O1578" s="71">
        <v>0</v>
      </c>
      <c r="P1578" s="71">
        <v>12</v>
      </c>
      <c r="Q1578" s="71">
        <v>67</v>
      </c>
      <c r="R1578" s="71">
        <v>120</v>
      </c>
      <c r="S1578" s="71" t="s">
        <v>183</v>
      </c>
      <c r="T1578" s="73" t="s">
        <v>4359</v>
      </c>
      <c r="U1578" s="71" t="s">
        <v>3501</v>
      </c>
      <c r="V1578" s="71" t="b">
        <v>0</v>
      </c>
    </row>
    <row r="1579" spans="1:22" ht="17.25">
      <c r="A1579" s="70">
        <v>1139</v>
      </c>
      <c r="B1579" s="70" t="s">
        <v>754</v>
      </c>
      <c r="C1579" s="70" t="s">
        <v>4829</v>
      </c>
      <c r="D1579" s="70" t="s">
        <v>753</v>
      </c>
      <c r="E1579" s="70" t="s">
        <v>360</v>
      </c>
      <c r="F1579" s="71">
        <v>137</v>
      </c>
      <c r="G1579" s="71">
        <v>2</v>
      </c>
      <c r="H1579" s="72" t="s">
        <v>4334</v>
      </c>
      <c r="I1579" s="71" t="b">
        <v>0</v>
      </c>
      <c r="J1579" s="71">
        <v>56</v>
      </c>
      <c r="K1579" s="71">
        <v>45</v>
      </c>
      <c r="L1579" s="71">
        <v>69</v>
      </c>
      <c r="M1579" s="71">
        <v>4</v>
      </c>
      <c r="N1579" s="71">
        <v>66</v>
      </c>
      <c r="O1579" s="71">
        <v>0</v>
      </c>
      <c r="P1579" s="71">
        <v>13</v>
      </c>
      <c r="Q1579" s="71">
        <v>37</v>
      </c>
      <c r="R1579" s="71">
        <v>118</v>
      </c>
      <c r="S1579" s="71" t="s">
        <v>359</v>
      </c>
      <c r="T1579" s="73" t="s">
        <v>4381</v>
      </c>
      <c r="U1579" s="71" t="s">
        <v>4168</v>
      </c>
      <c r="V1579" s="71" t="b">
        <v>0</v>
      </c>
    </row>
    <row r="1580" spans="1:22" ht="17.25">
      <c r="A1580" s="70">
        <v>1139</v>
      </c>
      <c r="B1580" s="70" t="s">
        <v>754</v>
      </c>
      <c r="C1580" s="70" t="s">
        <v>4737</v>
      </c>
      <c r="D1580" s="70" t="s">
        <v>753</v>
      </c>
      <c r="E1580" s="70" t="s">
        <v>360</v>
      </c>
      <c r="F1580" s="71">
        <v>137</v>
      </c>
      <c r="G1580" s="71">
        <v>2</v>
      </c>
      <c r="H1580" s="72" t="s">
        <v>4334</v>
      </c>
      <c r="I1580" s="71" t="b">
        <v>0</v>
      </c>
      <c r="J1580" s="71">
        <v>56</v>
      </c>
      <c r="K1580" s="71">
        <v>45</v>
      </c>
      <c r="L1580" s="71">
        <v>69</v>
      </c>
      <c r="M1580" s="71">
        <v>4</v>
      </c>
      <c r="N1580" s="71">
        <v>66</v>
      </c>
      <c r="O1580" s="71">
        <v>0</v>
      </c>
      <c r="P1580" s="71">
        <v>13</v>
      </c>
      <c r="Q1580" s="71">
        <v>37</v>
      </c>
      <c r="R1580" s="71">
        <v>118</v>
      </c>
      <c r="S1580" s="71" t="s">
        <v>359</v>
      </c>
      <c r="T1580" s="73" t="s">
        <v>4381</v>
      </c>
      <c r="U1580" s="71" t="s">
        <v>4168</v>
      </c>
      <c r="V1580" s="71" t="b">
        <v>0</v>
      </c>
    </row>
    <row r="1581" spans="1:22" ht="17.25">
      <c r="A1581" s="70">
        <v>1139</v>
      </c>
      <c r="B1581" s="70" t="s">
        <v>754</v>
      </c>
      <c r="C1581" s="70" t="s">
        <v>4535</v>
      </c>
      <c r="D1581" s="70" t="s">
        <v>753</v>
      </c>
      <c r="E1581" s="70" t="s">
        <v>360</v>
      </c>
      <c r="F1581" s="71">
        <v>137</v>
      </c>
      <c r="G1581" s="71">
        <v>2</v>
      </c>
      <c r="H1581" s="72" t="s">
        <v>4334</v>
      </c>
      <c r="I1581" s="71" t="b">
        <v>0</v>
      </c>
      <c r="J1581" s="71">
        <v>56</v>
      </c>
      <c r="K1581" s="71">
        <v>45</v>
      </c>
      <c r="L1581" s="71">
        <v>69</v>
      </c>
      <c r="M1581" s="71">
        <v>4</v>
      </c>
      <c r="N1581" s="71">
        <v>66</v>
      </c>
      <c r="O1581" s="71">
        <v>0</v>
      </c>
      <c r="P1581" s="71">
        <v>13</v>
      </c>
      <c r="Q1581" s="71">
        <v>37</v>
      </c>
      <c r="R1581" s="71">
        <v>118</v>
      </c>
      <c r="S1581" s="71" t="s">
        <v>359</v>
      </c>
      <c r="T1581" s="73" t="s">
        <v>4381</v>
      </c>
      <c r="U1581" s="71" t="s">
        <v>4168</v>
      </c>
      <c r="V1581" s="71" t="b">
        <v>0</v>
      </c>
    </row>
    <row r="1582" spans="1:22" ht="17.25">
      <c r="A1582" s="70">
        <v>1140</v>
      </c>
      <c r="B1582" s="70" t="s">
        <v>752</v>
      </c>
      <c r="C1582" s="70" t="s">
        <v>2061</v>
      </c>
      <c r="D1582" s="70" t="s">
        <v>751</v>
      </c>
      <c r="E1582" s="70" t="s">
        <v>49</v>
      </c>
      <c r="F1582" s="71">
        <v>145</v>
      </c>
      <c r="G1582" s="71">
        <v>1</v>
      </c>
      <c r="H1582" s="72" t="s">
        <v>4320</v>
      </c>
      <c r="I1582" s="71" t="b">
        <v>1</v>
      </c>
      <c r="J1582" s="71">
        <v>76</v>
      </c>
      <c r="K1582" s="71">
        <v>74</v>
      </c>
      <c r="L1582" s="71">
        <v>74</v>
      </c>
      <c r="M1582" s="71">
        <v>11</v>
      </c>
      <c r="N1582" s="71">
        <v>13</v>
      </c>
      <c r="O1582" s="71">
        <v>0</v>
      </c>
      <c r="P1582" s="71">
        <v>18</v>
      </c>
      <c r="Q1582" s="71">
        <v>55</v>
      </c>
      <c r="R1582" s="71">
        <v>130</v>
      </c>
      <c r="S1582" s="71" t="s">
        <v>48</v>
      </c>
      <c r="T1582" s="73" t="s">
        <v>4385</v>
      </c>
      <c r="U1582" s="71" t="s">
        <v>3672</v>
      </c>
      <c r="V1582" s="71" t="b">
        <v>0</v>
      </c>
    </row>
    <row r="1583" spans="1:22" ht="17.25">
      <c r="A1583" s="70">
        <v>1140</v>
      </c>
      <c r="B1583" s="70" t="s">
        <v>752</v>
      </c>
      <c r="C1583" s="70" t="s">
        <v>4830</v>
      </c>
      <c r="D1583" s="70" t="s">
        <v>751</v>
      </c>
      <c r="E1583" s="70" t="s">
        <v>49</v>
      </c>
      <c r="F1583" s="71">
        <v>145</v>
      </c>
      <c r="G1583" s="71">
        <v>1</v>
      </c>
      <c r="H1583" s="72" t="s">
        <v>4320</v>
      </c>
      <c r="I1583" s="71" t="b">
        <v>1</v>
      </c>
      <c r="J1583" s="71">
        <v>76</v>
      </c>
      <c r="K1583" s="71">
        <v>74</v>
      </c>
      <c r="L1583" s="71">
        <v>74</v>
      </c>
      <c r="M1583" s="71">
        <v>11</v>
      </c>
      <c r="N1583" s="71">
        <v>13</v>
      </c>
      <c r="O1583" s="71">
        <v>0</v>
      </c>
      <c r="P1583" s="71">
        <v>18</v>
      </c>
      <c r="Q1583" s="71">
        <v>55</v>
      </c>
      <c r="R1583" s="71">
        <v>130</v>
      </c>
      <c r="S1583" s="71" t="s">
        <v>48</v>
      </c>
      <c r="T1583" s="73" t="s">
        <v>4385</v>
      </c>
      <c r="U1583" s="71" t="s">
        <v>3672</v>
      </c>
      <c r="V1583" s="71" t="b">
        <v>0</v>
      </c>
    </row>
    <row r="1584" spans="1:22" ht="17.25">
      <c r="A1584" s="70">
        <v>1140</v>
      </c>
      <c r="B1584" s="70" t="s">
        <v>752</v>
      </c>
      <c r="C1584" s="70" t="s">
        <v>51</v>
      </c>
      <c r="D1584" s="70" t="s">
        <v>751</v>
      </c>
      <c r="E1584" s="70" t="s">
        <v>49</v>
      </c>
      <c r="F1584" s="71">
        <v>145</v>
      </c>
      <c r="G1584" s="71">
        <v>1</v>
      </c>
      <c r="H1584" s="72" t="s">
        <v>4320</v>
      </c>
      <c r="I1584" s="71" t="b">
        <v>1</v>
      </c>
      <c r="J1584" s="71">
        <v>76</v>
      </c>
      <c r="K1584" s="71">
        <v>74</v>
      </c>
      <c r="L1584" s="71">
        <v>74</v>
      </c>
      <c r="M1584" s="71">
        <v>11</v>
      </c>
      <c r="N1584" s="71">
        <v>13</v>
      </c>
      <c r="O1584" s="71">
        <v>0</v>
      </c>
      <c r="P1584" s="71">
        <v>18</v>
      </c>
      <c r="Q1584" s="71">
        <v>55</v>
      </c>
      <c r="R1584" s="71">
        <v>130</v>
      </c>
      <c r="S1584" s="71" t="s">
        <v>48</v>
      </c>
      <c r="T1584" s="73" t="s">
        <v>4385</v>
      </c>
      <c r="U1584" s="71" t="s">
        <v>3672</v>
      </c>
      <c r="V1584" s="71" t="b">
        <v>0</v>
      </c>
    </row>
    <row r="1585" spans="1:22" ht="17.25">
      <c r="A1585" s="70">
        <v>1141</v>
      </c>
      <c r="B1585" s="70" t="s">
        <v>750</v>
      </c>
      <c r="C1585" s="70" t="s">
        <v>151</v>
      </c>
      <c r="D1585" s="70" t="s">
        <v>749</v>
      </c>
      <c r="E1585" s="70" t="s">
        <v>44</v>
      </c>
      <c r="F1585" s="71">
        <v>32</v>
      </c>
      <c r="G1585" s="71">
        <v>2</v>
      </c>
      <c r="H1585" s="72" t="s">
        <v>4320</v>
      </c>
      <c r="I1585" s="71" t="b">
        <v>0</v>
      </c>
      <c r="J1585" s="71">
        <v>54</v>
      </c>
      <c r="K1585" s="71">
        <v>40</v>
      </c>
      <c r="L1585" s="71">
        <v>68</v>
      </c>
      <c r="M1585" s="71">
        <v>4</v>
      </c>
      <c r="N1585" s="71">
        <v>72</v>
      </c>
      <c r="O1585" s="71">
        <v>0</v>
      </c>
      <c r="P1585" s="71">
        <v>11</v>
      </c>
      <c r="Q1585" s="71">
        <v>33</v>
      </c>
      <c r="R1585" s="71">
        <v>92</v>
      </c>
      <c r="S1585" s="71" t="s">
        <v>96</v>
      </c>
      <c r="T1585" s="73" t="s">
        <v>4345</v>
      </c>
      <c r="U1585" s="71" t="s">
        <v>3389</v>
      </c>
      <c r="V1585" s="71" t="b">
        <v>0</v>
      </c>
    </row>
    <row r="1586" spans="1:22" ht="17.25">
      <c r="A1586" s="70">
        <v>1142</v>
      </c>
      <c r="B1586" s="70" t="s">
        <v>748</v>
      </c>
      <c r="C1586" s="70" t="s">
        <v>318</v>
      </c>
      <c r="D1586" s="70" t="s">
        <v>747</v>
      </c>
      <c r="E1586" s="70" t="s">
        <v>316</v>
      </c>
      <c r="F1586" s="71">
        <v>3</v>
      </c>
      <c r="G1586" s="71">
        <v>90</v>
      </c>
      <c r="H1586" s="72">
        <v>0.14930555555555555</v>
      </c>
      <c r="I1586" s="71" t="b">
        <v>1</v>
      </c>
      <c r="J1586" s="71">
        <v>44</v>
      </c>
      <c r="K1586" s="71">
        <v>61</v>
      </c>
      <c r="L1586" s="71">
        <v>88</v>
      </c>
      <c r="M1586" s="71">
        <v>11</v>
      </c>
      <c r="N1586" s="71">
        <v>58</v>
      </c>
      <c r="O1586" s="71">
        <v>0</v>
      </c>
      <c r="P1586" s="71">
        <v>37</v>
      </c>
      <c r="Q1586" s="71">
        <v>18</v>
      </c>
      <c r="R1586" s="71">
        <v>181</v>
      </c>
      <c r="S1586" s="71" t="s">
        <v>74</v>
      </c>
      <c r="T1586" s="73">
        <v>44337</v>
      </c>
      <c r="U1586" s="71" t="s">
        <v>4074</v>
      </c>
      <c r="V1586" s="71" t="b">
        <v>0</v>
      </c>
    </row>
    <row r="1587" spans="1:22" ht="17.25">
      <c r="A1587" s="70">
        <v>1143</v>
      </c>
      <c r="B1587" s="70" t="s">
        <v>746</v>
      </c>
      <c r="C1587" s="70" t="s">
        <v>318</v>
      </c>
      <c r="D1587" s="70" t="s">
        <v>745</v>
      </c>
      <c r="E1587" s="70" t="s">
        <v>316</v>
      </c>
      <c r="F1587" s="71">
        <v>13</v>
      </c>
      <c r="G1587" s="71">
        <v>5</v>
      </c>
      <c r="H1587" s="72" t="s">
        <v>4317</v>
      </c>
      <c r="I1587" s="71" t="b">
        <v>0</v>
      </c>
      <c r="J1587" s="71">
        <v>73</v>
      </c>
      <c r="K1587" s="71">
        <v>64</v>
      </c>
      <c r="L1587" s="71">
        <v>74</v>
      </c>
      <c r="M1587" s="71">
        <v>6</v>
      </c>
      <c r="N1587" s="71">
        <v>29</v>
      </c>
      <c r="O1587" s="71">
        <v>0</v>
      </c>
      <c r="P1587" s="71">
        <v>13</v>
      </c>
      <c r="Q1587" s="71">
        <v>63</v>
      </c>
      <c r="R1587" s="71">
        <v>143</v>
      </c>
      <c r="S1587" s="71" t="s">
        <v>74</v>
      </c>
      <c r="T1587" s="73" t="s">
        <v>4327</v>
      </c>
      <c r="U1587" s="71" t="s">
        <v>3489</v>
      </c>
      <c r="V1587" s="71" t="b">
        <v>0</v>
      </c>
    </row>
    <row r="1588" spans="1:22" ht="17.25">
      <c r="A1588" s="70">
        <v>1144</v>
      </c>
      <c r="B1588" s="70" t="s">
        <v>744</v>
      </c>
      <c r="C1588" s="70" t="s">
        <v>4831</v>
      </c>
      <c r="D1588" s="70" t="s">
        <v>743</v>
      </c>
      <c r="E1588" s="70" t="s">
        <v>386</v>
      </c>
      <c r="F1588" s="71">
        <v>177</v>
      </c>
      <c r="G1588" s="71">
        <v>1</v>
      </c>
      <c r="H1588" s="72">
        <v>0.11666666666666667</v>
      </c>
      <c r="I1588" s="71" t="b">
        <v>1</v>
      </c>
      <c r="J1588" s="71">
        <v>85</v>
      </c>
      <c r="K1588" s="71">
        <v>42</v>
      </c>
      <c r="L1588" s="71">
        <v>86</v>
      </c>
      <c r="M1588" s="71">
        <v>3</v>
      </c>
      <c r="N1588" s="71">
        <v>21</v>
      </c>
      <c r="O1588" s="71">
        <v>0</v>
      </c>
      <c r="P1588" s="71">
        <v>10</v>
      </c>
      <c r="Q1588" s="71">
        <v>38</v>
      </c>
      <c r="R1588" s="71">
        <v>117</v>
      </c>
      <c r="S1588" s="71" t="s">
        <v>115</v>
      </c>
      <c r="T1588" s="73">
        <v>45723</v>
      </c>
      <c r="U1588" s="71" t="s">
        <v>3497</v>
      </c>
      <c r="V1588" s="71" t="b">
        <v>0</v>
      </c>
    </row>
    <row r="1589" spans="1:22" ht="17.25">
      <c r="A1589" s="70">
        <v>1144</v>
      </c>
      <c r="B1589" s="70" t="s">
        <v>744</v>
      </c>
      <c r="C1589" s="70" t="s">
        <v>678</v>
      </c>
      <c r="D1589" s="70" t="s">
        <v>743</v>
      </c>
      <c r="E1589" s="70" t="s">
        <v>386</v>
      </c>
      <c r="F1589" s="71">
        <v>177</v>
      </c>
      <c r="G1589" s="71">
        <v>1</v>
      </c>
      <c r="H1589" s="72">
        <v>0.11666666666666667</v>
      </c>
      <c r="I1589" s="71" t="b">
        <v>1</v>
      </c>
      <c r="J1589" s="71">
        <v>85</v>
      </c>
      <c r="K1589" s="71">
        <v>42</v>
      </c>
      <c r="L1589" s="71">
        <v>86</v>
      </c>
      <c r="M1589" s="71">
        <v>3</v>
      </c>
      <c r="N1589" s="71">
        <v>21</v>
      </c>
      <c r="O1589" s="71">
        <v>0</v>
      </c>
      <c r="P1589" s="71">
        <v>10</v>
      </c>
      <c r="Q1589" s="71">
        <v>38</v>
      </c>
      <c r="R1589" s="71">
        <v>117</v>
      </c>
      <c r="S1589" s="71" t="s">
        <v>115</v>
      </c>
      <c r="T1589" s="73">
        <v>45723</v>
      </c>
      <c r="U1589" s="71" t="s">
        <v>3497</v>
      </c>
      <c r="V1589" s="71" t="b">
        <v>0</v>
      </c>
    </row>
    <row r="1590" spans="1:22" ht="17.25">
      <c r="A1590" s="70">
        <v>1144</v>
      </c>
      <c r="B1590" s="70" t="s">
        <v>744</v>
      </c>
      <c r="C1590" s="70" t="s">
        <v>4707</v>
      </c>
      <c r="D1590" s="70" t="s">
        <v>743</v>
      </c>
      <c r="E1590" s="70" t="s">
        <v>386</v>
      </c>
      <c r="F1590" s="71">
        <v>177</v>
      </c>
      <c r="G1590" s="71">
        <v>1</v>
      </c>
      <c r="H1590" s="72">
        <v>0.11666666666666667</v>
      </c>
      <c r="I1590" s="71" t="b">
        <v>1</v>
      </c>
      <c r="J1590" s="71">
        <v>85</v>
      </c>
      <c r="K1590" s="71">
        <v>42</v>
      </c>
      <c r="L1590" s="71">
        <v>86</v>
      </c>
      <c r="M1590" s="71">
        <v>3</v>
      </c>
      <c r="N1590" s="71">
        <v>21</v>
      </c>
      <c r="O1590" s="71">
        <v>0</v>
      </c>
      <c r="P1590" s="71">
        <v>10</v>
      </c>
      <c r="Q1590" s="71">
        <v>38</v>
      </c>
      <c r="R1590" s="71">
        <v>117</v>
      </c>
      <c r="S1590" s="71" t="s">
        <v>115</v>
      </c>
      <c r="T1590" s="73">
        <v>45723</v>
      </c>
      <c r="U1590" s="71" t="s">
        <v>3497</v>
      </c>
      <c r="V1590" s="71" t="b">
        <v>0</v>
      </c>
    </row>
    <row r="1591" spans="1:22" ht="17.25">
      <c r="A1591" s="70">
        <v>1145</v>
      </c>
      <c r="B1591" s="70" t="s">
        <v>742</v>
      </c>
      <c r="C1591" s="70" t="s">
        <v>2826</v>
      </c>
      <c r="D1591" s="70" t="s">
        <v>741</v>
      </c>
      <c r="E1591" s="70" t="s">
        <v>655</v>
      </c>
      <c r="F1591" s="71">
        <v>39</v>
      </c>
      <c r="G1591" s="71">
        <v>20</v>
      </c>
      <c r="H1591" s="72">
        <v>0.12847222222222221</v>
      </c>
      <c r="I1591" s="71" t="b">
        <v>1</v>
      </c>
      <c r="J1591" s="71">
        <v>82</v>
      </c>
      <c r="K1591" s="71">
        <v>45</v>
      </c>
      <c r="L1591" s="71">
        <v>83</v>
      </c>
      <c r="M1591" s="71">
        <v>5</v>
      </c>
      <c r="N1591" s="71">
        <v>51</v>
      </c>
      <c r="O1591" s="71">
        <v>0</v>
      </c>
      <c r="P1591" s="71">
        <v>19</v>
      </c>
      <c r="Q1591" s="71">
        <v>69</v>
      </c>
      <c r="R1591" s="71">
        <v>120</v>
      </c>
      <c r="S1591" s="71" t="s">
        <v>61</v>
      </c>
      <c r="T1591" s="73">
        <v>45765</v>
      </c>
      <c r="U1591" s="71" t="s">
        <v>3791</v>
      </c>
      <c r="V1591" s="71" t="b">
        <v>0</v>
      </c>
    </row>
    <row r="1592" spans="1:22" ht="17.25">
      <c r="A1592" s="70">
        <v>1145</v>
      </c>
      <c r="B1592" s="70" t="s">
        <v>742</v>
      </c>
      <c r="C1592" s="70" t="s">
        <v>141</v>
      </c>
      <c r="D1592" s="70" t="s">
        <v>741</v>
      </c>
      <c r="E1592" s="70" t="s">
        <v>655</v>
      </c>
      <c r="F1592" s="71">
        <v>39</v>
      </c>
      <c r="G1592" s="71">
        <v>20</v>
      </c>
      <c r="H1592" s="72">
        <v>0.12847222222222221</v>
      </c>
      <c r="I1592" s="71" t="b">
        <v>1</v>
      </c>
      <c r="J1592" s="71">
        <v>82</v>
      </c>
      <c r="K1592" s="71">
        <v>45</v>
      </c>
      <c r="L1592" s="71">
        <v>83</v>
      </c>
      <c r="M1592" s="71">
        <v>5</v>
      </c>
      <c r="N1592" s="71">
        <v>51</v>
      </c>
      <c r="O1592" s="71">
        <v>0</v>
      </c>
      <c r="P1592" s="71">
        <v>19</v>
      </c>
      <c r="Q1592" s="71">
        <v>69</v>
      </c>
      <c r="R1592" s="71">
        <v>120</v>
      </c>
      <c r="S1592" s="71" t="s">
        <v>61</v>
      </c>
      <c r="T1592" s="73">
        <v>45765</v>
      </c>
      <c r="U1592" s="71" t="s">
        <v>3791</v>
      </c>
      <c r="V1592" s="71" t="b">
        <v>0</v>
      </c>
    </row>
    <row r="1593" spans="1:22" ht="17.25">
      <c r="A1593" s="70">
        <v>1146</v>
      </c>
      <c r="B1593" s="70" t="s">
        <v>740</v>
      </c>
      <c r="C1593" s="70" t="s">
        <v>54</v>
      </c>
      <c r="D1593" s="70" t="s">
        <v>739</v>
      </c>
      <c r="E1593" s="70" t="s">
        <v>52</v>
      </c>
      <c r="F1593" s="71">
        <v>11</v>
      </c>
      <c r="G1593" s="71">
        <v>139</v>
      </c>
      <c r="H1593" s="72">
        <v>0.10625</v>
      </c>
      <c r="I1593" s="71" t="b">
        <v>0</v>
      </c>
      <c r="J1593" s="71">
        <v>60</v>
      </c>
      <c r="K1593" s="71">
        <v>74</v>
      </c>
      <c r="L1593" s="71">
        <v>91</v>
      </c>
      <c r="M1593" s="71">
        <v>5</v>
      </c>
      <c r="N1593" s="71">
        <v>18</v>
      </c>
      <c r="O1593" s="71">
        <v>0</v>
      </c>
      <c r="P1593" s="71">
        <v>42</v>
      </c>
      <c r="Q1593" s="71">
        <v>44</v>
      </c>
      <c r="R1593" s="71">
        <v>154</v>
      </c>
      <c r="S1593" s="71" t="s">
        <v>96</v>
      </c>
      <c r="T1593" s="73">
        <v>44274</v>
      </c>
      <c r="U1593" s="71" t="s">
        <v>4169</v>
      </c>
      <c r="V1593" s="71" t="b">
        <v>0</v>
      </c>
    </row>
    <row r="1594" spans="1:22" ht="17.25">
      <c r="A1594" s="70">
        <v>1147</v>
      </c>
      <c r="B1594" s="70" t="s">
        <v>738</v>
      </c>
      <c r="C1594" s="70" t="s">
        <v>737</v>
      </c>
      <c r="D1594" s="70" t="s">
        <v>736</v>
      </c>
      <c r="E1594" s="70" t="s">
        <v>735</v>
      </c>
      <c r="F1594" s="71">
        <v>188</v>
      </c>
      <c r="G1594" s="71">
        <v>2</v>
      </c>
      <c r="H1594" s="72">
        <v>0.13819444444444445</v>
      </c>
      <c r="I1594" s="71" t="b">
        <v>0</v>
      </c>
      <c r="J1594" s="71">
        <v>77</v>
      </c>
      <c r="K1594" s="71">
        <v>84</v>
      </c>
      <c r="L1594" s="71">
        <v>93</v>
      </c>
      <c r="M1594" s="71">
        <v>11</v>
      </c>
      <c r="N1594" s="71">
        <v>2</v>
      </c>
      <c r="O1594" s="71">
        <v>2</v>
      </c>
      <c r="P1594" s="71">
        <v>24</v>
      </c>
      <c r="Q1594" s="71">
        <v>92</v>
      </c>
      <c r="R1594" s="71">
        <v>143</v>
      </c>
      <c r="S1594" s="71" t="s">
        <v>34</v>
      </c>
      <c r="T1594" s="73">
        <v>37999</v>
      </c>
      <c r="U1594" s="71" t="s">
        <v>4170</v>
      </c>
      <c r="V1594" s="71" t="b">
        <v>0</v>
      </c>
    </row>
    <row r="1595" spans="1:22" ht="17.25">
      <c r="A1595" s="70">
        <v>1148</v>
      </c>
      <c r="B1595" s="70" t="s">
        <v>734</v>
      </c>
      <c r="C1595" s="70" t="s">
        <v>733</v>
      </c>
      <c r="D1595" s="70" t="s">
        <v>732</v>
      </c>
      <c r="E1595" s="70" t="s">
        <v>731</v>
      </c>
      <c r="F1595" s="71">
        <v>51</v>
      </c>
      <c r="G1595" s="71">
        <v>31</v>
      </c>
      <c r="H1595" s="72">
        <v>0.12777777777777777</v>
      </c>
      <c r="I1595" s="71" t="b">
        <v>0</v>
      </c>
      <c r="J1595" s="71">
        <v>57</v>
      </c>
      <c r="K1595" s="71">
        <v>37</v>
      </c>
      <c r="L1595" s="71">
        <v>79</v>
      </c>
      <c r="M1595" s="71">
        <v>3</v>
      </c>
      <c r="N1595" s="71">
        <v>11</v>
      </c>
      <c r="O1595" s="71">
        <v>18</v>
      </c>
      <c r="P1595" s="71">
        <v>16</v>
      </c>
      <c r="Q1595" s="71">
        <v>24</v>
      </c>
      <c r="R1595" s="71">
        <v>130</v>
      </c>
      <c r="S1595" s="71" t="s">
        <v>74</v>
      </c>
      <c r="T1595" s="73">
        <v>43392</v>
      </c>
      <c r="U1595" s="71" t="s">
        <v>4171</v>
      </c>
      <c r="V1595" s="71" t="b">
        <v>0</v>
      </c>
    </row>
    <row r="1596" spans="1:22" ht="17.25">
      <c r="A1596" s="70">
        <v>1149</v>
      </c>
      <c r="B1596" s="70" t="s">
        <v>730</v>
      </c>
      <c r="C1596" s="70" t="s">
        <v>292</v>
      </c>
      <c r="D1596" s="70" t="s">
        <v>729</v>
      </c>
      <c r="E1596" s="70" t="s">
        <v>290</v>
      </c>
      <c r="F1596" s="71">
        <v>24</v>
      </c>
      <c r="G1596" s="71">
        <v>6</v>
      </c>
      <c r="H1596" s="72">
        <v>0.19097222222222221</v>
      </c>
      <c r="I1596" s="71" t="b">
        <v>1</v>
      </c>
      <c r="J1596" s="71">
        <v>66</v>
      </c>
      <c r="K1596" s="71">
        <v>54</v>
      </c>
      <c r="L1596" s="71">
        <v>88</v>
      </c>
      <c r="M1596" s="71">
        <v>6</v>
      </c>
      <c r="N1596" s="71">
        <v>8</v>
      </c>
      <c r="O1596" s="71">
        <v>0</v>
      </c>
      <c r="P1596" s="71">
        <v>15</v>
      </c>
      <c r="Q1596" s="71">
        <v>37</v>
      </c>
      <c r="R1596" s="71">
        <v>139</v>
      </c>
      <c r="S1596" s="71" t="s">
        <v>48</v>
      </c>
      <c r="T1596" s="73">
        <v>42839</v>
      </c>
      <c r="U1596" s="71" t="s">
        <v>4172</v>
      </c>
      <c r="V1596" s="71" t="b">
        <v>0</v>
      </c>
    </row>
    <row r="1597" spans="1:22" ht="17.25">
      <c r="A1597" s="70">
        <v>1150</v>
      </c>
      <c r="B1597" s="70" t="s">
        <v>728</v>
      </c>
      <c r="C1597" s="70" t="s">
        <v>4833</v>
      </c>
      <c r="D1597" s="70" t="s">
        <v>727</v>
      </c>
      <c r="E1597" s="70" t="s">
        <v>381</v>
      </c>
      <c r="F1597" s="71">
        <v>23</v>
      </c>
      <c r="G1597" s="71">
        <v>39</v>
      </c>
      <c r="H1597" s="72">
        <v>0.10972222222222222</v>
      </c>
      <c r="I1597" s="71" t="b">
        <v>0</v>
      </c>
      <c r="J1597" s="71">
        <v>52</v>
      </c>
      <c r="K1597" s="71">
        <v>48</v>
      </c>
      <c r="L1597" s="71">
        <v>72</v>
      </c>
      <c r="M1597" s="71">
        <v>3</v>
      </c>
      <c r="N1597" s="71">
        <v>55</v>
      </c>
      <c r="O1597" s="71">
        <v>0</v>
      </c>
      <c r="P1597" s="71">
        <v>15</v>
      </c>
      <c r="Q1597" s="71">
        <v>72</v>
      </c>
      <c r="R1597" s="71">
        <v>120</v>
      </c>
      <c r="S1597" s="71" t="s">
        <v>29</v>
      </c>
      <c r="T1597" s="73">
        <v>18933</v>
      </c>
      <c r="U1597" s="71" t="s">
        <v>4173</v>
      </c>
      <c r="V1597" s="71" t="b">
        <v>1</v>
      </c>
    </row>
    <row r="1598" spans="1:22" ht="17.25">
      <c r="A1598" s="70">
        <v>1150</v>
      </c>
      <c r="B1598" s="70" t="s">
        <v>728</v>
      </c>
      <c r="C1598" s="70" t="s">
        <v>4536</v>
      </c>
      <c r="D1598" s="70" t="s">
        <v>727</v>
      </c>
      <c r="E1598" s="70" t="s">
        <v>381</v>
      </c>
      <c r="F1598" s="71">
        <v>23</v>
      </c>
      <c r="G1598" s="71">
        <v>39</v>
      </c>
      <c r="H1598" s="72">
        <v>0.10972222222222222</v>
      </c>
      <c r="I1598" s="71" t="b">
        <v>0</v>
      </c>
      <c r="J1598" s="71">
        <v>52</v>
      </c>
      <c r="K1598" s="71">
        <v>48</v>
      </c>
      <c r="L1598" s="71">
        <v>72</v>
      </c>
      <c r="M1598" s="71">
        <v>3</v>
      </c>
      <c r="N1598" s="71">
        <v>55</v>
      </c>
      <c r="O1598" s="71">
        <v>0</v>
      </c>
      <c r="P1598" s="71">
        <v>15</v>
      </c>
      <c r="Q1598" s="71">
        <v>72</v>
      </c>
      <c r="R1598" s="71">
        <v>120</v>
      </c>
      <c r="S1598" s="71" t="s">
        <v>29</v>
      </c>
      <c r="T1598" s="73">
        <v>18933</v>
      </c>
      <c r="U1598" s="71" t="s">
        <v>4173</v>
      </c>
      <c r="V1598" s="71" t="b">
        <v>1</v>
      </c>
    </row>
    <row r="1599" spans="1:22" ht="17.25">
      <c r="A1599" s="70">
        <v>1150</v>
      </c>
      <c r="B1599" s="70" t="s">
        <v>728</v>
      </c>
      <c r="C1599" s="70" t="s">
        <v>4832</v>
      </c>
      <c r="D1599" s="70" t="s">
        <v>727</v>
      </c>
      <c r="E1599" s="70" t="s">
        <v>381</v>
      </c>
      <c r="F1599" s="71">
        <v>23</v>
      </c>
      <c r="G1599" s="71">
        <v>39</v>
      </c>
      <c r="H1599" s="72">
        <v>0.10972222222222222</v>
      </c>
      <c r="I1599" s="71" t="b">
        <v>0</v>
      </c>
      <c r="J1599" s="71">
        <v>52</v>
      </c>
      <c r="K1599" s="71">
        <v>48</v>
      </c>
      <c r="L1599" s="71">
        <v>72</v>
      </c>
      <c r="M1599" s="71">
        <v>3</v>
      </c>
      <c r="N1599" s="71">
        <v>55</v>
      </c>
      <c r="O1599" s="71">
        <v>0</v>
      </c>
      <c r="P1599" s="71">
        <v>15</v>
      </c>
      <c r="Q1599" s="71">
        <v>72</v>
      </c>
      <c r="R1599" s="71">
        <v>120</v>
      </c>
      <c r="S1599" s="71" t="s">
        <v>29</v>
      </c>
      <c r="T1599" s="73">
        <v>18933</v>
      </c>
      <c r="U1599" s="71" t="s">
        <v>4173</v>
      </c>
      <c r="V1599" s="71" t="b">
        <v>1</v>
      </c>
    </row>
    <row r="1600" spans="1:22" ht="17.25">
      <c r="A1600" s="70">
        <v>1151</v>
      </c>
      <c r="B1600" s="70" t="s">
        <v>726</v>
      </c>
      <c r="C1600" s="70" t="s">
        <v>131</v>
      </c>
      <c r="D1600" s="70" t="s">
        <v>725</v>
      </c>
      <c r="E1600" s="70" t="s">
        <v>129</v>
      </c>
      <c r="F1600" s="71">
        <v>4</v>
      </c>
      <c r="G1600" s="71">
        <v>91</v>
      </c>
      <c r="H1600" s="72">
        <v>0.13750000000000001</v>
      </c>
      <c r="I1600" s="71" t="b">
        <v>1</v>
      </c>
      <c r="J1600" s="71">
        <v>36</v>
      </c>
      <c r="K1600" s="71">
        <v>46</v>
      </c>
      <c r="L1600" s="71">
        <v>51</v>
      </c>
      <c r="M1600" s="71">
        <v>7</v>
      </c>
      <c r="N1600" s="71">
        <v>75</v>
      </c>
      <c r="O1600" s="71">
        <v>86</v>
      </c>
      <c r="P1600" s="71">
        <v>8</v>
      </c>
      <c r="Q1600" s="71">
        <v>18</v>
      </c>
      <c r="R1600" s="71">
        <v>64</v>
      </c>
      <c r="S1600" s="71" t="s">
        <v>128</v>
      </c>
      <c r="T1600" s="73">
        <v>45662</v>
      </c>
      <c r="U1600" s="71" t="s">
        <v>3505</v>
      </c>
      <c r="V1600" s="71" t="b">
        <v>0</v>
      </c>
    </row>
    <row r="1601" spans="1:22" ht="17.25">
      <c r="A1601" s="70">
        <v>1152</v>
      </c>
      <c r="B1601" s="70" t="s">
        <v>724</v>
      </c>
      <c r="C1601" s="70" t="s">
        <v>264</v>
      </c>
      <c r="D1601" s="70" t="s">
        <v>723</v>
      </c>
      <c r="E1601" s="70" t="s">
        <v>722</v>
      </c>
      <c r="F1601" s="71">
        <v>84</v>
      </c>
      <c r="G1601" s="71">
        <v>104</v>
      </c>
      <c r="H1601" s="72">
        <v>0.15</v>
      </c>
      <c r="I1601" s="71" t="b">
        <v>1</v>
      </c>
      <c r="J1601" s="71">
        <v>64</v>
      </c>
      <c r="K1601" s="71">
        <v>74</v>
      </c>
      <c r="L1601" s="71">
        <v>93</v>
      </c>
      <c r="M1601" s="71">
        <v>3</v>
      </c>
      <c r="N1601" s="71">
        <v>1</v>
      </c>
      <c r="O1601" s="71">
        <v>1</v>
      </c>
      <c r="P1601" s="71">
        <v>17</v>
      </c>
      <c r="Q1601" s="71">
        <v>78</v>
      </c>
      <c r="R1601" s="71">
        <v>117</v>
      </c>
      <c r="S1601" s="71" t="s">
        <v>262</v>
      </c>
      <c r="T1601" s="73">
        <v>42202</v>
      </c>
      <c r="U1601" s="71" t="s">
        <v>4174</v>
      </c>
      <c r="V1601" s="71" t="b">
        <v>0</v>
      </c>
    </row>
    <row r="1602" spans="1:22" ht="17.25">
      <c r="A1602" s="70">
        <v>1153</v>
      </c>
      <c r="B1602" s="70" t="s">
        <v>721</v>
      </c>
      <c r="C1602" s="70" t="s">
        <v>720</v>
      </c>
      <c r="D1602" s="70" t="s">
        <v>719</v>
      </c>
      <c r="E1602" s="70" t="s">
        <v>718</v>
      </c>
      <c r="F1602" s="71">
        <v>172</v>
      </c>
      <c r="G1602" s="71">
        <v>1</v>
      </c>
      <c r="H1602" s="72">
        <v>0.12847222222222221</v>
      </c>
      <c r="I1602" s="71" t="b">
        <v>1</v>
      </c>
      <c r="J1602" s="71">
        <v>68</v>
      </c>
      <c r="K1602" s="71">
        <v>68</v>
      </c>
      <c r="L1602" s="71">
        <v>78</v>
      </c>
      <c r="M1602" s="71">
        <v>12</v>
      </c>
      <c r="N1602" s="71">
        <v>25</v>
      </c>
      <c r="O1602" s="71">
        <v>0</v>
      </c>
      <c r="P1602" s="71">
        <v>11</v>
      </c>
      <c r="Q1602" s="71">
        <v>52</v>
      </c>
      <c r="R1602" s="71">
        <v>100</v>
      </c>
      <c r="S1602" s="71" t="s">
        <v>96</v>
      </c>
      <c r="T1602" s="73">
        <v>45625</v>
      </c>
      <c r="U1602" s="71" t="s">
        <v>4175</v>
      </c>
      <c r="V1602" s="71" t="b">
        <v>0</v>
      </c>
    </row>
    <row r="1603" spans="1:22" ht="17.25">
      <c r="A1603" s="70">
        <v>1154</v>
      </c>
      <c r="B1603" s="70" t="s">
        <v>717</v>
      </c>
      <c r="C1603" s="70" t="s">
        <v>4836</v>
      </c>
      <c r="D1603" s="70" t="s">
        <v>716</v>
      </c>
      <c r="E1603" s="70" t="s">
        <v>715</v>
      </c>
      <c r="F1603" s="71">
        <v>59</v>
      </c>
      <c r="G1603" s="71">
        <v>12</v>
      </c>
      <c r="H1603" s="72" t="s">
        <v>4320</v>
      </c>
      <c r="I1603" s="71" t="b">
        <v>0</v>
      </c>
      <c r="J1603" s="71">
        <v>85</v>
      </c>
      <c r="K1603" s="71">
        <v>67</v>
      </c>
      <c r="L1603" s="71">
        <v>73</v>
      </c>
      <c r="M1603" s="71">
        <v>11</v>
      </c>
      <c r="N1603" s="71">
        <v>18</v>
      </c>
      <c r="O1603" s="71">
        <v>0</v>
      </c>
      <c r="P1603" s="71">
        <v>16</v>
      </c>
      <c r="Q1603" s="71">
        <v>88</v>
      </c>
      <c r="R1603" s="71">
        <v>105</v>
      </c>
      <c r="S1603" s="71" t="s">
        <v>74</v>
      </c>
      <c r="T1603" s="73" t="s">
        <v>4386</v>
      </c>
      <c r="U1603" s="71" t="s">
        <v>4176</v>
      </c>
      <c r="V1603" s="71" t="b">
        <v>0</v>
      </c>
    </row>
    <row r="1604" spans="1:22" ht="17.25">
      <c r="A1604" s="70">
        <v>1154</v>
      </c>
      <c r="B1604" s="70" t="s">
        <v>717</v>
      </c>
      <c r="C1604" s="70" t="s">
        <v>4834</v>
      </c>
      <c r="D1604" s="70" t="s">
        <v>716</v>
      </c>
      <c r="E1604" s="70" t="s">
        <v>715</v>
      </c>
      <c r="F1604" s="71">
        <v>59</v>
      </c>
      <c r="G1604" s="71">
        <v>12</v>
      </c>
      <c r="H1604" s="72" t="s">
        <v>4320</v>
      </c>
      <c r="I1604" s="71" t="b">
        <v>0</v>
      </c>
      <c r="J1604" s="71">
        <v>85</v>
      </c>
      <c r="K1604" s="71">
        <v>67</v>
      </c>
      <c r="L1604" s="71">
        <v>73</v>
      </c>
      <c r="M1604" s="71">
        <v>11</v>
      </c>
      <c r="N1604" s="71">
        <v>18</v>
      </c>
      <c r="O1604" s="71">
        <v>0</v>
      </c>
      <c r="P1604" s="71">
        <v>16</v>
      </c>
      <c r="Q1604" s="71">
        <v>88</v>
      </c>
      <c r="R1604" s="71">
        <v>105</v>
      </c>
      <c r="S1604" s="71" t="s">
        <v>74</v>
      </c>
      <c r="T1604" s="73" t="s">
        <v>4386</v>
      </c>
      <c r="U1604" s="71" t="s">
        <v>4176</v>
      </c>
      <c r="V1604" s="71" t="b">
        <v>0</v>
      </c>
    </row>
    <row r="1605" spans="1:22" ht="17.25">
      <c r="A1605" s="70">
        <v>1154</v>
      </c>
      <c r="B1605" s="70" t="s">
        <v>717</v>
      </c>
      <c r="C1605" s="70" t="s">
        <v>4835</v>
      </c>
      <c r="D1605" s="70" t="s">
        <v>716</v>
      </c>
      <c r="E1605" s="70" t="s">
        <v>715</v>
      </c>
      <c r="F1605" s="71">
        <v>59</v>
      </c>
      <c r="G1605" s="71">
        <v>12</v>
      </c>
      <c r="H1605" s="72" t="s">
        <v>4320</v>
      </c>
      <c r="I1605" s="71" t="b">
        <v>0</v>
      </c>
      <c r="J1605" s="71">
        <v>85</v>
      </c>
      <c r="K1605" s="71">
        <v>67</v>
      </c>
      <c r="L1605" s="71">
        <v>73</v>
      </c>
      <c r="M1605" s="71">
        <v>11</v>
      </c>
      <c r="N1605" s="71">
        <v>18</v>
      </c>
      <c r="O1605" s="71">
        <v>0</v>
      </c>
      <c r="P1605" s="71">
        <v>16</v>
      </c>
      <c r="Q1605" s="71">
        <v>88</v>
      </c>
      <c r="R1605" s="71">
        <v>105</v>
      </c>
      <c r="S1605" s="71" t="s">
        <v>74</v>
      </c>
      <c r="T1605" s="73" t="s">
        <v>4386</v>
      </c>
      <c r="U1605" s="71" t="s">
        <v>4176</v>
      </c>
      <c r="V1605" s="71" t="b">
        <v>0</v>
      </c>
    </row>
    <row r="1606" spans="1:22" ht="17.25">
      <c r="A1606" s="70">
        <v>1154</v>
      </c>
      <c r="B1606" s="70" t="s">
        <v>717</v>
      </c>
      <c r="C1606" s="70" t="s">
        <v>4537</v>
      </c>
      <c r="D1606" s="70" t="s">
        <v>716</v>
      </c>
      <c r="E1606" s="70" t="s">
        <v>715</v>
      </c>
      <c r="F1606" s="71">
        <v>59</v>
      </c>
      <c r="G1606" s="71">
        <v>12</v>
      </c>
      <c r="H1606" s="72" t="s">
        <v>4320</v>
      </c>
      <c r="I1606" s="71" t="b">
        <v>0</v>
      </c>
      <c r="J1606" s="71">
        <v>85</v>
      </c>
      <c r="K1606" s="71">
        <v>67</v>
      </c>
      <c r="L1606" s="71">
        <v>73</v>
      </c>
      <c r="M1606" s="71">
        <v>11</v>
      </c>
      <c r="N1606" s="71">
        <v>18</v>
      </c>
      <c r="O1606" s="71">
        <v>0</v>
      </c>
      <c r="P1606" s="71">
        <v>16</v>
      </c>
      <c r="Q1606" s="71">
        <v>88</v>
      </c>
      <c r="R1606" s="71">
        <v>105</v>
      </c>
      <c r="S1606" s="71" t="s">
        <v>74</v>
      </c>
      <c r="T1606" s="73" t="s">
        <v>4386</v>
      </c>
      <c r="U1606" s="71" t="s">
        <v>4176</v>
      </c>
      <c r="V1606" s="71" t="b">
        <v>0</v>
      </c>
    </row>
    <row r="1607" spans="1:22" ht="17.25">
      <c r="A1607" s="70">
        <v>1155</v>
      </c>
      <c r="B1607" s="70" t="s">
        <v>714</v>
      </c>
      <c r="C1607" s="70" t="s">
        <v>713</v>
      </c>
      <c r="D1607" s="70" t="s">
        <v>712</v>
      </c>
      <c r="E1607" s="70" t="s">
        <v>338</v>
      </c>
      <c r="F1607" s="71">
        <v>126</v>
      </c>
      <c r="G1607" s="71">
        <v>1</v>
      </c>
      <c r="H1607" s="72" t="s">
        <v>4320</v>
      </c>
      <c r="I1607" s="71" t="b">
        <v>0</v>
      </c>
      <c r="J1607" s="71">
        <v>65</v>
      </c>
      <c r="K1607" s="71">
        <v>78</v>
      </c>
      <c r="L1607" s="71">
        <v>74</v>
      </c>
      <c r="M1607" s="71">
        <v>6</v>
      </c>
      <c r="N1607" s="71">
        <v>31</v>
      </c>
      <c r="O1607" s="71">
        <v>0</v>
      </c>
      <c r="P1607" s="71">
        <v>82</v>
      </c>
      <c r="Q1607" s="71">
        <v>73</v>
      </c>
      <c r="R1607" s="71">
        <v>142</v>
      </c>
      <c r="S1607" s="71" t="s">
        <v>312</v>
      </c>
      <c r="T1607" s="73" t="s">
        <v>4358</v>
      </c>
      <c r="U1607" s="71" t="s">
        <v>4177</v>
      </c>
      <c r="V1607" s="71" t="b">
        <v>0</v>
      </c>
    </row>
    <row r="1608" spans="1:22" ht="17.25">
      <c r="A1608" s="70">
        <v>1156</v>
      </c>
      <c r="B1608" s="70" t="s">
        <v>711</v>
      </c>
      <c r="C1608" s="70" t="s">
        <v>430</v>
      </c>
      <c r="D1608" s="70" t="s">
        <v>710</v>
      </c>
      <c r="E1608" s="70" t="s">
        <v>75</v>
      </c>
      <c r="F1608" s="71">
        <v>23</v>
      </c>
      <c r="G1608" s="71">
        <v>1</v>
      </c>
      <c r="H1608" s="72" t="s">
        <v>4315</v>
      </c>
      <c r="I1608" s="71" t="b">
        <v>0</v>
      </c>
      <c r="J1608" s="71">
        <v>75</v>
      </c>
      <c r="K1608" s="71">
        <v>62</v>
      </c>
      <c r="L1608" s="71">
        <v>74</v>
      </c>
      <c r="M1608" s="71">
        <v>8</v>
      </c>
      <c r="N1608" s="71">
        <v>22</v>
      </c>
      <c r="O1608" s="71">
        <v>0</v>
      </c>
      <c r="P1608" s="71">
        <v>12</v>
      </c>
      <c r="Q1608" s="71">
        <v>65</v>
      </c>
      <c r="R1608" s="71">
        <v>122</v>
      </c>
      <c r="S1608" s="71" t="s">
        <v>96</v>
      </c>
      <c r="T1608" s="73" t="s">
        <v>4319</v>
      </c>
      <c r="U1608" s="71" t="s">
        <v>3451</v>
      </c>
      <c r="V1608" s="71" t="b">
        <v>0</v>
      </c>
    </row>
    <row r="1609" spans="1:22" ht="17.25">
      <c r="A1609" s="70">
        <v>1160</v>
      </c>
      <c r="B1609" s="70" t="s">
        <v>706</v>
      </c>
      <c r="C1609" s="70" t="s">
        <v>705</v>
      </c>
      <c r="D1609" s="70" t="s">
        <v>704</v>
      </c>
      <c r="E1609" s="70" t="s">
        <v>133</v>
      </c>
      <c r="F1609" s="71">
        <v>116</v>
      </c>
      <c r="G1609" s="71">
        <v>1</v>
      </c>
      <c r="H1609" s="72">
        <v>0.12847222222222221</v>
      </c>
      <c r="I1609" s="71" t="b">
        <v>0</v>
      </c>
      <c r="J1609" s="71">
        <v>69</v>
      </c>
      <c r="K1609" s="71">
        <v>84</v>
      </c>
      <c r="L1609" s="71">
        <v>93</v>
      </c>
      <c r="M1609" s="71">
        <v>3</v>
      </c>
      <c r="N1609" s="71">
        <v>0</v>
      </c>
      <c r="O1609" s="71">
        <v>0</v>
      </c>
      <c r="P1609" s="71">
        <v>15</v>
      </c>
      <c r="Q1609" s="71">
        <v>77</v>
      </c>
      <c r="R1609" s="71">
        <v>118</v>
      </c>
      <c r="S1609" s="71" t="s">
        <v>96</v>
      </c>
      <c r="T1609" s="73">
        <v>45723</v>
      </c>
      <c r="U1609" s="71" t="s">
        <v>3418</v>
      </c>
      <c r="V1609" s="71" t="b">
        <v>0</v>
      </c>
    </row>
    <row r="1610" spans="1:22" ht="17.25">
      <c r="A1610" s="70">
        <v>1161</v>
      </c>
      <c r="B1610" s="70" t="s">
        <v>703</v>
      </c>
      <c r="C1610" s="70" t="s">
        <v>1603</v>
      </c>
      <c r="D1610" s="70" t="s">
        <v>702</v>
      </c>
      <c r="E1610" s="70" t="s">
        <v>701</v>
      </c>
      <c r="F1610" s="71">
        <v>172</v>
      </c>
      <c r="G1610" s="71">
        <v>2</v>
      </c>
      <c r="H1610" s="72" t="s">
        <v>4315</v>
      </c>
      <c r="I1610" s="71" t="b">
        <v>1</v>
      </c>
      <c r="J1610" s="71">
        <v>79</v>
      </c>
      <c r="K1610" s="71">
        <v>68</v>
      </c>
      <c r="L1610" s="71">
        <v>73</v>
      </c>
      <c r="M1610" s="71">
        <v>8</v>
      </c>
      <c r="N1610" s="71">
        <v>21</v>
      </c>
      <c r="O1610" s="71">
        <v>0</v>
      </c>
      <c r="P1610" s="71">
        <v>11</v>
      </c>
      <c r="Q1610" s="71">
        <v>74</v>
      </c>
      <c r="R1610" s="71">
        <v>98</v>
      </c>
      <c r="S1610" s="71" t="s">
        <v>128</v>
      </c>
      <c r="T1610" s="73" t="s">
        <v>4331</v>
      </c>
      <c r="U1610" s="71" t="s">
        <v>4178</v>
      </c>
      <c r="V1610" s="71" t="b">
        <v>0</v>
      </c>
    </row>
    <row r="1611" spans="1:22" ht="17.25">
      <c r="A1611" s="70">
        <v>1161</v>
      </c>
      <c r="B1611" s="70" t="s">
        <v>703</v>
      </c>
      <c r="C1611" s="70" t="s">
        <v>701</v>
      </c>
      <c r="D1611" s="70" t="s">
        <v>702</v>
      </c>
      <c r="E1611" s="70" t="s">
        <v>701</v>
      </c>
      <c r="F1611" s="71">
        <v>172</v>
      </c>
      <c r="G1611" s="71">
        <v>2</v>
      </c>
      <c r="H1611" s="72" t="s">
        <v>4315</v>
      </c>
      <c r="I1611" s="71" t="b">
        <v>1</v>
      </c>
      <c r="J1611" s="71">
        <v>79</v>
      </c>
      <c r="K1611" s="71">
        <v>68</v>
      </c>
      <c r="L1611" s="71">
        <v>73</v>
      </c>
      <c r="M1611" s="71">
        <v>8</v>
      </c>
      <c r="N1611" s="71">
        <v>21</v>
      </c>
      <c r="O1611" s="71">
        <v>0</v>
      </c>
      <c r="P1611" s="71">
        <v>11</v>
      </c>
      <c r="Q1611" s="71">
        <v>74</v>
      </c>
      <c r="R1611" s="71">
        <v>98</v>
      </c>
      <c r="S1611" s="71" t="s">
        <v>128</v>
      </c>
      <c r="T1611" s="73" t="s">
        <v>4331</v>
      </c>
      <c r="U1611" s="71" t="s">
        <v>4178</v>
      </c>
      <c r="V1611" s="71" t="b">
        <v>0</v>
      </c>
    </row>
    <row r="1612" spans="1:22" ht="17.25">
      <c r="A1612" s="70">
        <v>1162</v>
      </c>
      <c r="B1612" s="70" t="s">
        <v>700</v>
      </c>
      <c r="C1612" s="70" t="s">
        <v>198</v>
      </c>
      <c r="D1612" s="70" t="s">
        <v>699</v>
      </c>
      <c r="E1612" s="70" t="s">
        <v>196</v>
      </c>
      <c r="F1612" s="71">
        <v>135</v>
      </c>
      <c r="G1612" s="71">
        <v>1</v>
      </c>
      <c r="H1612" s="72" t="s">
        <v>4334</v>
      </c>
      <c r="I1612" s="71" t="b">
        <v>0</v>
      </c>
      <c r="J1612" s="71">
        <v>61</v>
      </c>
      <c r="K1612" s="71">
        <v>54</v>
      </c>
      <c r="L1612" s="71">
        <v>72</v>
      </c>
      <c r="M1612" s="71">
        <v>4</v>
      </c>
      <c r="N1612" s="71">
        <v>40</v>
      </c>
      <c r="O1612" s="71">
        <v>0</v>
      </c>
      <c r="P1612" s="71">
        <v>11</v>
      </c>
      <c r="Q1612" s="71">
        <v>49</v>
      </c>
      <c r="R1612" s="71">
        <v>105</v>
      </c>
      <c r="S1612" s="71" t="s">
        <v>195</v>
      </c>
      <c r="T1612" s="73" t="s">
        <v>4337</v>
      </c>
      <c r="U1612" s="71" t="s">
        <v>3860</v>
      </c>
      <c r="V1612" s="71" t="b">
        <v>0</v>
      </c>
    </row>
    <row r="1613" spans="1:22" ht="17.25">
      <c r="A1613" s="70">
        <v>1163</v>
      </c>
      <c r="B1613" s="70" t="s">
        <v>698</v>
      </c>
      <c r="C1613" s="70" t="s">
        <v>292</v>
      </c>
      <c r="D1613" s="70" t="s">
        <v>697</v>
      </c>
      <c r="E1613" s="70" t="s">
        <v>290</v>
      </c>
      <c r="F1613" s="71">
        <v>14</v>
      </c>
      <c r="G1613" s="71">
        <v>55</v>
      </c>
      <c r="H1613" s="72">
        <v>0.14791666666666667</v>
      </c>
      <c r="I1613" s="71" t="b">
        <v>0</v>
      </c>
      <c r="J1613" s="71">
        <v>80</v>
      </c>
      <c r="K1613" s="71">
        <v>58</v>
      </c>
      <c r="L1613" s="71">
        <v>88</v>
      </c>
      <c r="M1613" s="71">
        <v>9</v>
      </c>
      <c r="N1613" s="71">
        <v>26</v>
      </c>
      <c r="O1613" s="71">
        <v>0</v>
      </c>
      <c r="P1613" s="71">
        <v>15</v>
      </c>
      <c r="Q1613" s="71">
        <v>78</v>
      </c>
      <c r="R1613" s="71">
        <v>126</v>
      </c>
      <c r="S1613" s="71" t="s">
        <v>48</v>
      </c>
      <c r="T1613" s="73">
        <v>42839</v>
      </c>
      <c r="U1613" s="71" t="s">
        <v>4179</v>
      </c>
      <c r="V1613" s="71" t="b">
        <v>0</v>
      </c>
    </row>
    <row r="1614" spans="1:22" ht="17.25">
      <c r="A1614" s="70">
        <v>1163</v>
      </c>
      <c r="B1614" s="70" t="s">
        <v>698</v>
      </c>
      <c r="C1614" s="70" t="s">
        <v>4837</v>
      </c>
      <c r="D1614" s="70" t="s">
        <v>697</v>
      </c>
      <c r="E1614" s="70" t="s">
        <v>290</v>
      </c>
      <c r="F1614" s="71">
        <v>14</v>
      </c>
      <c r="G1614" s="71">
        <v>55</v>
      </c>
      <c r="H1614" s="72">
        <v>0.14791666666666667</v>
      </c>
      <c r="I1614" s="71" t="b">
        <v>0</v>
      </c>
      <c r="J1614" s="71">
        <v>80</v>
      </c>
      <c r="K1614" s="71">
        <v>58</v>
      </c>
      <c r="L1614" s="71">
        <v>88</v>
      </c>
      <c r="M1614" s="71">
        <v>9</v>
      </c>
      <c r="N1614" s="71">
        <v>26</v>
      </c>
      <c r="O1614" s="71">
        <v>0</v>
      </c>
      <c r="P1614" s="71">
        <v>15</v>
      </c>
      <c r="Q1614" s="71">
        <v>78</v>
      </c>
      <c r="R1614" s="71">
        <v>126</v>
      </c>
      <c r="S1614" s="71" t="s">
        <v>48</v>
      </c>
      <c r="T1614" s="73">
        <v>42839</v>
      </c>
      <c r="U1614" s="71" t="s">
        <v>4179</v>
      </c>
      <c r="V1614" s="71" t="b">
        <v>0</v>
      </c>
    </row>
    <row r="1615" spans="1:22" ht="17.25">
      <c r="A1615" s="70">
        <v>1164</v>
      </c>
      <c r="B1615" s="70" t="s">
        <v>696</v>
      </c>
      <c r="C1615" s="70" t="s">
        <v>54</v>
      </c>
      <c r="D1615" s="70" t="s">
        <v>695</v>
      </c>
      <c r="E1615" s="70" t="s">
        <v>52</v>
      </c>
      <c r="F1615" s="71">
        <v>1</v>
      </c>
      <c r="G1615" s="71">
        <v>30</v>
      </c>
      <c r="H1615" s="72">
        <v>0.15833333333333333</v>
      </c>
      <c r="I1615" s="71" t="b">
        <v>0</v>
      </c>
      <c r="J1615" s="71">
        <v>60</v>
      </c>
      <c r="K1615" s="71">
        <v>84</v>
      </c>
      <c r="L1615" s="71">
        <v>92</v>
      </c>
      <c r="M1615" s="71">
        <v>6</v>
      </c>
      <c r="N1615" s="71">
        <v>0</v>
      </c>
      <c r="O1615" s="71">
        <v>0</v>
      </c>
      <c r="P1615" s="71">
        <v>7</v>
      </c>
      <c r="Q1615" s="71">
        <v>53</v>
      </c>
      <c r="R1615" s="71">
        <v>128</v>
      </c>
      <c r="S1615" s="71" t="s">
        <v>34</v>
      </c>
      <c r="T1615" s="73">
        <v>41206</v>
      </c>
      <c r="U1615" s="71" t="s">
        <v>4180</v>
      </c>
      <c r="V1615" s="71" t="b">
        <v>0</v>
      </c>
    </row>
    <row r="1616" spans="1:22" ht="17.25">
      <c r="A1616" s="70">
        <v>1164</v>
      </c>
      <c r="B1616" s="70" t="s">
        <v>696</v>
      </c>
      <c r="C1616" s="70" t="s">
        <v>4838</v>
      </c>
      <c r="D1616" s="70" t="s">
        <v>695</v>
      </c>
      <c r="E1616" s="70" t="s">
        <v>52</v>
      </c>
      <c r="F1616" s="71">
        <v>1</v>
      </c>
      <c r="G1616" s="71">
        <v>30</v>
      </c>
      <c r="H1616" s="72">
        <v>0.15833333333333333</v>
      </c>
      <c r="I1616" s="71" t="b">
        <v>0</v>
      </c>
      <c r="J1616" s="71">
        <v>60</v>
      </c>
      <c r="K1616" s="71">
        <v>84</v>
      </c>
      <c r="L1616" s="71">
        <v>92</v>
      </c>
      <c r="M1616" s="71">
        <v>6</v>
      </c>
      <c r="N1616" s="71">
        <v>0</v>
      </c>
      <c r="O1616" s="71">
        <v>0</v>
      </c>
      <c r="P1616" s="71">
        <v>7</v>
      </c>
      <c r="Q1616" s="71">
        <v>53</v>
      </c>
      <c r="R1616" s="71">
        <v>128</v>
      </c>
      <c r="S1616" s="71" t="s">
        <v>34</v>
      </c>
      <c r="T1616" s="73">
        <v>41206</v>
      </c>
      <c r="U1616" s="71" t="s">
        <v>4180</v>
      </c>
      <c r="V1616" s="71" t="b">
        <v>0</v>
      </c>
    </row>
    <row r="1617" spans="1:22" ht="17.25">
      <c r="A1617" s="70">
        <v>1165</v>
      </c>
      <c r="B1617" s="70" t="s">
        <v>694</v>
      </c>
      <c r="C1617" s="70" t="s">
        <v>430</v>
      </c>
      <c r="D1617" s="70" t="s">
        <v>693</v>
      </c>
      <c r="E1617" s="70" t="s">
        <v>75</v>
      </c>
      <c r="F1617" s="71">
        <v>33</v>
      </c>
      <c r="G1617" s="71">
        <v>1</v>
      </c>
      <c r="H1617" s="72" t="s">
        <v>4315</v>
      </c>
      <c r="I1617" s="71" t="b">
        <v>0</v>
      </c>
      <c r="J1617" s="71">
        <v>80</v>
      </c>
      <c r="K1617" s="71">
        <v>65</v>
      </c>
      <c r="L1617" s="71">
        <v>75</v>
      </c>
      <c r="M1617" s="71">
        <v>10</v>
      </c>
      <c r="N1617" s="71">
        <v>16</v>
      </c>
      <c r="O1617" s="71">
        <v>0</v>
      </c>
      <c r="P1617" s="71">
        <v>9</v>
      </c>
      <c r="Q1617" s="71">
        <v>69</v>
      </c>
      <c r="R1617" s="71">
        <v>132</v>
      </c>
      <c r="S1617" s="71" t="s">
        <v>96</v>
      </c>
      <c r="T1617" s="73" t="s">
        <v>4319</v>
      </c>
      <c r="U1617" s="71" t="s">
        <v>3451</v>
      </c>
      <c r="V1617" s="71" t="b">
        <v>0</v>
      </c>
    </row>
    <row r="1618" spans="1:22" ht="17.25">
      <c r="A1618" s="70">
        <v>1166</v>
      </c>
      <c r="B1618" s="70" t="s">
        <v>692</v>
      </c>
      <c r="C1618" s="70" t="s">
        <v>366</v>
      </c>
      <c r="D1618" s="70" t="s">
        <v>691</v>
      </c>
      <c r="E1618" s="70" t="s">
        <v>171</v>
      </c>
      <c r="F1618" s="71">
        <v>46</v>
      </c>
      <c r="G1618" s="71">
        <v>2</v>
      </c>
      <c r="H1618" s="72" t="s">
        <v>4315</v>
      </c>
      <c r="I1618" s="71" t="b">
        <v>0</v>
      </c>
      <c r="J1618" s="71">
        <v>80</v>
      </c>
      <c r="K1618" s="71">
        <v>72</v>
      </c>
      <c r="L1618" s="71">
        <v>74</v>
      </c>
      <c r="M1618" s="71">
        <v>8</v>
      </c>
      <c r="N1618" s="71">
        <v>14</v>
      </c>
      <c r="O1618" s="71">
        <v>0</v>
      </c>
      <c r="P1618" s="71">
        <v>16</v>
      </c>
      <c r="Q1618" s="71">
        <v>85</v>
      </c>
      <c r="R1618" s="71">
        <v>125</v>
      </c>
      <c r="S1618" s="71" t="s">
        <v>96</v>
      </c>
      <c r="T1618" s="73" t="s">
        <v>4368</v>
      </c>
      <c r="U1618" s="71" t="s">
        <v>3448</v>
      </c>
      <c r="V1618" s="71" t="b">
        <v>0</v>
      </c>
    </row>
    <row r="1619" spans="1:22" ht="17.25">
      <c r="A1619" s="70">
        <v>1167</v>
      </c>
      <c r="B1619" s="70" t="s">
        <v>690</v>
      </c>
      <c r="C1619" s="70" t="s">
        <v>689</v>
      </c>
      <c r="D1619" s="70" t="s">
        <v>688</v>
      </c>
      <c r="E1619" s="70" t="s">
        <v>120</v>
      </c>
      <c r="F1619" s="71">
        <v>9</v>
      </c>
      <c r="G1619" s="71">
        <v>161</v>
      </c>
      <c r="H1619" s="72">
        <v>0.20069444444444445</v>
      </c>
      <c r="I1619" s="71" t="b">
        <v>0</v>
      </c>
      <c r="J1619" s="71">
        <v>32</v>
      </c>
      <c r="K1619" s="71">
        <v>72</v>
      </c>
      <c r="L1619" s="71">
        <v>87</v>
      </c>
      <c r="M1619" s="71">
        <v>4</v>
      </c>
      <c r="N1619" s="71">
        <v>0</v>
      </c>
      <c r="O1619" s="71">
        <v>0</v>
      </c>
      <c r="P1619" s="71">
        <v>9</v>
      </c>
      <c r="Q1619" s="71">
        <v>50</v>
      </c>
      <c r="R1619" s="71">
        <v>156</v>
      </c>
      <c r="S1619" s="71" t="s">
        <v>79</v>
      </c>
      <c r="T1619" s="73">
        <v>35892</v>
      </c>
      <c r="U1619" s="71" t="s">
        <v>4181</v>
      </c>
      <c r="V1619" s="71" t="b">
        <v>0</v>
      </c>
    </row>
    <row r="1620" spans="1:22" ht="17.25">
      <c r="A1620" s="70">
        <v>1168</v>
      </c>
      <c r="B1620" s="70" t="s">
        <v>687</v>
      </c>
      <c r="C1620" s="70" t="s">
        <v>356</v>
      </c>
      <c r="D1620" s="70" t="s">
        <v>686</v>
      </c>
      <c r="E1620" s="70" t="s">
        <v>375</v>
      </c>
      <c r="F1620" s="71">
        <v>2</v>
      </c>
      <c r="G1620" s="71">
        <v>305</v>
      </c>
      <c r="H1620" s="72">
        <v>0.17152777777777778</v>
      </c>
      <c r="I1620" s="71" t="b">
        <v>0</v>
      </c>
      <c r="J1620" s="71">
        <v>62</v>
      </c>
      <c r="K1620" s="71">
        <v>64</v>
      </c>
      <c r="L1620" s="71">
        <v>89</v>
      </c>
      <c r="M1620" s="71">
        <v>3</v>
      </c>
      <c r="N1620" s="71">
        <v>5</v>
      </c>
      <c r="O1620" s="71">
        <v>0</v>
      </c>
      <c r="P1620" s="71">
        <v>16</v>
      </c>
      <c r="Q1620" s="71">
        <v>45</v>
      </c>
      <c r="R1620" s="71">
        <v>103</v>
      </c>
      <c r="S1620" s="71" t="s">
        <v>274</v>
      </c>
      <c r="T1620" s="73">
        <v>42788</v>
      </c>
      <c r="U1620" s="71" t="s">
        <v>4182</v>
      </c>
      <c r="V1620" s="71" t="b">
        <v>0</v>
      </c>
    </row>
    <row r="1621" spans="1:22" ht="17.25">
      <c r="A1621" s="70">
        <v>1168</v>
      </c>
      <c r="B1621" s="70" t="s">
        <v>687</v>
      </c>
      <c r="C1621" s="70" t="s">
        <v>4538</v>
      </c>
      <c r="D1621" s="70" t="s">
        <v>686</v>
      </c>
      <c r="E1621" s="70" t="s">
        <v>375</v>
      </c>
      <c r="F1621" s="71">
        <v>2</v>
      </c>
      <c r="G1621" s="71">
        <v>305</v>
      </c>
      <c r="H1621" s="72">
        <v>0.17152777777777778</v>
      </c>
      <c r="I1621" s="71" t="b">
        <v>0</v>
      </c>
      <c r="J1621" s="71">
        <v>62</v>
      </c>
      <c r="K1621" s="71">
        <v>64</v>
      </c>
      <c r="L1621" s="71">
        <v>89</v>
      </c>
      <c r="M1621" s="71">
        <v>3</v>
      </c>
      <c r="N1621" s="71">
        <v>5</v>
      </c>
      <c r="O1621" s="71">
        <v>0</v>
      </c>
      <c r="P1621" s="71">
        <v>16</v>
      </c>
      <c r="Q1621" s="71">
        <v>45</v>
      </c>
      <c r="R1621" s="71">
        <v>103</v>
      </c>
      <c r="S1621" s="71" t="s">
        <v>274</v>
      </c>
      <c r="T1621" s="73">
        <v>42788</v>
      </c>
      <c r="U1621" s="71" t="s">
        <v>4182</v>
      </c>
      <c r="V1621" s="71" t="b">
        <v>0</v>
      </c>
    </row>
    <row r="1622" spans="1:22" ht="17.25">
      <c r="A1622" s="70">
        <v>1169</v>
      </c>
      <c r="B1622" s="70" t="s">
        <v>685</v>
      </c>
      <c r="C1622" s="70" t="s">
        <v>4539</v>
      </c>
      <c r="D1622" s="70" t="s">
        <v>684</v>
      </c>
      <c r="E1622" s="70" t="s">
        <v>683</v>
      </c>
      <c r="F1622" s="71">
        <v>70</v>
      </c>
      <c r="G1622" s="71">
        <v>3</v>
      </c>
      <c r="H1622" s="72" t="s">
        <v>4315</v>
      </c>
      <c r="I1622" s="71" t="b">
        <v>0</v>
      </c>
      <c r="J1622" s="71">
        <v>81</v>
      </c>
      <c r="K1622" s="71">
        <v>80</v>
      </c>
      <c r="L1622" s="71">
        <v>75</v>
      </c>
      <c r="M1622" s="71">
        <v>7</v>
      </c>
      <c r="N1622" s="71">
        <v>21</v>
      </c>
      <c r="O1622" s="71">
        <v>0</v>
      </c>
      <c r="P1622" s="71">
        <v>34</v>
      </c>
      <c r="Q1622" s="71">
        <v>87</v>
      </c>
      <c r="R1622" s="71">
        <v>130</v>
      </c>
      <c r="S1622" s="71" t="s">
        <v>312</v>
      </c>
      <c r="T1622" s="73" t="s">
        <v>4388</v>
      </c>
      <c r="U1622" s="71" t="s">
        <v>4183</v>
      </c>
      <c r="V1622" s="71" t="b">
        <v>0</v>
      </c>
    </row>
    <row r="1623" spans="1:22" ht="17.25">
      <c r="A1623" s="70">
        <v>1169</v>
      </c>
      <c r="B1623" s="70" t="s">
        <v>685</v>
      </c>
      <c r="C1623" s="70" t="s">
        <v>4839</v>
      </c>
      <c r="D1623" s="70" t="s">
        <v>684</v>
      </c>
      <c r="E1623" s="70" t="s">
        <v>683</v>
      </c>
      <c r="F1623" s="71">
        <v>70</v>
      </c>
      <c r="G1623" s="71">
        <v>3</v>
      </c>
      <c r="H1623" s="72" t="s">
        <v>4315</v>
      </c>
      <c r="I1623" s="71" t="b">
        <v>0</v>
      </c>
      <c r="J1623" s="71">
        <v>81</v>
      </c>
      <c r="K1623" s="71">
        <v>80</v>
      </c>
      <c r="L1623" s="71">
        <v>75</v>
      </c>
      <c r="M1623" s="71">
        <v>7</v>
      </c>
      <c r="N1623" s="71">
        <v>21</v>
      </c>
      <c r="O1623" s="71">
        <v>0</v>
      </c>
      <c r="P1623" s="71">
        <v>34</v>
      </c>
      <c r="Q1623" s="71">
        <v>87</v>
      </c>
      <c r="R1623" s="71">
        <v>130</v>
      </c>
      <c r="S1623" s="71" t="s">
        <v>312</v>
      </c>
      <c r="T1623" s="73" t="s">
        <v>4388</v>
      </c>
      <c r="U1623" s="71" t="s">
        <v>4183</v>
      </c>
      <c r="V1623" s="71" t="b">
        <v>0</v>
      </c>
    </row>
    <row r="1624" spans="1:22" ht="17.25">
      <c r="A1624" s="70">
        <v>1170</v>
      </c>
      <c r="B1624" s="70" t="s">
        <v>682</v>
      </c>
      <c r="C1624" s="70" t="s">
        <v>366</v>
      </c>
      <c r="D1624" s="70" t="s">
        <v>681</v>
      </c>
      <c r="E1624" s="70" t="s">
        <v>680</v>
      </c>
      <c r="F1624" s="71">
        <v>161</v>
      </c>
      <c r="G1624" s="71">
        <v>1</v>
      </c>
      <c r="H1624" s="72">
        <v>0.15972222222222221</v>
      </c>
      <c r="I1624" s="71" t="b">
        <v>0</v>
      </c>
      <c r="J1624" s="71">
        <v>62</v>
      </c>
      <c r="K1624" s="71">
        <v>82</v>
      </c>
      <c r="L1624" s="71">
        <v>92</v>
      </c>
      <c r="M1624" s="71">
        <v>4</v>
      </c>
      <c r="N1624" s="71">
        <v>33</v>
      </c>
      <c r="O1624" s="71">
        <v>0</v>
      </c>
      <c r="P1624" s="71">
        <v>10</v>
      </c>
      <c r="Q1624" s="71">
        <v>45</v>
      </c>
      <c r="R1624" s="71">
        <v>145</v>
      </c>
      <c r="S1624" s="71" t="s">
        <v>96</v>
      </c>
      <c r="T1624" s="73">
        <v>40452</v>
      </c>
      <c r="U1624" s="71" t="s">
        <v>4184</v>
      </c>
      <c r="V1624" s="71" t="b">
        <v>0</v>
      </c>
    </row>
    <row r="1625" spans="1:22" ht="17.25">
      <c r="A1625" s="70">
        <v>1171</v>
      </c>
      <c r="B1625" s="70" t="s">
        <v>679</v>
      </c>
      <c r="C1625" s="70" t="s">
        <v>678</v>
      </c>
      <c r="D1625" s="70" t="s">
        <v>677</v>
      </c>
      <c r="E1625" s="70" t="s">
        <v>386</v>
      </c>
      <c r="F1625" s="71">
        <v>183</v>
      </c>
      <c r="G1625" s="71">
        <v>1</v>
      </c>
      <c r="H1625" s="72">
        <v>0.11666666666666667</v>
      </c>
      <c r="I1625" s="71" t="b">
        <v>1</v>
      </c>
      <c r="J1625" s="71">
        <v>48</v>
      </c>
      <c r="K1625" s="71">
        <v>69</v>
      </c>
      <c r="L1625" s="71">
        <v>91</v>
      </c>
      <c r="M1625" s="71">
        <v>6</v>
      </c>
      <c r="N1625" s="71">
        <v>11</v>
      </c>
      <c r="O1625" s="71">
        <v>0</v>
      </c>
      <c r="P1625" s="71">
        <v>22</v>
      </c>
      <c r="Q1625" s="71">
        <v>31</v>
      </c>
      <c r="R1625" s="71">
        <v>127</v>
      </c>
      <c r="S1625" s="71" t="s">
        <v>115</v>
      </c>
      <c r="T1625" s="73">
        <v>45723</v>
      </c>
      <c r="U1625" s="71" t="s">
        <v>3497</v>
      </c>
      <c r="V1625" s="71" t="b">
        <v>0</v>
      </c>
    </row>
    <row r="1626" spans="1:22" ht="17.25">
      <c r="A1626" s="70">
        <v>1172</v>
      </c>
      <c r="B1626" s="70" t="s">
        <v>676</v>
      </c>
      <c r="C1626" s="70" t="s">
        <v>131</v>
      </c>
      <c r="D1626" s="70" t="s">
        <v>675</v>
      </c>
      <c r="E1626" s="70" t="s">
        <v>129</v>
      </c>
      <c r="F1626" s="71">
        <v>2</v>
      </c>
      <c r="G1626" s="71">
        <v>82</v>
      </c>
      <c r="H1626" s="72">
        <v>0.12361111111111112</v>
      </c>
      <c r="I1626" s="71" t="b">
        <v>1</v>
      </c>
      <c r="J1626" s="71">
        <v>91</v>
      </c>
      <c r="K1626" s="71">
        <v>71</v>
      </c>
      <c r="L1626" s="71">
        <v>91</v>
      </c>
      <c r="M1626" s="71">
        <v>8</v>
      </c>
      <c r="N1626" s="71">
        <v>9</v>
      </c>
      <c r="O1626" s="71">
        <v>0</v>
      </c>
      <c r="P1626" s="71">
        <v>9</v>
      </c>
      <c r="Q1626" s="71">
        <v>42</v>
      </c>
      <c r="R1626" s="71">
        <v>92</v>
      </c>
      <c r="S1626" s="71" t="s">
        <v>128</v>
      </c>
      <c r="T1626" s="73">
        <v>44687</v>
      </c>
      <c r="U1626" s="71" t="s">
        <v>3595</v>
      </c>
      <c r="V1626" s="71" t="b">
        <v>0</v>
      </c>
    </row>
    <row r="1627" spans="1:22" ht="17.25">
      <c r="A1627" s="70">
        <v>1172</v>
      </c>
      <c r="B1627" s="70" t="s">
        <v>676</v>
      </c>
      <c r="C1627" s="70" t="s">
        <v>4840</v>
      </c>
      <c r="D1627" s="70" t="s">
        <v>675</v>
      </c>
      <c r="E1627" s="70" t="s">
        <v>129</v>
      </c>
      <c r="F1627" s="71">
        <v>2</v>
      </c>
      <c r="G1627" s="71">
        <v>82</v>
      </c>
      <c r="H1627" s="72">
        <v>0.12361111111111112</v>
      </c>
      <c r="I1627" s="71" t="b">
        <v>1</v>
      </c>
      <c r="J1627" s="71">
        <v>91</v>
      </c>
      <c r="K1627" s="71">
        <v>71</v>
      </c>
      <c r="L1627" s="71">
        <v>91</v>
      </c>
      <c r="M1627" s="71">
        <v>8</v>
      </c>
      <c r="N1627" s="71">
        <v>9</v>
      </c>
      <c r="O1627" s="71">
        <v>0</v>
      </c>
      <c r="P1627" s="71">
        <v>9</v>
      </c>
      <c r="Q1627" s="71">
        <v>42</v>
      </c>
      <c r="R1627" s="71">
        <v>92</v>
      </c>
      <c r="S1627" s="71" t="s">
        <v>128</v>
      </c>
      <c r="T1627" s="73">
        <v>44687</v>
      </c>
      <c r="U1627" s="71" t="s">
        <v>3595</v>
      </c>
      <c r="V1627" s="71" t="b">
        <v>0</v>
      </c>
    </row>
    <row r="1628" spans="1:22" ht="17.25">
      <c r="A1628" s="70">
        <v>1173</v>
      </c>
      <c r="B1628" s="70" t="s">
        <v>674</v>
      </c>
      <c r="C1628" s="70" t="s">
        <v>485</v>
      </c>
      <c r="D1628" s="70" t="s">
        <v>673</v>
      </c>
      <c r="E1628" s="70" t="s">
        <v>483</v>
      </c>
      <c r="F1628" s="71">
        <v>67</v>
      </c>
      <c r="G1628" s="71">
        <v>24</v>
      </c>
      <c r="H1628" s="72">
        <v>0.12847222222222221</v>
      </c>
      <c r="I1628" s="71" t="b">
        <v>1</v>
      </c>
      <c r="J1628" s="71">
        <v>80</v>
      </c>
      <c r="K1628" s="71">
        <v>75</v>
      </c>
      <c r="L1628" s="71">
        <v>80</v>
      </c>
      <c r="M1628" s="71">
        <v>10</v>
      </c>
      <c r="N1628" s="71">
        <v>12</v>
      </c>
      <c r="O1628" s="71">
        <v>0</v>
      </c>
      <c r="P1628" s="71">
        <v>12</v>
      </c>
      <c r="Q1628" s="71">
        <v>60</v>
      </c>
      <c r="R1628" s="71">
        <v>108</v>
      </c>
      <c r="S1628" s="71" t="s">
        <v>61</v>
      </c>
      <c r="T1628" s="73">
        <v>45730</v>
      </c>
      <c r="U1628" s="71" t="s">
        <v>4185</v>
      </c>
      <c r="V1628" s="71" t="b">
        <v>0</v>
      </c>
    </row>
    <row r="1629" spans="1:22" ht="17.25">
      <c r="A1629" s="70">
        <v>1174</v>
      </c>
      <c r="B1629" s="70" t="s">
        <v>672</v>
      </c>
      <c r="C1629" s="70" t="s">
        <v>446</v>
      </c>
      <c r="D1629" s="70" t="s">
        <v>671</v>
      </c>
      <c r="E1629" s="70" t="s">
        <v>444</v>
      </c>
      <c r="F1629" s="71">
        <v>161</v>
      </c>
      <c r="G1629" s="71">
        <v>2</v>
      </c>
      <c r="H1629" s="72" t="s">
        <v>4315</v>
      </c>
      <c r="I1629" s="71" t="b">
        <v>0</v>
      </c>
      <c r="J1629" s="71">
        <v>76</v>
      </c>
      <c r="K1629" s="71">
        <v>61</v>
      </c>
      <c r="L1629" s="71">
        <v>72</v>
      </c>
      <c r="M1629" s="71">
        <v>6</v>
      </c>
      <c r="N1629" s="71">
        <v>28</v>
      </c>
      <c r="O1629" s="71">
        <v>0</v>
      </c>
      <c r="P1629" s="71">
        <v>11</v>
      </c>
      <c r="Q1629" s="71">
        <v>68</v>
      </c>
      <c r="R1629" s="71">
        <v>100</v>
      </c>
      <c r="S1629" s="71" t="s">
        <v>128</v>
      </c>
      <c r="T1629" s="73" t="s">
        <v>4390</v>
      </c>
      <c r="U1629" s="71" t="s">
        <v>3519</v>
      </c>
      <c r="V1629" s="71" t="b">
        <v>0</v>
      </c>
    </row>
    <row r="1630" spans="1:22" ht="17.25">
      <c r="A1630" s="70">
        <v>1175</v>
      </c>
      <c r="B1630" s="70" t="s">
        <v>670</v>
      </c>
      <c r="C1630" s="70" t="s">
        <v>669</v>
      </c>
      <c r="D1630" s="70" t="s">
        <v>668</v>
      </c>
      <c r="E1630" s="70" t="s">
        <v>667</v>
      </c>
      <c r="F1630" s="71">
        <v>94</v>
      </c>
      <c r="G1630" s="71">
        <v>1</v>
      </c>
      <c r="H1630" s="72" t="s">
        <v>4315</v>
      </c>
      <c r="I1630" s="71" t="b">
        <v>0</v>
      </c>
      <c r="J1630" s="71">
        <v>75</v>
      </c>
      <c r="K1630" s="71">
        <v>72</v>
      </c>
      <c r="L1630" s="71">
        <v>73</v>
      </c>
      <c r="M1630" s="71">
        <v>9</v>
      </c>
      <c r="N1630" s="71">
        <v>18</v>
      </c>
      <c r="O1630" s="71">
        <v>0</v>
      </c>
      <c r="P1630" s="71">
        <v>15</v>
      </c>
      <c r="Q1630" s="71">
        <v>66</v>
      </c>
      <c r="R1630" s="71">
        <v>115</v>
      </c>
      <c r="S1630" s="71" t="s">
        <v>96</v>
      </c>
      <c r="T1630" s="73" t="s">
        <v>4332</v>
      </c>
      <c r="U1630" s="71" t="s">
        <v>4186</v>
      </c>
      <c r="V1630" s="71" t="b">
        <v>0</v>
      </c>
    </row>
    <row r="1631" spans="1:22" ht="17.25">
      <c r="A1631" s="70">
        <v>1177</v>
      </c>
      <c r="B1631" s="70" t="s">
        <v>665</v>
      </c>
      <c r="C1631" s="70" t="s">
        <v>131</v>
      </c>
      <c r="D1631" s="70" t="s">
        <v>664</v>
      </c>
      <c r="E1631" s="70" t="s">
        <v>129</v>
      </c>
      <c r="F1631" s="71">
        <v>30</v>
      </c>
      <c r="G1631" s="71">
        <v>9</v>
      </c>
      <c r="H1631" s="72">
        <v>0.13750000000000001</v>
      </c>
      <c r="I1631" s="71" t="b">
        <v>0</v>
      </c>
      <c r="J1631" s="71">
        <v>33</v>
      </c>
      <c r="K1631" s="71">
        <v>15</v>
      </c>
      <c r="L1631" s="71">
        <v>55</v>
      </c>
      <c r="M1631" s="71">
        <v>6</v>
      </c>
      <c r="N1631" s="71">
        <v>15</v>
      </c>
      <c r="O1631" s="71">
        <v>0</v>
      </c>
      <c r="P1631" s="71">
        <v>40</v>
      </c>
      <c r="Q1631" s="71">
        <v>4</v>
      </c>
      <c r="R1631" s="71">
        <v>96</v>
      </c>
      <c r="S1631" s="71" t="s">
        <v>128</v>
      </c>
      <c r="T1631" s="73">
        <v>45662</v>
      </c>
      <c r="U1631" s="71" t="s">
        <v>3593</v>
      </c>
      <c r="V1631" s="71" t="b">
        <v>0</v>
      </c>
    </row>
    <row r="1632" spans="1:22" ht="17.25">
      <c r="A1632" s="70">
        <v>1177</v>
      </c>
      <c r="B1632" s="70" t="s">
        <v>665</v>
      </c>
      <c r="C1632" s="70" t="s">
        <v>4841</v>
      </c>
      <c r="D1632" s="70" t="s">
        <v>664</v>
      </c>
      <c r="E1632" s="70" t="s">
        <v>129</v>
      </c>
      <c r="F1632" s="71">
        <v>30</v>
      </c>
      <c r="G1632" s="71">
        <v>9</v>
      </c>
      <c r="H1632" s="72">
        <v>0.13750000000000001</v>
      </c>
      <c r="I1632" s="71" t="b">
        <v>0</v>
      </c>
      <c r="J1632" s="71">
        <v>33</v>
      </c>
      <c r="K1632" s="71">
        <v>15</v>
      </c>
      <c r="L1632" s="71">
        <v>55</v>
      </c>
      <c r="M1632" s="71">
        <v>6</v>
      </c>
      <c r="N1632" s="71">
        <v>15</v>
      </c>
      <c r="O1632" s="71">
        <v>0</v>
      </c>
      <c r="P1632" s="71">
        <v>40</v>
      </c>
      <c r="Q1632" s="71">
        <v>4</v>
      </c>
      <c r="R1632" s="71">
        <v>96</v>
      </c>
      <c r="S1632" s="71" t="s">
        <v>128</v>
      </c>
      <c r="T1632" s="73">
        <v>45662</v>
      </c>
      <c r="U1632" s="71" t="s">
        <v>3593</v>
      </c>
      <c r="V1632" s="71" t="b">
        <v>0</v>
      </c>
    </row>
    <row r="1633" spans="1:22" ht="17.25">
      <c r="A1633" s="70">
        <v>1178</v>
      </c>
      <c r="B1633" s="70" t="s">
        <v>663</v>
      </c>
      <c r="C1633" s="70" t="s">
        <v>446</v>
      </c>
      <c r="D1633" s="70" t="s">
        <v>445</v>
      </c>
      <c r="E1633" s="70" t="s">
        <v>444</v>
      </c>
      <c r="F1633" s="71">
        <v>5</v>
      </c>
      <c r="G1633" s="71">
        <v>52</v>
      </c>
      <c r="H1633" s="72">
        <v>0.13333333333333333</v>
      </c>
      <c r="I1633" s="71" t="b">
        <v>0</v>
      </c>
      <c r="J1633" s="71">
        <v>92</v>
      </c>
      <c r="K1633" s="71">
        <v>67</v>
      </c>
      <c r="L1633" s="71">
        <v>89</v>
      </c>
      <c r="M1633" s="71">
        <v>5</v>
      </c>
      <c r="N1633" s="71">
        <v>45</v>
      </c>
      <c r="O1633" s="71">
        <v>0</v>
      </c>
      <c r="P1633" s="71">
        <v>7</v>
      </c>
      <c r="Q1633" s="71">
        <v>79</v>
      </c>
      <c r="R1633" s="71">
        <v>128</v>
      </c>
      <c r="S1633" s="71" t="s">
        <v>128</v>
      </c>
      <c r="T1633" s="73">
        <v>45463</v>
      </c>
      <c r="U1633" s="71" t="s">
        <v>4187</v>
      </c>
      <c r="V1633" s="71" t="b">
        <v>0</v>
      </c>
    </row>
    <row r="1634" spans="1:22" ht="17.25">
      <c r="A1634" s="70">
        <v>1179</v>
      </c>
      <c r="B1634" s="70" t="s">
        <v>662</v>
      </c>
      <c r="C1634" s="70" t="s">
        <v>661</v>
      </c>
      <c r="D1634" s="70" t="s">
        <v>660</v>
      </c>
      <c r="E1634" s="70" t="s">
        <v>44</v>
      </c>
      <c r="F1634" s="71">
        <v>83</v>
      </c>
      <c r="G1634" s="71">
        <v>10</v>
      </c>
      <c r="H1634" s="72" t="s">
        <v>4317</v>
      </c>
      <c r="I1634" s="71" t="b">
        <v>1</v>
      </c>
      <c r="J1634" s="71">
        <v>76</v>
      </c>
      <c r="K1634" s="71">
        <v>69</v>
      </c>
      <c r="L1634" s="71">
        <v>74</v>
      </c>
      <c r="M1634" s="71">
        <v>5</v>
      </c>
      <c r="N1634" s="71">
        <v>14</v>
      </c>
      <c r="O1634" s="71">
        <v>0</v>
      </c>
      <c r="P1634" s="71">
        <v>11</v>
      </c>
      <c r="Q1634" s="71">
        <v>60</v>
      </c>
      <c r="R1634" s="71">
        <v>120</v>
      </c>
      <c r="S1634" s="71" t="s">
        <v>96</v>
      </c>
      <c r="T1634" s="73" t="s">
        <v>4332</v>
      </c>
      <c r="U1634" s="71" t="s">
        <v>4188</v>
      </c>
      <c r="V1634" s="71" t="b">
        <v>0</v>
      </c>
    </row>
    <row r="1635" spans="1:22" ht="17.25">
      <c r="A1635" s="70">
        <v>1180</v>
      </c>
      <c r="B1635" s="70" t="s">
        <v>659</v>
      </c>
      <c r="C1635" s="70" t="s">
        <v>4555</v>
      </c>
      <c r="D1635" s="70" t="s">
        <v>658</v>
      </c>
      <c r="E1635" s="70" t="s">
        <v>171</v>
      </c>
      <c r="F1635" s="71">
        <v>90</v>
      </c>
      <c r="G1635" s="71">
        <v>1</v>
      </c>
      <c r="H1635" s="72" t="s">
        <v>4315</v>
      </c>
      <c r="I1635" s="71" t="b">
        <v>0</v>
      </c>
      <c r="J1635" s="71">
        <v>75</v>
      </c>
      <c r="K1635" s="71">
        <v>66</v>
      </c>
      <c r="L1635" s="71">
        <v>73</v>
      </c>
      <c r="M1635" s="71">
        <v>5</v>
      </c>
      <c r="N1635" s="71">
        <v>22</v>
      </c>
      <c r="O1635" s="71">
        <v>0</v>
      </c>
      <c r="P1635" s="71">
        <v>14</v>
      </c>
      <c r="Q1635" s="71">
        <v>60</v>
      </c>
      <c r="R1635" s="71">
        <v>115</v>
      </c>
      <c r="S1635" s="71" t="s">
        <v>96</v>
      </c>
      <c r="T1635" s="73" t="s">
        <v>4385</v>
      </c>
      <c r="U1635" s="71" t="s">
        <v>4189</v>
      </c>
      <c r="V1635" s="71" t="b">
        <v>0</v>
      </c>
    </row>
    <row r="1636" spans="1:22" ht="17.25">
      <c r="A1636" s="70">
        <v>1180</v>
      </c>
      <c r="B1636" s="70" t="s">
        <v>659</v>
      </c>
      <c r="C1636" s="70" t="s">
        <v>2585</v>
      </c>
      <c r="D1636" s="70" t="s">
        <v>658</v>
      </c>
      <c r="E1636" s="70" t="s">
        <v>171</v>
      </c>
      <c r="F1636" s="71">
        <v>90</v>
      </c>
      <c r="G1636" s="71">
        <v>1</v>
      </c>
      <c r="H1636" s="72" t="s">
        <v>4315</v>
      </c>
      <c r="I1636" s="71" t="b">
        <v>0</v>
      </c>
      <c r="J1636" s="71">
        <v>75</v>
      </c>
      <c r="K1636" s="71">
        <v>66</v>
      </c>
      <c r="L1636" s="71">
        <v>73</v>
      </c>
      <c r="M1636" s="71">
        <v>5</v>
      </c>
      <c r="N1636" s="71">
        <v>22</v>
      </c>
      <c r="O1636" s="71">
        <v>0</v>
      </c>
      <c r="P1636" s="71">
        <v>14</v>
      </c>
      <c r="Q1636" s="71">
        <v>60</v>
      </c>
      <c r="R1636" s="71">
        <v>115</v>
      </c>
      <c r="S1636" s="71" t="s">
        <v>96</v>
      </c>
      <c r="T1636" s="73" t="s">
        <v>4385</v>
      </c>
      <c r="U1636" s="71" t="s">
        <v>4189</v>
      </c>
      <c r="V1636" s="71" t="b">
        <v>0</v>
      </c>
    </row>
    <row r="1637" spans="1:22" ht="17.25">
      <c r="A1637" s="70">
        <v>1181</v>
      </c>
      <c r="B1637" s="70" t="s">
        <v>657</v>
      </c>
      <c r="C1637" s="70" t="s">
        <v>141</v>
      </c>
      <c r="D1637" s="70" t="s">
        <v>656</v>
      </c>
      <c r="E1637" s="70" t="s">
        <v>655</v>
      </c>
      <c r="F1637" s="71">
        <v>21</v>
      </c>
      <c r="G1637" s="71">
        <v>26</v>
      </c>
      <c r="H1637" s="72">
        <v>0.12847222222222221</v>
      </c>
      <c r="I1637" s="71" t="b">
        <v>1</v>
      </c>
      <c r="J1637" s="71">
        <v>72</v>
      </c>
      <c r="K1637" s="71">
        <v>69</v>
      </c>
      <c r="L1637" s="71">
        <v>88</v>
      </c>
      <c r="M1637" s="71">
        <v>5</v>
      </c>
      <c r="N1637" s="71">
        <v>57</v>
      </c>
      <c r="O1637" s="71">
        <v>0</v>
      </c>
      <c r="P1637" s="71">
        <v>9</v>
      </c>
      <c r="Q1637" s="71">
        <v>94</v>
      </c>
      <c r="R1637" s="71">
        <v>120</v>
      </c>
      <c r="S1637" s="71" t="s">
        <v>61</v>
      </c>
      <c r="T1637" s="73">
        <v>45702</v>
      </c>
      <c r="U1637" s="71" t="s">
        <v>4190</v>
      </c>
      <c r="V1637" s="71" t="b">
        <v>0</v>
      </c>
    </row>
    <row r="1638" spans="1:22" ht="17.25">
      <c r="A1638" s="70">
        <v>1182</v>
      </c>
      <c r="B1638" s="70" t="s">
        <v>654</v>
      </c>
      <c r="C1638" s="70" t="s">
        <v>131</v>
      </c>
      <c r="D1638" s="70" t="s">
        <v>653</v>
      </c>
      <c r="E1638" s="70" t="s">
        <v>129</v>
      </c>
      <c r="F1638" s="71">
        <v>2</v>
      </c>
      <c r="G1638" s="71">
        <v>45</v>
      </c>
      <c r="H1638" s="72">
        <v>0.1701388888888889</v>
      </c>
      <c r="I1638" s="71" t="b">
        <v>1</v>
      </c>
      <c r="J1638" s="71">
        <v>80</v>
      </c>
      <c r="K1638" s="71">
        <v>67</v>
      </c>
      <c r="L1638" s="71">
        <v>91</v>
      </c>
      <c r="M1638" s="71">
        <v>3</v>
      </c>
      <c r="N1638" s="71">
        <v>29</v>
      </c>
      <c r="O1638" s="71">
        <v>0</v>
      </c>
      <c r="P1638" s="71">
        <v>12</v>
      </c>
      <c r="Q1638" s="71">
        <v>29</v>
      </c>
      <c r="R1638" s="71">
        <v>100</v>
      </c>
      <c r="S1638" s="71" t="s">
        <v>128</v>
      </c>
      <c r="T1638" s="73">
        <v>44687</v>
      </c>
      <c r="U1638" s="71" t="s">
        <v>3595</v>
      </c>
      <c r="V1638" s="71" t="b">
        <v>0</v>
      </c>
    </row>
    <row r="1639" spans="1:22" ht="17.25">
      <c r="A1639" s="70">
        <v>1183</v>
      </c>
      <c r="B1639" s="70" t="s">
        <v>652</v>
      </c>
      <c r="C1639" s="70" t="s">
        <v>651</v>
      </c>
      <c r="D1639" s="70" t="s">
        <v>650</v>
      </c>
      <c r="E1639" s="70" t="s">
        <v>188</v>
      </c>
      <c r="F1639" s="71">
        <v>96</v>
      </c>
      <c r="G1639" s="71">
        <v>11</v>
      </c>
      <c r="H1639" s="72">
        <v>0.12847222222222221</v>
      </c>
      <c r="I1639" s="71" t="b">
        <v>1</v>
      </c>
      <c r="J1639" s="71">
        <v>76</v>
      </c>
      <c r="K1639" s="71">
        <v>66</v>
      </c>
      <c r="L1639" s="71">
        <v>88</v>
      </c>
      <c r="M1639" s="71">
        <v>4</v>
      </c>
      <c r="N1639" s="71">
        <v>29</v>
      </c>
      <c r="O1639" s="71">
        <v>0</v>
      </c>
      <c r="P1639" s="71">
        <v>14</v>
      </c>
      <c r="Q1639" s="71">
        <v>90</v>
      </c>
      <c r="R1639" s="71">
        <v>125</v>
      </c>
      <c r="S1639" s="71" t="s">
        <v>61</v>
      </c>
      <c r="T1639" s="73">
        <v>45765</v>
      </c>
      <c r="U1639" s="71" t="s">
        <v>4008</v>
      </c>
      <c r="V1639" s="71" t="b">
        <v>0</v>
      </c>
    </row>
    <row r="1640" spans="1:22" ht="17.25">
      <c r="A1640" s="70">
        <v>1184</v>
      </c>
      <c r="B1640" s="70" t="s">
        <v>649</v>
      </c>
      <c r="C1640" s="70" t="s">
        <v>648</v>
      </c>
      <c r="D1640" s="70" t="s">
        <v>647</v>
      </c>
      <c r="E1640" s="70" t="s">
        <v>44</v>
      </c>
      <c r="F1640" s="71">
        <v>158</v>
      </c>
      <c r="G1640" s="71">
        <v>7</v>
      </c>
      <c r="H1640" s="72">
        <v>0.15416666666666667</v>
      </c>
      <c r="I1640" s="71" t="b">
        <v>0</v>
      </c>
      <c r="J1640" s="71">
        <v>60</v>
      </c>
      <c r="K1640" s="71">
        <v>86</v>
      </c>
      <c r="L1640" s="71">
        <v>94</v>
      </c>
      <c r="M1640" s="71">
        <v>3</v>
      </c>
      <c r="N1640" s="71">
        <v>2</v>
      </c>
      <c r="O1640" s="71">
        <v>2</v>
      </c>
      <c r="P1640" s="71">
        <v>14</v>
      </c>
      <c r="Q1640" s="71">
        <v>74</v>
      </c>
      <c r="R1640" s="71">
        <v>128</v>
      </c>
      <c r="S1640" s="71" t="s">
        <v>274</v>
      </c>
      <c r="T1640" s="73">
        <v>41712</v>
      </c>
      <c r="U1640" s="71" t="s">
        <v>4191</v>
      </c>
      <c r="V1640" s="71" t="b">
        <v>0</v>
      </c>
    </row>
    <row r="1641" spans="1:22" ht="17.25">
      <c r="A1641" s="70">
        <v>1185</v>
      </c>
      <c r="B1641" s="70" t="s">
        <v>646</v>
      </c>
      <c r="C1641" s="70" t="s">
        <v>645</v>
      </c>
      <c r="D1641" s="70" t="s">
        <v>644</v>
      </c>
      <c r="E1641" s="70" t="s">
        <v>643</v>
      </c>
      <c r="F1641" s="71">
        <v>59</v>
      </c>
      <c r="G1641" s="71">
        <v>20</v>
      </c>
      <c r="H1641" s="72">
        <v>9.930555555555555E-2</v>
      </c>
      <c r="I1641" s="71" t="b">
        <v>0</v>
      </c>
      <c r="J1641" s="71">
        <v>62</v>
      </c>
      <c r="K1641" s="71">
        <v>62</v>
      </c>
      <c r="L1641" s="71">
        <v>77</v>
      </c>
      <c r="M1641" s="71">
        <v>5</v>
      </c>
      <c r="N1641" s="71">
        <v>25</v>
      </c>
      <c r="O1641" s="71">
        <v>0</v>
      </c>
      <c r="P1641" s="71">
        <v>14</v>
      </c>
      <c r="Q1641" s="71">
        <v>78</v>
      </c>
      <c r="R1641" s="71">
        <v>120</v>
      </c>
      <c r="S1641" s="71" t="s">
        <v>29</v>
      </c>
      <c r="T1641" s="73">
        <v>25842</v>
      </c>
      <c r="U1641" s="71" t="s">
        <v>4192</v>
      </c>
      <c r="V1641" s="71" t="b">
        <v>1</v>
      </c>
    </row>
    <row r="1642" spans="1:22" ht="17.25">
      <c r="A1642" s="70">
        <v>1186</v>
      </c>
      <c r="B1642" s="70" t="s">
        <v>642</v>
      </c>
      <c r="C1642" s="70" t="s">
        <v>570</v>
      </c>
      <c r="D1642" s="70" t="s">
        <v>641</v>
      </c>
      <c r="E1642" s="70" t="s">
        <v>568</v>
      </c>
      <c r="F1642" s="71">
        <v>78</v>
      </c>
      <c r="G1642" s="71">
        <v>21</v>
      </c>
      <c r="H1642" s="72">
        <v>0.11666666666666667</v>
      </c>
      <c r="I1642" s="71" t="b">
        <v>0</v>
      </c>
      <c r="J1642" s="71">
        <v>74</v>
      </c>
      <c r="K1642" s="71">
        <v>90</v>
      </c>
      <c r="L1642" s="71">
        <v>96</v>
      </c>
      <c r="M1642" s="71">
        <v>4</v>
      </c>
      <c r="N1642" s="71">
        <v>55</v>
      </c>
      <c r="O1642" s="71">
        <v>0</v>
      </c>
      <c r="P1642" s="71">
        <v>9</v>
      </c>
      <c r="Q1642" s="71">
        <v>79</v>
      </c>
      <c r="R1642" s="71">
        <v>167</v>
      </c>
      <c r="S1642" s="71" t="s">
        <v>115</v>
      </c>
      <c r="T1642" s="73">
        <v>45520</v>
      </c>
      <c r="U1642" s="71" t="s">
        <v>4193</v>
      </c>
      <c r="V1642" s="71" t="b">
        <v>0</v>
      </c>
    </row>
    <row r="1643" spans="1:22" ht="17.25">
      <c r="A1643" s="70">
        <v>1187</v>
      </c>
      <c r="B1643" s="70" t="s">
        <v>640</v>
      </c>
      <c r="C1643" s="70" t="s">
        <v>639</v>
      </c>
      <c r="D1643" s="70" t="s">
        <v>638</v>
      </c>
      <c r="E1643" s="70" t="s">
        <v>637</v>
      </c>
      <c r="F1643" s="71">
        <v>102</v>
      </c>
      <c r="G1643" s="71">
        <v>1</v>
      </c>
      <c r="H1643" s="72">
        <v>0.13750000000000001</v>
      </c>
      <c r="I1643" s="71" t="b">
        <v>0</v>
      </c>
      <c r="J1643" s="71">
        <v>64</v>
      </c>
      <c r="K1643" s="71">
        <v>74</v>
      </c>
      <c r="L1643" s="71">
        <v>93</v>
      </c>
      <c r="M1643" s="71">
        <v>30</v>
      </c>
      <c r="N1643" s="71">
        <v>10</v>
      </c>
      <c r="O1643" s="71">
        <v>0</v>
      </c>
      <c r="P1643" s="71">
        <v>24</v>
      </c>
      <c r="Q1643" s="71">
        <v>55</v>
      </c>
      <c r="R1643" s="71">
        <v>141</v>
      </c>
      <c r="S1643" s="71" t="s">
        <v>636</v>
      </c>
      <c r="T1643" s="73">
        <v>45702</v>
      </c>
      <c r="U1643" s="71" t="s">
        <v>4194</v>
      </c>
      <c r="V1643" s="71" t="b">
        <v>0</v>
      </c>
    </row>
    <row r="1644" spans="1:22" ht="17.25">
      <c r="A1644" s="70">
        <v>1188</v>
      </c>
      <c r="B1644" s="70" t="s">
        <v>635</v>
      </c>
      <c r="C1644" s="70" t="s">
        <v>182</v>
      </c>
      <c r="D1644" s="70" t="s">
        <v>634</v>
      </c>
      <c r="E1644" s="70" t="s">
        <v>180</v>
      </c>
      <c r="F1644" s="71">
        <v>62</v>
      </c>
      <c r="G1644" s="71">
        <v>1</v>
      </c>
      <c r="H1644" s="72" t="s">
        <v>4320</v>
      </c>
      <c r="I1644" s="71" t="b">
        <v>1</v>
      </c>
      <c r="J1644" s="71">
        <v>77</v>
      </c>
      <c r="K1644" s="71">
        <v>57</v>
      </c>
      <c r="L1644" s="71">
        <v>72</v>
      </c>
      <c r="M1644" s="71">
        <v>24</v>
      </c>
      <c r="N1644" s="71">
        <v>33</v>
      </c>
      <c r="O1644" s="71">
        <v>0</v>
      </c>
      <c r="P1644" s="71">
        <v>14</v>
      </c>
      <c r="Q1644" s="71">
        <v>46</v>
      </c>
      <c r="R1644" s="71">
        <v>112</v>
      </c>
      <c r="S1644" s="71" t="s">
        <v>48</v>
      </c>
      <c r="T1644" s="73" t="s">
        <v>4330</v>
      </c>
      <c r="U1644" s="71" t="s">
        <v>3683</v>
      </c>
      <c r="V1644" s="71" t="b">
        <v>0</v>
      </c>
    </row>
    <row r="1645" spans="1:22" ht="17.25">
      <c r="A1645" s="70">
        <v>1189</v>
      </c>
      <c r="B1645" s="70" t="s">
        <v>633</v>
      </c>
      <c r="C1645" s="70" t="s">
        <v>4842</v>
      </c>
      <c r="D1645" s="70" t="s">
        <v>632</v>
      </c>
      <c r="E1645" s="70" t="s">
        <v>52</v>
      </c>
      <c r="F1645" s="71">
        <v>9</v>
      </c>
      <c r="G1645" s="71">
        <v>49</v>
      </c>
      <c r="H1645" s="72">
        <v>0.17152777777777778</v>
      </c>
      <c r="I1645" s="71" t="b">
        <v>0</v>
      </c>
      <c r="J1645" s="71">
        <v>74</v>
      </c>
      <c r="K1645" s="71">
        <v>56</v>
      </c>
      <c r="L1645" s="71">
        <v>91</v>
      </c>
      <c r="M1645" s="71">
        <v>11</v>
      </c>
      <c r="N1645" s="71">
        <v>11</v>
      </c>
      <c r="O1645" s="71">
        <v>0</v>
      </c>
      <c r="P1645" s="71">
        <v>20</v>
      </c>
      <c r="Q1645" s="71">
        <v>89</v>
      </c>
      <c r="R1645" s="71">
        <v>134</v>
      </c>
      <c r="S1645" s="71" t="s">
        <v>96</v>
      </c>
      <c r="T1645" s="73">
        <v>41625</v>
      </c>
      <c r="U1645" s="71" t="s">
        <v>4195</v>
      </c>
      <c r="V1645" s="71" t="b">
        <v>0</v>
      </c>
    </row>
    <row r="1646" spans="1:22" ht="17.25">
      <c r="A1646" s="70">
        <v>1189</v>
      </c>
      <c r="B1646" s="70" t="s">
        <v>633</v>
      </c>
      <c r="C1646" s="70" t="s">
        <v>54</v>
      </c>
      <c r="D1646" s="70" t="s">
        <v>632</v>
      </c>
      <c r="E1646" s="70" t="s">
        <v>52</v>
      </c>
      <c r="F1646" s="71">
        <v>9</v>
      </c>
      <c r="G1646" s="71">
        <v>49</v>
      </c>
      <c r="H1646" s="72">
        <v>0.17152777777777778</v>
      </c>
      <c r="I1646" s="71" t="b">
        <v>0</v>
      </c>
      <c r="J1646" s="71">
        <v>74</v>
      </c>
      <c r="K1646" s="71">
        <v>56</v>
      </c>
      <c r="L1646" s="71">
        <v>91</v>
      </c>
      <c r="M1646" s="71">
        <v>11</v>
      </c>
      <c r="N1646" s="71">
        <v>11</v>
      </c>
      <c r="O1646" s="71">
        <v>0</v>
      </c>
      <c r="P1646" s="71">
        <v>20</v>
      </c>
      <c r="Q1646" s="71">
        <v>89</v>
      </c>
      <c r="R1646" s="71">
        <v>134</v>
      </c>
      <c r="S1646" s="71" t="s">
        <v>96</v>
      </c>
      <c r="T1646" s="73">
        <v>41625</v>
      </c>
      <c r="U1646" s="71" t="s">
        <v>4195</v>
      </c>
      <c r="V1646" s="71" t="b">
        <v>0</v>
      </c>
    </row>
    <row r="1647" spans="1:22" ht="17.25">
      <c r="A1647" s="70">
        <v>1190</v>
      </c>
      <c r="B1647" s="70" t="s">
        <v>631</v>
      </c>
      <c r="C1647" s="70" t="s">
        <v>629</v>
      </c>
      <c r="D1647" s="70" t="s">
        <v>630</v>
      </c>
      <c r="E1647" s="70" t="s">
        <v>629</v>
      </c>
      <c r="F1647" s="71">
        <v>100</v>
      </c>
      <c r="G1647" s="71">
        <v>92</v>
      </c>
      <c r="H1647" s="72">
        <v>0.14027777777777778</v>
      </c>
      <c r="I1647" s="71" t="b">
        <v>0</v>
      </c>
      <c r="J1647" s="71">
        <v>56</v>
      </c>
      <c r="K1647" s="71">
        <v>87</v>
      </c>
      <c r="L1647" s="71">
        <v>91</v>
      </c>
      <c r="M1647" s="71">
        <v>4</v>
      </c>
      <c r="N1647" s="71">
        <v>0</v>
      </c>
      <c r="O1647" s="71">
        <v>1</v>
      </c>
      <c r="P1647" s="71">
        <v>10</v>
      </c>
      <c r="Q1647" s="71">
        <v>57</v>
      </c>
      <c r="R1647" s="71">
        <v>105</v>
      </c>
      <c r="S1647" s="71" t="s">
        <v>74</v>
      </c>
      <c r="T1647" s="73">
        <v>41800</v>
      </c>
      <c r="U1647" s="71" t="s">
        <v>4196</v>
      </c>
      <c r="V1647" s="71" t="b">
        <v>0</v>
      </c>
    </row>
    <row r="1648" spans="1:22" ht="17.25">
      <c r="A1648" s="70">
        <v>1191</v>
      </c>
      <c r="B1648" s="70" t="s">
        <v>628</v>
      </c>
      <c r="C1648" s="70" t="s">
        <v>373</v>
      </c>
      <c r="D1648" s="70" t="s">
        <v>627</v>
      </c>
      <c r="E1648" s="70" t="s">
        <v>371</v>
      </c>
      <c r="F1648" s="71">
        <v>1</v>
      </c>
      <c r="G1648" s="71">
        <v>124</v>
      </c>
      <c r="H1648" s="72">
        <v>0.14583333333333334</v>
      </c>
      <c r="I1648" s="71" t="b">
        <v>0</v>
      </c>
      <c r="J1648" s="71">
        <v>75</v>
      </c>
      <c r="K1648" s="71">
        <v>51</v>
      </c>
      <c r="L1648" s="71">
        <v>83</v>
      </c>
      <c r="M1648" s="71">
        <v>4</v>
      </c>
      <c r="N1648" s="71">
        <v>20</v>
      </c>
      <c r="O1648" s="71">
        <v>6</v>
      </c>
      <c r="P1648" s="71">
        <v>12</v>
      </c>
      <c r="Q1648" s="71">
        <v>44</v>
      </c>
      <c r="R1648" s="71">
        <v>105</v>
      </c>
      <c r="S1648" s="71" t="s">
        <v>96</v>
      </c>
      <c r="T1648" s="73">
        <v>45429</v>
      </c>
      <c r="U1648" s="71" t="s">
        <v>4145</v>
      </c>
      <c r="V1648" s="71" t="b">
        <v>0</v>
      </c>
    </row>
    <row r="1649" spans="1:22" ht="17.25">
      <c r="A1649" s="70">
        <v>1192</v>
      </c>
      <c r="B1649" s="70" t="s">
        <v>626</v>
      </c>
      <c r="C1649" s="70" t="s">
        <v>32</v>
      </c>
      <c r="D1649" s="70" t="s">
        <v>625</v>
      </c>
      <c r="E1649" s="70" t="s">
        <v>30</v>
      </c>
      <c r="F1649" s="71">
        <v>17</v>
      </c>
      <c r="G1649" s="71">
        <v>103</v>
      </c>
      <c r="H1649" s="72">
        <v>0.11388888888888889</v>
      </c>
      <c r="I1649" s="71" t="b">
        <v>0</v>
      </c>
      <c r="J1649" s="71">
        <v>74</v>
      </c>
      <c r="K1649" s="71">
        <v>70</v>
      </c>
      <c r="L1649" s="71">
        <v>92</v>
      </c>
      <c r="M1649" s="71">
        <v>3</v>
      </c>
      <c r="N1649" s="71">
        <v>3</v>
      </c>
      <c r="O1649" s="71">
        <v>0</v>
      </c>
      <c r="P1649" s="71">
        <v>22</v>
      </c>
      <c r="Q1649" s="71">
        <v>73</v>
      </c>
      <c r="R1649" s="71">
        <v>139</v>
      </c>
      <c r="S1649" s="71" t="s">
        <v>96</v>
      </c>
      <c r="T1649" s="73">
        <v>44876</v>
      </c>
      <c r="U1649" s="71" t="s">
        <v>4197</v>
      </c>
      <c r="V1649" s="71" t="b">
        <v>0</v>
      </c>
    </row>
    <row r="1650" spans="1:22" ht="17.25">
      <c r="A1650" s="70">
        <v>1193</v>
      </c>
      <c r="B1650" s="70" t="s">
        <v>624</v>
      </c>
      <c r="C1650" s="70" t="s">
        <v>54</v>
      </c>
      <c r="D1650" s="70" t="s">
        <v>623</v>
      </c>
      <c r="E1650" s="70" t="s">
        <v>52</v>
      </c>
      <c r="F1650" s="71">
        <v>108</v>
      </c>
      <c r="G1650" s="71">
        <v>1</v>
      </c>
      <c r="H1650" s="72">
        <v>0.14930555555555555</v>
      </c>
      <c r="I1650" s="71" t="b">
        <v>0</v>
      </c>
      <c r="J1650" s="71">
        <v>69</v>
      </c>
      <c r="K1650" s="71">
        <v>85</v>
      </c>
      <c r="L1650" s="71">
        <v>96</v>
      </c>
      <c r="M1650" s="71">
        <v>4</v>
      </c>
      <c r="N1650" s="71">
        <v>6</v>
      </c>
      <c r="O1650" s="71">
        <v>0</v>
      </c>
      <c r="P1650" s="71">
        <v>8</v>
      </c>
      <c r="Q1650" s="71">
        <v>76</v>
      </c>
      <c r="R1650" s="71">
        <v>146</v>
      </c>
      <c r="S1650" s="71" t="s">
        <v>96</v>
      </c>
      <c r="T1650" s="73">
        <v>39951</v>
      </c>
      <c r="U1650" s="71" t="s">
        <v>4022</v>
      </c>
      <c r="V1650" s="71" t="b">
        <v>0</v>
      </c>
    </row>
    <row r="1651" spans="1:22" ht="17.25">
      <c r="A1651" s="70">
        <v>1194</v>
      </c>
      <c r="B1651" s="70" t="s">
        <v>622</v>
      </c>
      <c r="C1651" s="70" t="s">
        <v>621</v>
      </c>
      <c r="D1651" s="70" t="s">
        <v>620</v>
      </c>
      <c r="E1651" s="70" t="s">
        <v>619</v>
      </c>
      <c r="F1651" s="71">
        <v>88</v>
      </c>
      <c r="G1651" s="71">
        <v>1</v>
      </c>
      <c r="H1651" s="72">
        <v>0.12847222222222221</v>
      </c>
      <c r="I1651" s="71" t="b">
        <v>0</v>
      </c>
      <c r="J1651" s="71">
        <v>76</v>
      </c>
      <c r="K1651" s="71">
        <v>89</v>
      </c>
      <c r="L1651" s="71">
        <v>92</v>
      </c>
      <c r="M1651" s="71">
        <v>8</v>
      </c>
      <c r="N1651" s="71">
        <v>8</v>
      </c>
      <c r="O1651" s="71">
        <v>0</v>
      </c>
      <c r="P1651" s="71">
        <v>4</v>
      </c>
      <c r="Q1651" s="71">
        <v>75</v>
      </c>
      <c r="R1651" s="71">
        <v>106</v>
      </c>
      <c r="S1651" s="71" t="s">
        <v>96</v>
      </c>
      <c r="T1651" s="73">
        <v>45702</v>
      </c>
      <c r="U1651" s="71" t="s">
        <v>4198</v>
      </c>
      <c r="V1651" s="71" t="b">
        <v>0</v>
      </c>
    </row>
    <row r="1652" spans="1:22" ht="17.25">
      <c r="A1652" s="70">
        <v>1195</v>
      </c>
      <c r="B1652" s="70" t="s">
        <v>618</v>
      </c>
      <c r="C1652" s="70" t="s">
        <v>419</v>
      </c>
      <c r="D1652" s="70" t="s">
        <v>617</v>
      </c>
      <c r="E1652" s="70" t="s">
        <v>417</v>
      </c>
      <c r="F1652" s="71">
        <v>11</v>
      </c>
      <c r="G1652" s="71">
        <v>55</v>
      </c>
      <c r="H1652" s="72">
        <v>0.12847222222222221</v>
      </c>
      <c r="I1652" s="71" t="b">
        <v>1</v>
      </c>
      <c r="J1652" s="71">
        <v>80</v>
      </c>
      <c r="K1652" s="71">
        <v>75</v>
      </c>
      <c r="L1652" s="71">
        <v>80</v>
      </c>
      <c r="M1652" s="71">
        <v>10</v>
      </c>
      <c r="N1652" s="71">
        <v>12</v>
      </c>
      <c r="O1652" s="71">
        <v>0</v>
      </c>
      <c r="P1652" s="71">
        <v>12</v>
      </c>
      <c r="Q1652" s="71">
        <v>60</v>
      </c>
      <c r="R1652" s="71">
        <v>108</v>
      </c>
      <c r="S1652" s="71" t="s">
        <v>61</v>
      </c>
      <c r="T1652" s="73">
        <v>45702</v>
      </c>
      <c r="U1652" s="71" t="s">
        <v>4199</v>
      </c>
      <c r="V1652" s="71" t="b">
        <v>0</v>
      </c>
    </row>
    <row r="1653" spans="1:22" ht="17.25">
      <c r="A1653" s="70">
        <v>1196</v>
      </c>
      <c r="B1653" s="70" t="s">
        <v>616</v>
      </c>
      <c r="C1653" s="70" t="s">
        <v>615</v>
      </c>
      <c r="D1653" s="70" t="s">
        <v>614</v>
      </c>
      <c r="E1653" s="70" t="s">
        <v>613</v>
      </c>
      <c r="F1653" s="71">
        <v>33</v>
      </c>
      <c r="G1653" s="71">
        <v>10</v>
      </c>
      <c r="H1653" s="72">
        <v>0.11666666666666667</v>
      </c>
      <c r="I1653" s="71" t="b">
        <v>0</v>
      </c>
      <c r="J1653" s="71">
        <v>52</v>
      </c>
      <c r="K1653" s="71">
        <v>50</v>
      </c>
      <c r="L1653" s="71">
        <v>73</v>
      </c>
      <c r="M1653" s="71">
        <v>3</v>
      </c>
      <c r="N1653" s="71">
        <v>55</v>
      </c>
      <c r="O1653" s="71">
        <v>0</v>
      </c>
      <c r="P1653" s="71">
        <v>15</v>
      </c>
      <c r="Q1653" s="71">
        <v>72</v>
      </c>
      <c r="R1653" s="71">
        <v>120</v>
      </c>
      <c r="S1653" s="71" t="s">
        <v>29</v>
      </c>
      <c r="T1653" s="73">
        <v>45597</v>
      </c>
      <c r="U1653" s="71" t="s">
        <v>3738</v>
      </c>
      <c r="V1653" s="71" t="b">
        <v>1</v>
      </c>
    </row>
    <row r="1654" spans="1:22" ht="17.25">
      <c r="A1654" s="70">
        <v>1197</v>
      </c>
      <c r="B1654" s="70" t="s">
        <v>612</v>
      </c>
      <c r="C1654" s="70" t="s">
        <v>54</v>
      </c>
      <c r="D1654" s="70" t="s">
        <v>611</v>
      </c>
      <c r="E1654" s="70" t="s">
        <v>52</v>
      </c>
      <c r="F1654" s="71">
        <v>6</v>
      </c>
      <c r="G1654" s="71">
        <v>22</v>
      </c>
      <c r="H1654" s="72">
        <v>0.15625</v>
      </c>
      <c r="I1654" s="71" t="b">
        <v>0</v>
      </c>
      <c r="J1654" s="71">
        <v>73</v>
      </c>
      <c r="K1654" s="71">
        <v>86</v>
      </c>
      <c r="L1654" s="71">
        <v>91</v>
      </c>
      <c r="M1654" s="71">
        <v>14</v>
      </c>
      <c r="N1654" s="71">
        <v>4</v>
      </c>
      <c r="O1654" s="71">
        <v>0</v>
      </c>
      <c r="P1654" s="71">
        <v>11</v>
      </c>
      <c r="Q1654" s="71">
        <v>54</v>
      </c>
      <c r="R1654" s="71">
        <v>65</v>
      </c>
      <c r="S1654" s="71" t="s">
        <v>96</v>
      </c>
      <c r="T1654" s="73">
        <v>40196</v>
      </c>
      <c r="U1654" s="71" t="s">
        <v>3477</v>
      </c>
      <c r="V1654" s="71" t="b">
        <v>0</v>
      </c>
    </row>
    <row r="1655" spans="1:22" ht="17.25">
      <c r="A1655" s="70">
        <v>1197</v>
      </c>
      <c r="B1655" s="70" t="s">
        <v>612</v>
      </c>
      <c r="C1655" s="70" t="s">
        <v>4843</v>
      </c>
      <c r="D1655" s="70" t="s">
        <v>611</v>
      </c>
      <c r="E1655" s="70" t="s">
        <v>52</v>
      </c>
      <c r="F1655" s="71">
        <v>6</v>
      </c>
      <c r="G1655" s="71">
        <v>22</v>
      </c>
      <c r="H1655" s="72">
        <v>0.15625</v>
      </c>
      <c r="I1655" s="71" t="b">
        <v>0</v>
      </c>
      <c r="J1655" s="71">
        <v>73</v>
      </c>
      <c r="K1655" s="71">
        <v>86</v>
      </c>
      <c r="L1655" s="71">
        <v>91</v>
      </c>
      <c r="M1655" s="71">
        <v>14</v>
      </c>
      <c r="N1655" s="71">
        <v>4</v>
      </c>
      <c r="O1655" s="71">
        <v>0</v>
      </c>
      <c r="P1655" s="71">
        <v>11</v>
      </c>
      <c r="Q1655" s="71">
        <v>54</v>
      </c>
      <c r="R1655" s="71">
        <v>65</v>
      </c>
      <c r="S1655" s="71" t="s">
        <v>96</v>
      </c>
      <c r="T1655" s="73">
        <v>40196</v>
      </c>
      <c r="U1655" s="71" t="s">
        <v>3477</v>
      </c>
      <c r="V1655" s="71" t="b">
        <v>0</v>
      </c>
    </row>
    <row r="1656" spans="1:22" ht="17.25">
      <c r="A1656" s="70">
        <v>1199</v>
      </c>
      <c r="B1656" s="70" t="s">
        <v>609</v>
      </c>
      <c r="C1656" s="70" t="s">
        <v>2682</v>
      </c>
      <c r="D1656" s="70" t="s">
        <v>608</v>
      </c>
      <c r="E1656" s="70" t="s">
        <v>607</v>
      </c>
      <c r="F1656" s="71">
        <v>21</v>
      </c>
      <c r="G1656" s="71">
        <v>15</v>
      </c>
      <c r="H1656" s="72" t="s">
        <v>4317</v>
      </c>
      <c r="I1656" s="71" t="b">
        <v>0</v>
      </c>
      <c r="J1656" s="71">
        <v>78</v>
      </c>
      <c r="K1656" s="71">
        <v>81</v>
      </c>
      <c r="L1656" s="71">
        <v>77</v>
      </c>
      <c r="M1656" s="71">
        <v>9</v>
      </c>
      <c r="N1656" s="71">
        <v>14</v>
      </c>
      <c r="O1656" s="71">
        <v>0</v>
      </c>
      <c r="P1656" s="71">
        <v>20</v>
      </c>
      <c r="Q1656" s="71">
        <v>73</v>
      </c>
      <c r="R1656" s="71">
        <v>125</v>
      </c>
      <c r="S1656" s="71" t="s">
        <v>115</v>
      </c>
      <c r="T1656" s="73" t="s">
        <v>4325</v>
      </c>
      <c r="U1656" s="71" t="s">
        <v>4200</v>
      </c>
      <c r="V1656" s="71" t="b">
        <v>0</v>
      </c>
    </row>
    <row r="1657" spans="1:22" ht="17.25">
      <c r="A1657" s="70">
        <v>1199</v>
      </c>
      <c r="B1657" s="70" t="s">
        <v>609</v>
      </c>
      <c r="C1657" s="70" t="s">
        <v>570</v>
      </c>
      <c r="D1657" s="70" t="s">
        <v>608</v>
      </c>
      <c r="E1657" s="70" t="s">
        <v>607</v>
      </c>
      <c r="F1657" s="71">
        <v>21</v>
      </c>
      <c r="G1657" s="71">
        <v>15</v>
      </c>
      <c r="H1657" s="72" t="s">
        <v>4317</v>
      </c>
      <c r="I1657" s="71" t="b">
        <v>0</v>
      </c>
      <c r="J1657" s="71">
        <v>78</v>
      </c>
      <c r="K1657" s="71">
        <v>81</v>
      </c>
      <c r="L1657" s="71">
        <v>77</v>
      </c>
      <c r="M1657" s="71">
        <v>9</v>
      </c>
      <c r="N1657" s="71">
        <v>14</v>
      </c>
      <c r="O1657" s="71">
        <v>0</v>
      </c>
      <c r="P1657" s="71">
        <v>20</v>
      </c>
      <c r="Q1657" s="71">
        <v>73</v>
      </c>
      <c r="R1657" s="71">
        <v>125</v>
      </c>
      <c r="S1657" s="71" t="s">
        <v>115</v>
      </c>
      <c r="T1657" s="73" t="s">
        <v>4325</v>
      </c>
      <c r="U1657" s="71" t="s">
        <v>4200</v>
      </c>
      <c r="V1657" s="71" t="b">
        <v>0</v>
      </c>
    </row>
    <row r="1658" spans="1:22" ht="17.25">
      <c r="A1658" s="70">
        <v>1199</v>
      </c>
      <c r="B1658" s="70" t="s">
        <v>609</v>
      </c>
      <c r="C1658" s="70" t="s">
        <v>1433</v>
      </c>
      <c r="D1658" s="70" t="s">
        <v>608</v>
      </c>
      <c r="E1658" s="70" t="s">
        <v>607</v>
      </c>
      <c r="F1658" s="71">
        <v>21</v>
      </c>
      <c r="G1658" s="71">
        <v>15</v>
      </c>
      <c r="H1658" s="72" t="s">
        <v>4317</v>
      </c>
      <c r="I1658" s="71" t="b">
        <v>0</v>
      </c>
      <c r="J1658" s="71">
        <v>78</v>
      </c>
      <c r="K1658" s="71">
        <v>81</v>
      </c>
      <c r="L1658" s="71">
        <v>77</v>
      </c>
      <c r="M1658" s="71">
        <v>9</v>
      </c>
      <c r="N1658" s="71">
        <v>14</v>
      </c>
      <c r="O1658" s="71">
        <v>0</v>
      </c>
      <c r="P1658" s="71">
        <v>20</v>
      </c>
      <c r="Q1658" s="71">
        <v>73</v>
      </c>
      <c r="R1658" s="71">
        <v>125</v>
      </c>
      <c r="S1658" s="71" t="s">
        <v>115</v>
      </c>
      <c r="T1658" s="73" t="s">
        <v>4325</v>
      </c>
      <c r="U1658" s="71" t="s">
        <v>4200</v>
      </c>
      <c r="V1658" s="71" t="b">
        <v>0</v>
      </c>
    </row>
    <row r="1659" spans="1:22" ht="17.25">
      <c r="A1659" s="70">
        <v>1200</v>
      </c>
      <c r="B1659" s="70" t="s">
        <v>606</v>
      </c>
      <c r="C1659" s="70" t="s">
        <v>159</v>
      </c>
      <c r="D1659" s="70" t="s">
        <v>605</v>
      </c>
      <c r="E1659" s="70" t="s">
        <v>157</v>
      </c>
      <c r="F1659" s="71">
        <v>41</v>
      </c>
      <c r="G1659" s="71">
        <v>223</v>
      </c>
      <c r="H1659" s="72">
        <v>0.17916666666666667</v>
      </c>
      <c r="I1659" s="71" t="b">
        <v>0</v>
      </c>
      <c r="J1659" s="71">
        <v>61</v>
      </c>
      <c r="K1659" s="71">
        <v>38</v>
      </c>
      <c r="L1659" s="71">
        <v>83</v>
      </c>
      <c r="M1659" s="71">
        <v>5</v>
      </c>
      <c r="N1659" s="71">
        <v>61</v>
      </c>
      <c r="O1659" s="71">
        <v>0</v>
      </c>
      <c r="P1659" s="71">
        <v>10</v>
      </c>
      <c r="Q1659" s="71">
        <v>20</v>
      </c>
      <c r="R1659" s="71">
        <v>108</v>
      </c>
      <c r="S1659" s="71" t="s">
        <v>96</v>
      </c>
      <c r="T1659" s="73">
        <v>41810</v>
      </c>
      <c r="U1659" s="71" t="s">
        <v>4201</v>
      </c>
      <c r="V1659" s="71" t="b">
        <v>0</v>
      </c>
    </row>
    <row r="1660" spans="1:22" ht="17.25">
      <c r="A1660" s="70">
        <v>1201</v>
      </c>
      <c r="B1660" s="70" t="s">
        <v>604</v>
      </c>
      <c r="C1660" s="70" t="s">
        <v>51</v>
      </c>
      <c r="D1660" s="70" t="s">
        <v>603</v>
      </c>
      <c r="E1660" s="70" t="s">
        <v>49</v>
      </c>
      <c r="F1660" s="71">
        <v>13</v>
      </c>
      <c r="G1660" s="71">
        <v>280</v>
      </c>
      <c r="H1660" s="72">
        <v>0.16875000000000001</v>
      </c>
      <c r="I1660" s="71" t="b">
        <v>1</v>
      </c>
      <c r="J1660" s="71">
        <v>84</v>
      </c>
      <c r="K1660" s="71">
        <v>73</v>
      </c>
      <c r="L1660" s="71">
        <v>94</v>
      </c>
      <c r="M1660" s="71">
        <v>5</v>
      </c>
      <c r="N1660" s="71">
        <v>8</v>
      </c>
      <c r="O1660" s="71">
        <v>0</v>
      </c>
      <c r="P1660" s="71">
        <v>15</v>
      </c>
      <c r="Q1660" s="71">
        <v>43</v>
      </c>
      <c r="R1660" s="71">
        <v>130</v>
      </c>
      <c r="S1660" s="71" t="s">
        <v>48</v>
      </c>
      <c r="T1660" s="73">
        <v>42615</v>
      </c>
      <c r="U1660" s="71" t="s">
        <v>4202</v>
      </c>
      <c r="V1660" s="71" t="b">
        <v>0</v>
      </c>
    </row>
    <row r="1661" spans="1:22" ht="17.25">
      <c r="A1661" s="70">
        <v>1202</v>
      </c>
      <c r="B1661" s="70" t="s">
        <v>602</v>
      </c>
      <c r="C1661" s="70" t="s">
        <v>601</v>
      </c>
      <c r="D1661" s="70" t="s">
        <v>600</v>
      </c>
      <c r="E1661" s="70" t="s">
        <v>599</v>
      </c>
      <c r="F1661" s="71">
        <v>115</v>
      </c>
      <c r="G1661" s="71">
        <v>5</v>
      </c>
      <c r="H1661" s="72">
        <v>0.15833333333333333</v>
      </c>
      <c r="I1661" s="71" t="b">
        <v>0</v>
      </c>
      <c r="J1661" s="71">
        <v>59</v>
      </c>
      <c r="K1661" s="71">
        <v>34</v>
      </c>
      <c r="L1661" s="71">
        <v>87</v>
      </c>
      <c r="M1661" s="71">
        <v>3</v>
      </c>
      <c r="N1661" s="71">
        <v>75</v>
      </c>
      <c r="O1661" s="71">
        <v>0</v>
      </c>
      <c r="P1661" s="71">
        <v>10</v>
      </c>
      <c r="Q1661" s="71">
        <v>21</v>
      </c>
      <c r="R1661" s="71">
        <v>110</v>
      </c>
      <c r="S1661" s="71" t="s">
        <v>74</v>
      </c>
      <c r="T1661" s="73">
        <v>45520</v>
      </c>
      <c r="U1661" s="71" t="s">
        <v>4203</v>
      </c>
      <c r="V1661" s="71" t="b">
        <v>0</v>
      </c>
    </row>
    <row r="1662" spans="1:22" ht="17.25">
      <c r="A1662" s="70">
        <v>1205</v>
      </c>
      <c r="B1662" s="70" t="s">
        <v>596</v>
      </c>
      <c r="C1662" s="70" t="s">
        <v>595</v>
      </c>
      <c r="D1662" s="70" t="s">
        <v>594</v>
      </c>
      <c r="E1662" s="70" t="s">
        <v>593</v>
      </c>
      <c r="F1662" s="71">
        <v>38</v>
      </c>
      <c r="G1662" s="71">
        <v>11</v>
      </c>
      <c r="H1662" s="72" t="s">
        <v>4315</v>
      </c>
      <c r="I1662" s="71" t="b">
        <v>0</v>
      </c>
      <c r="J1662" s="71">
        <v>72</v>
      </c>
      <c r="K1662" s="71">
        <v>74</v>
      </c>
      <c r="L1662" s="71">
        <v>75</v>
      </c>
      <c r="M1662" s="71">
        <v>5</v>
      </c>
      <c r="N1662" s="71">
        <v>15</v>
      </c>
      <c r="O1662" s="71">
        <v>0</v>
      </c>
      <c r="P1662" s="71">
        <v>11</v>
      </c>
      <c r="Q1662" s="71">
        <v>68</v>
      </c>
      <c r="R1662" s="71">
        <v>122</v>
      </c>
      <c r="S1662" s="71" t="s">
        <v>96</v>
      </c>
      <c r="T1662" s="73" t="s">
        <v>4339</v>
      </c>
      <c r="U1662" s="71" t="s">
        <v>4204</v>
      </c>
      <c r="V1662" s="71" t="b">
        <v>0</v>
      </c>
    </row>
    <row r="1663" spans="1:22" ht="17.25">
      <c r="A1663" s="70">
        <v>1206</v>
      </c>
      <c r="B1663" s="70" t="s">
        <v>592</v>
      </c>
      <c r="C1663" s="70" t="s">
        <v>1603</v>
      </c>
      <c r="D1663" s="70" t="s">
        <v>591</v>
      </c>
      <c r="E1663" s="70" t="s">
        <v>188</v>
      </c>
      <c r="F1663" s="71">
        <v>5</v>
      </c>
      <c r="G1663" s="71">
        <v>75</v>
      </c>
      <c r="H1663" s="72">
        <v>0.12847222222222221</v>
      </c>
      <c r="I1663" s="71" t="b">
        <v>1</v>
      </c>
      <c r="J1663" s="71">
        <v>89</v>
      </c>
      <c r="K1663" s="71">
        <v>64</v>
      </c>
      <c r="L1663" s="71">
        <v>94</v>
      </c>
      <c r="M1663" s="71">
        <v>13</v>
      </c>
      <c r="N1663" s="71">
        <v>54</v>
      </c>
      <c r="O1663" s="71">
        <v>0</v>
      </c>
      <c r="P1663" s="71">
        <v>10</v>
      </c>
      <c r="Q1663" s="71">
        <v>66</v>
      </c>
      <c r="R1663" s="71">
        <v>99</v>
      </c>
      <c r="S1663" s="71" t="s">
        <v>128</v>
      </c>
      <c r="T1663" s="73">
        <v>45702</v>
      </c>
      <c r="U1663" s="71" t="s">
        <v>4205</v>
      </c>
      <c r="V1663" s="71" t="b">
        <v>0</v>
      </c>
    </row>
    <row r="1664" spans="1:22" ht="17.25">
      <c r="A1664" s="70">
        <v>1206</v>
      </c>
      <c r="B1664" s="70" t="s">
        <v>592</v>
      </c>
      <c r="C1664" s="70" t="s">
        <v>4552</v>
      </c>
      <c r="D1664" s="70" t="s">
        <v>591</v>
      </c>
      <c r="E1664" s="70" t="s">
        <v>188</v>
      </c>
      <c r="F1664" s="71">
        <v>5</v>
      </c>
      <c r="G1664" s="71">
        <v>75</v>
      </c>
      <c r="H1664" s="72">
        <v>0.12847222222222221</v>
      </c>
      <c r="I1664" s="71" t="b">
        <v>1</v>
      </c>
      <c r="J1664" s="71">
        <v>89</v>
      </c>
      <c r="K1664" s="71">
        <v>64</v>
      </c>
      <c r="L1664" s="71">
        <v>94</v>
      </c>
      <c r="M1664" s="71">
        <v>13</v>
      </c>
      <c r="N1664" s="71">
        <v>54</v>
      </c>
      <c r="O1664" s="71">
        <v>0</v>
      </c>
      <c r="P1664" s="71">
        <v>10</v>
      </c>
      <c r="Q1664" s="71">
        <v>66</v>
      </c>
      <c r="R1664" s="71">
        <v>99</v>
      </c>
      <c r="S1664" s="71" t="s">
        <v>128</v>
      </c>
      <c r="T1664" s="73">
        <v>45702</v>
      </c>
      <c r="U1664" s="71" t="s">
        <v>4205</v>
      </c>
      <c r="V1664" s="71" t="b">
        <v>0</v>
      </c>
    </row>
    <row r="1665" spans="1:22" ht="17.25">
      <c r="A1665" s="70">
        <v>1206</v>
      </c>
      <c r="B1665" s="70" t="s">
        <v>592</v>
      </c>
      <c r="C1665" s="70" t="s">
        <v>4540</v>
      </c>
      <c r="D1665" s="70" t="s">
        <v>591</v>
      </c>
      <c r="E1665" s="70" t="s">
        <v>188</v>
      </c>
      <c r="F1665" s="71">
        <v>5</v>
      </c>
      <c r="G1665" s="71">
        <v>75</v>
      </c>
      <c r="H1665" s="72">
        <v>0.12847222222222221</v>
      </c>
      <c r="I1665" s="71" t="b">
        <v>1</v>
      </c>
      <c r="J1665" s="71">
        <v>89</v>
      </c>
      <c r="K1665" s="71">
        <v>64</v>
      </c>
      <c r="L1665" s="71">
        <v>94</v>
      </c>
      <c r="M1665" s="71">
        <v>13</v>
      </c>
      <c r="N1665" s="71">
        <v>54</v>
      </c>
      <c r="O1665" s="71">
        <v>0</v>
      </c>
      <c r="P1665" s="71">
        <v>10</v>
      </c>
      <c r="Q1665" s="71">
        <v>66</v>
      </c>
      <c r="R1665" s="71">
        <v>99</v>
      </c>
      <c r="S1665" s="71" t="s">
        <v>128</v>
      </c>
      <c r="T1665" s="73">
        <v>45702</v>
      </c>
      <c r="U1665" s="71" t="s">
        <v>4205</v>
      </c>
      <c r="V1665" s="71" t="b">
        <v>0</v>
      </c>
    </row>
    <row r="1666" spans="1:22" ht="17.25">
      <c r="A1666" s="70">
        <v>1207</v>
      </c>
      <c r="B1666" s="70" t="s">
        <v>590</v>
      </c>
      <c r="C1666" s="70" t="s">
        <v>589</v>
      </c>
      <c r="D1666" s="70" t="s">
        <v>588</v>
      </c>
      <c r="E1666" s="70" t="s">
        <v>171</v>
      </c>
      <c r="F1666" s="71">
        <v>20</v>
      </c>
      <c r="G1666" s="71">
        <v>116</v>
      </c>
      <c r="H1666" s="72">
        <v>0.1423611111111111</v>
      </c>
      <c r="I1666" s="71" t="b">
        <v>0</v>
      </c>
      <c r="J1666" s="71">
        <v>74</v>
      </c>
      <c r="K1666" s="71">
        <v>80</v>
      </c>
      <c r="L1666" s="71">
        <v>89</v>
      </c>
      <c r="M1666" s="71">
        <v>7</v>
      </c>
      <c r="N1666" s="71">
        <v>2</v>
      </c>
      <c r="O1666" s="71">
        <v>0</v>
      </c>
      <c r="P1666" s="71">
        <v>5</v>
      </c>
      <c r="Q1666" s="71">
        <v>43</v>
      </c>
      <c r="R1666" s="71">
        <v>105</v>
      </c>
      <c r="S1666" s="71" t="s">
        <v>128</v>
      </c>
      <c r="T1666" s="73">
        <v>42629</v>
      </c>
      <c r="U1666" s="71" t="s">
        <v>4206</v>
      </c>
      <c r="V1666" s="71" t="b">
        <v>0</v>
      </c>
    </row>
    <row r="1667" spans="1:22" ht="17.25">
      <c r="A1667" s="70">
        <v>1208</v>
      </c>
      <c r="B1667" s="70" t="s">
        <v>587</v>
      </c>
      <c r="C1667" s="70" t="s">
        <v>67</v>
      </c>
      <c r="D1667" s="70" t="s">
        <v>586</v>
      </c>
      <c r="E1667" s="70" t="s">
        <v>65</v>
      </c>
      <c r="F1667" s="71">
        <v>2</v>
      </c>
      <c r="G1667" s="71">
        <v>5</v>
      </c>
      <c r="H1667" s="72">
        <v>0.11666666666666667</v>
      </c>
      <c r="I1667" s="71" t="b">
        <v>1</v>
      </c>
      <c r="J1667" s="71">
        <v>69</v>
      </c>
      <c r="K1667" s="71">
        <v>36</v>
      </c>
      <c r="L1667" s="71">
        <v>88</v>
      </c>
      <c r="M1667" s="71">
        <v>6</v>
      </c>
      <c r="N1667" s="71">
        <v>1</v>
      </c>
      <c r="O1667" s="71">
        <v>0</v>
      </c>
      <c r="P1667" s="71">
        <v>12</v>
      </c>
      <c r="Q1667" s="71">
        <v>6</v>
      </c>
      <c r="R1667" s="71">
        <v>154</v>
      </c>
      <c r="S1667" s="71" t="s">
        <v>48</v>
      </c>
      <c r="T1667" s="73">
        <v>45730</v>
      </c>
      <c r="U1667" s="71" t="s">
        <v>3912</v>
      </c>
      <c r="V1667" s="71" t="b">
        <v>0</v>
      </c>
    </row>
    <row r="1668" spans="1:22" ht="17.25">
      <c r="A1668" s="70">
        <v>1209</v>
      </c>
      <c r="B1668" s="70" t="s">
        <v>585</v>
      </c>
      <c r="C1668" s="70" t="s">
        <v>720</v>
      </c>
      <c r="D1668" s="70" t="s">
        <v>584</v>
      </c>
      <c r="E1668" s="70" t="s">
        <v>44</v>
      </c>
      <c r="F1668" s="71">
        <v>27</v>
      </c>
      <c r="G1668" s="71">
        <v>35</v>
      </c>
      <c r="H1668" s="72">
        <v>0.13750000000000001</v>
      </c>
      <c r="I1668" s="71" t="b">
        <v>1</v>
      </c>
      <c r="J1668" s="71">
        <v>39</v>
      </c>
      <c r="K1668" s="71">
        <v>56</v>
      </c>
      <c r="L1668" s="71">
        <v>89</v>
      </c>
      <c r="M1668" s="71">
        <v>4</v>
      </c>
      <c r="N1668" s="71">
        <v>29</v>
      </c>
      <c r="O1668" s="71">
        <v>0</v>
      </c>
      <c r="P1668" s="71">
        <v>13</v>
      </c>
      <c r="Q1668" s="71">
        <v>19</v>
      </c>
      <c r="R1668" s="71">
        <v>96</v>
      </c>
      <c r="S1668" s="71" t="s">
        <v>48</v>
      </c>
      <c r="T1668" s="73">
        <v>45593</v>
      </c>
      <c r="U1668" s="71" t="s">
        <v>3932</v>
      </c>
      <c r="V1668" s="71" t="b">
        <v>0</v>
      </c>
    </row>
    <row r="1669" spans="1:22" ht="17.25">
      <c r="A1669" s="70">
        <v>1209</v>
      </c>
      <c r="B1669" s="70" t="s">
        <v>585</v>
      </c>
      <c r="C1669" s="70" t="s">
        <v>4906</v>
      </c>
      <c r="D1669" s="70" t="s">
        <v>584</v>
      </c>
      <c r="E1669" s="70" t="s">
        <v>44</v>
      </c>
      <c r="F1669" s="71">
        <v>27</v>
      </c>
      <c r="G1669" s="71">
        <v>35</v>
      </c>
      <c r="H1669" s="72">
        <v>0.13750000000000001</v>
      </c>
      <c r="I1669" s="71" t="b">
        <v>1</v>
      </c>
      <c r="J1669" s="71">
        <v>39</v>
      </c>
      <c r="K1669" s="71">
        <v>56</v>
      </c>
      <c r="L1669" s="71">
        <v>89</v>
      </c>
      <c r="M1669" s="71">
        <v>4</v>
      </c>
      <c r="N1669" s="71">
        <v>29</v>
      </c>
      <c r="O1669" s="71">
        <v>0</v>
      </c>
      <c r="P1669" s="71">
        <v>13</v>
      </c>
      <c r="Q1669" s="71">
        <v>19</v>
      </c>
      <c r="R1669" s="71">
        <v>96</v>
      </c>
      <c r="S1669" s="71" t="s">
        <v>48</v>
      </c>
      <c r="T1669" s="73">
        <v>45593</v>
      </c>
      <c r="U1669" s="71" t="s">
        <v>3932</v>
      </c>
      <c r="V1669" s="71" t="b">
        <v>0</v>
      </c>
    </row>
    <row r="1670" spans="1:22" ht="17.25">
      <c r="A1670" s="70">
        <v>1210</v>
      </c>
      <c r="B1670" s="70" t="s">
        <v>583</v>
      </c>
      <c r="C1670" s="70" t="s">
        <v>318</v>
      </c>
      <c r="D1670" s="70" t="s">
        <v>582</v>
      </c>
      <c r="E1670" s="70" t="s">
        <v>316</v>
      </c>
      <c r="F1670" s="71">
        <v>9</v>
      </c>
      <c r="G1670" s="71">
        <v>8</v>
      </c>
      <c r="H1670" s="72" t="s">
        <v>4317</v>
      </c>
      <c r="I1670" s="71" t="b">
        <v>0</v>
      </c>
      <c r="J1670" s="71">
        <v>61</v>
      </c>
      <c r="K1670" s="71">
        <v>78</v>
      </c>
      <c r="L1670" s="71">
        <v>76</v>
      </c>
      <c r="M1670" s="71">
        <v>8</v>
      </c>
      <c r="N1670" s="71">
        <v>15</v>
      </c>
      <c r="O1670" s="71">
        <v>0</v>
      </c>
      <c r="P1670" s="71">
        <v>18</v>
      </c>
      <c r="Q1670" s="71">
        <v>50</v>
      </c>
      <c r="R1670" s="71">
        <v>164</v>
      </c>
      <c r="S1670" s="71" t="s">
        <v>74</v>
      </c>
      <c r="T1670" s="73" t="s">
        <v>4327</v>
      </c>
      <c r="U1670" s="71" t="s">
        <v>3561</v>
      </c>
      <c r="V1670" s="71" t="b">
        <v>0</v>
      </c>
    </row>
    <row r="1671" spans="1:22" ht="17.25">
      <c r="A1671" s="70">
        <v>1211</v>
      </c>
      <c r="B1671" s="70" t="s">
        <v>581</v>
      </c>
      <c r="C1671" s="70" t="s">
        <v>1026</v>
      </c>
      <c r="D1671" s="70" t="s">
        <v>580</v>
      </c>
      <c r="E1671" s="70" t="s">
        <v>579</v>
      </c>
      <c r="F1671" s="71">
        <v>82</v>
      </c>
      <c r="G1671" s="71">
        <v>11</v>
      </c>
      <c r="H1671" s="72">
        <v>0.14930555555555555</v>
      </c>
      <c r="I1671" s="71" t="b">
        <v>0</v>
      </c>
      <c r="J1671" s="71">
        <v>43</v>
      </c>
      <c r="K1671" s="71">
        <v>59</v>
      </c>
      <c r="L1671" s="71">
        <v>87</v>
      </c>
      <c r="M1671" s="71">
        <v>14</v>
      </c>
      <c r="N1671" s="71">
        <v>75</v>
      </c>
      <c r="O1671" s="71">
        <v>1</v>
      </c>
      <c r="P1671" s="71">
        <v>15</v>
      </c>
      <c r="Q1671" s="71">
        <v>24</v>
      </c>
      <c r="R1671" s="71">
        <v>78</v>
      </c>
      <c r="S1671" s="71" t="s">
        <v>26</v>
      </c>
      <c r="T1671" s="73">
        <v>44904</v>
      </c>
      <c r="U1671" s="71" t="s">
        <v>3614</v>
      </c>
      <c r="V1671" s="71" t="b">
        <v>0</v>
      </c>
    </row>
    <row r="1672" spans="1:22" ht="17.25">
      <c r="A1672" s="70">
        <v>1211</v>
      </c>
      <c r="B1672" s="70" t="s">
        <v>581</v>
      </c>
      <c r="C1672" s="70" t="s">
        <v>51</v>
      </c>
      <c r="D1672" s="70" t="s">
        <v>580</v>
      </c>
      <c r="E1672" s="70" t="s">
        <v>579</v>
      </c>
      <c r="F1672" s="71">
        <v>82</v>
      </c>
      <c r="G1672" s="71">
        <v>11</v>
      </c>
      <c r="H1672" s="72">
        <v>0.14930555555555555</v>
      </c>
      <c r="I1672" s="71" t="b">
        <v>0</v>
      </c>
      <c r="J1672" s="71">
        <v>43</v>
      </c>
      <c r="K1672" s="71">
        <v>59</v>
      </c>
      <c r="L1672" s="71">
        <v>87</v>
      </c>
      <c r="M1672" s="71">
        <v>14</v>
      </c>
      <c r="N1672" s="71">
        <v>75</v>
      </c>
      <c r="O1672" s="71">
        <v>1</v>
      </c>
      <c r="P1672" s="71">
        <v>15</v>
      </c>
      <c r="Q1672" s="71">
        <v>24</v>
      </c>
      <c r="R1672" s="71">
        <v>78</v>
      </c>
      <c r="S1672" s="71" t="s">
        <v>26</v>
      </c>
      <c r="T1672" s="73">
        <v>44904</v>
      </c>
      <c r="U1672" s="71" t="s">
        <v>3614</v>
      </c>
      <c r="V1672" s="71" t="b">
        <v>0</v>
      </c>
    </row>
    <row r="1673" spans="1:22" ht="17.25">
      <c r="A1673" s="70">
        <v>1212</v>
      </c>
      <c r="B1673" s="70" t="s">
        <v>578</v>
      </c>
      <c r="C1673" s="70" t="s">
        <v>4520</v>
      </c>
      <c r="D1673" s="70" t="s">
        <v>577</v>
      </c>
      <c r="E1673" s="70" t="s">
        <v>576</v>
      </c>
      <c r="F1673" s="71">
        <v>180</v>
      </c>
      <c r="G1673" s="71">
        <v>1</v>
      </c>
      <c r="H1673" s="72">
        <v>0.16875000000000001</v>
      </c>
      <c r="I1673" s="71" t="b">
        <v>1</v>
      </c>
      <c r="J1673" s="71">
        <v>78</v>
      </c>
      <c r="K1673" s="71">
        <v>50</v>
      </c>
      <c r="L1673" s="71">
        <v>89</v>
      </c>
      <c r="M1673" s="71">
        <v>6</v>
      </c>
      <c r="N1673" s="71">
        <v>26</v>
      </c>
      <c r="O1673" s="71">
        <v>0</v>
      </c>
      <c r="P1673" s="71">
        <v>30</v>
      </c>
      <c r="Q1673" s="71">
        <v>46</v>
      </c>
      <c r="R1673" s="71">
        <v>97</v>
      </c>
      <c r="S1673" s="71" t="s">
        <v>48</v>
      </c>
      <c r="T1673" s="73">
        <v>41583</v>
      </c>
      <c r="U1673" s="71" t="s">
        <v>4207</v>
      </c>
      <c r="V1673" s="71" t="b">
        <v>0</v>
      </c>
    </row>
    <row r="1674" spans="1:22" ht="17.25">
      <c r="A1674" s="70">
        <v>1212</v>
      </c>
      <c r="B1674" s="70" t="s">
        <v>578</v>
      </c>
      <c r="C1674" s="70" t="s">
        <v>4541</v>
      </c>
      <c r="D1674" s="70" t="s">
        <v>577</v>
      </c>
      <c r="E1674" s="70" t="s">
        <v>576</v>
      </c>
      <c r="F1674" s="71">
        <v>180</v>
      </c>
      <c r="G1674" s="71">
        <v>1</v>
      </c>
      <c r="H1674" s="72">
        <v>0.16875000000000001</v>
      </c>
      <c r="I1674" s="71" t="b">
        <v>1</v>
      </c>
      <c r="J1674" s="71">
        <v>78</v>
      </c>
      <c r="K1674" s="71">
        <v>50</v>
      </c>
      <c r="L1674" s="71">
        <v>89</v>
      </c>
      <c r="M1674" s="71">
        <v>6</v>
      </c>
      <c r="N1674" s="71">
        <v>26</v>
      </c>
      <c r="O1674" s="71">
        <v>0</v>
      </c>
      <c r="P1674" s="71">
        <v>30</v>
      </c>
      <c r="Q1674" s="71">
        <v>46</v>
      </c>
      <c r="R1674" s="71">
        <v>97</v>
      </c>
      <c r="S1674" s="71" t="s">
        <v>48</v>
      </c>
      <c r="T1674" s="73">
        <v>41583</v>
      </c>
      <c r="U1674" s="71" t="s">
        <v>4207</v>
      </c>
      <c r="V1674" s="71" t="b">
        <v>0</v>
      </c>
    </row>
    <row r="1675" spans="1:22" ht="17.25">
      <c r="A1675" s="70">
        <v>1213</v>
      </c>
      <c r="B1675" s="70" t="s">
        <v>575</v>
      </c>
      <c r="C1675" s="70" t="s">
        <v>573</v>
      </c>
      <c r="D1675" s="70" t="s">
        <v>574</v>
      </c>
      <c r="E1675" s="70" t="s">
        <v>573</v>
      </c>
      <c r="F1675" s="71">
        <v>40</v>
      </c>
      <c r="G1675" s="71">
        <v>44</v>
      </c>
      <c r="H1675" s="72">
        <v>0.1701388888888889</v>
      </c>
      <c r="I1675" s="71" t="b">
        <v>0</v>
      </c>
      <c r="J1675" s="71">
        <v>56</v>
      </c>
      <c r="K1675" s="71">
        <v>22</v>
      </c>
      <c r="L1675" s="71">
        <v>81</v>
      </c>
      <c r="M1675" s="71">
        <v>7</v>
      </c>
      <c r="N1675" s="71">
        <v>56</v>
      </c>
      <c r="O1675" s="71">
        <v>0</v>
      </c>
      <c r="P1675" s="71">
        <v>11</v>
      </c>
      <c r="Q1675" s="71">
        <v>50</v>
      </c>
      <c r="R1675" s="71">
        <v>79</v>
      </c>
      <c r="S1675" s="71" t="s">
        <v>195</v>
      </c>
      <c r="T1675" s="73">
        <v>42958</v>
      </c>
      <c r="U1675" s="71" t="s">
        <v>4208</v>
      </c>
      <c r="V1675" s="71" t="b">
        <v>0</v>
      </c>
    </row>
    <row r="1676" spans="1:22" ht="17.25">
      <c r="A1676" s="70">
        <v>1214</v>
      </c>
      <c r="B1676" s="70" t="s">
        <v>572</v>
      </c>
      <c r="C1676" s="70" t="s">
        <v>4542</v>
      </c>
      <c r="D1676" s="70" t="s">
        <v>571</v>
      </c>
      <c r="E1676" s="70" t="s">
        <v>535</v>
      </c>
      <c r="F1676" s="71">
        <v>167</v>
      </c>
      <c r="G1676" s="71">
        <v>2</v>
      </c>
      <c r="H1676" s="72">
        <v>0.10277777777777777</v>
      </c>
      <c r="I1676" s="71" t="b">
        <v>1</v>
      </c>
      <c r="J1676" s="71">
        <v>85</v>
      </c>
      <c r="K1676" s="71">
        <v>82</v>
      </c>
      <c r="L1676" s="71">
        <v>82</v>
      </c>
      <c r="M1676" s="71">
        <v>14</v>
      </c>
      <c r="N1676" s="71">
        <v>5</v>
      </c>
      <c r="O1676" s="71">
        <v>0</v>
      </c>
      <c r="P1676" s="71">
        <v>15</v>
      </c>
      <c r="Q1676" s="71">
        <v>72</v>
      </c>
      <c r="R1676" s="71">
        <v>130</v>
      </c>
      <c r="S1676" s="71" t="s">
        <v>534</v>
      </c>
      <c r="T1676" s="73">
        <v>45793</v>
      </c>
      <c r="U1676" s="71" t="s">
        <v>4209</v>
      </c>
      <c r="V1676" s="71" t="b">
        <v>0</v>
      </c>
    </row>
    <row r="1677" spans="1:22" ht="17.25">
      <c r="A1677" s="70">
        <v>1214</v>
      </c>
      <c r="B1677" s="70" t="s">
        <v>572</v>
      </c>
      <c r="C1677" s="70" t="s">
        <v>4846</v>
      </c>
      <c r="D1677" s="70" t="s">
        <v>571</v>
      </c>
      <c r="E1677" s="70" t="s">
        <v>535</v>
      </c>
      <c r="F1677" s="71">
        <v>167</v>
      </c>
      <c r="G1677" s="71">
        <v>2</v>
      </c>
      <c r="H1677" s="72">
        <v>0.10277777777777777</v>
      </c>
      <c r="I1677" s="71" t="b">
        <v>1</v>
      </c>
      <c r="J1677" s="71">
        <v>85</v>
      </c>
      <c r="K1677" s="71">
        <v>82</v>
      </c>
      <c r="L1677" s="71">
        <v>82</v>
      </c>
      <c r="M1677" s="71">
        <v>14</v>
      </c>
      <c r="N1677" s="71">
        <v>5</v>
      </c>
      <c r="O1677" s="71">
        <v>0</v>
      </c>
      <c r="P1677" s="71">
        <v>15</v>
      </c>
      <c r="Q1677" s="71">
        <v>72</v>
      </c>
      <c r="R1677" s="71">
        <v>130</v>
      </c>
      <c r="S1677" s="71" t="s">
        <v>534</v>
      </c>
      <c r="T1677" s="73">
        <v>45793</v>
      </c>
      <c r="U1677" s="71" t="s">
        <v>4209</v>
      </c>
      <c r="V1677" s="71" t="b">
        <v>0</v>
      </c>
    </row>
    <row r="1678" spans="1:22" ht="17.25">
      <c r="A1678" s="70">
        <v>1214</v>
      </c>
      <c r="B1678" s="70" t="s">
        <v>572</v>
      </c>
      <c r="C1678" s="70" t="s">
        <v>4847</v>
      </c>
      <c r="D1678" s="70" t="s">
        <v>571</v>
      </c>
      <c r="E1678" s="70" t="s">
        <v>535</v>
      </c>
      <c r="F1678" s="71">
        <v>167</v>
      </c>
      <c r="G1678" s="71">
        <v>2</v>
      </c>
      <c r="H1678" s="72">
        <v>0.10277777777777777</v>
      </c>
      <c r="I1678" s="71" t="b">
        <v>1</v>
      </c>
      <c r="J1678" s="71">
        <v>85</v>
      </c>
      <c r="K1678" s="71">
        <v>82</v>
      </c>
      <c r="L1678" s="71">
        <v>82</v>
      </c>
      <c r="M1678" s="71">
        <v>14</v>
      </c>
      <c r="N1678" s="71">
        <v>5</v>
      </c>
      <c r="O1678" s="71">
        <v>0</v>
      </c>
      <c r="P1678" s="71">
        <v>15</v>
      </c>
      <c r="Q1678" s="71">
        <v>72</v>
      </c>
      <c r="R1678" s="71">
        <v>130</v>
      </c>
      <c r="S1678" s="71" t="s">
        <v>534</v>
      </c>
      <c r="T1678" s="73">
        <v>45793</v>
      </c>
      <c r="U1678" s="71" t="s">
        <v>4209</v>
      </c>
      <c r="V1678" s="71" t="b">
        <v>0</v>
      </c>
    </row>
    <row r="1679" spans="1:22" ht="17.25">
      <c r="A1679" s="70">
        <v>1214</v>
      </c>
      <c r="B1679" s="70" t="s">
        <v>572</v>
      </c>
      <c r="C1679" s="70" t="s">
        <v>4845</v>
      </c>
      <c r="D1679" s="70" t="s">
        <v>571</v>
      </c>
      <c r="E1679" s="70" t="s">
        <v>535</v>
      </c>
      <c r="F1679" s="71">
        <v>167</v>
      </c>
      <c r="G1679" s="71">
        <v>2</v>
      </c>
      <c r="H1679" s="72">
        <v>0.10277777777777777</v>
      </c>
      <c r="I1679" s="71" t="b">
        <v>1</v>
      </c>
      <c r="J1679" s="71">
        <v>85</v>
      </c>
      <c r="K1679" s="71">
        <v>82</v>
      </c>
      <c r="L1679" s="71">
        <v>82</v>
      </c>
      <c r="M1679" s="71">
        <v>14</v>
      </c>
      <c r="N1679" s="71">
        <v>5</v>
      </c>
      <c r="O1679" s="71">
        <v>0</v>
      </c>
      <c r="P1679" s="71">
        <v>15</v>
      </c>
      <c r="Q1679" s="71">
        <v>72</v>
      </c>
      <c r="R1679" s="71">
        <v>130</v>
      </c>
      <c r="S1679" s="71" t="s">
        <v>534</v>
      </c>
      <c r="T1679" s="73">
        <v>45793</v>
      </c>
      <c r="U1679" s="71" t="s">
        <v>4209</v>
      </c>
      <c r="V1679" s="71" t="b">
        <v>0</v>
      </c>
    </row>
    <row r="1680" spans="1:22" ht="17.25">
      <c r="A1680" s="70">
        <v>1214</v>
      </c>
      <c r="B1680" s="70" t="s">
        <v>572</v>
      </c>
      <c r="C1680" s="70" t="s">
        <v>4543</v>
      </c>
      <c r="D1680" s="70" t="s">
        <v>571</v>
      </c>
      <c r="E1680" s="70" t="s">
        <v>535</v>
      </c>
      <c r="F1680" s="71">
        <v>167</v>
      </c>
      <c r="G1680" s="71">
        <v>2</v>
      </c>
      <c r="H1680" s="72">
        <v>0.10277777777777777</v>
      </c>
      <c r="I1680" s="71" t="b">
        <v>1</v>
      </c>
      <c r="J1680" s="71">
        <v>85</v>
      </c>
      <c r="K1680" s="71">
        <v>82</v>
      </c>
      <c r="L1680" s="71">
        <v>82</v>
      </c>
      <c r="M1680" s="71">
        <v>14</v>
      </c>
      <c r="N1680" s="71">
        <v>5</v>
      </c>
      <c r="O1680" s="71">
        <v>0</v>
      </c>
      <c r="P1680" s="71">
        <v>15</v>
      </c>
      <c r="Q1680" s="71">
        <v>72</v>
      </c>
      <c r="R1680" s="71">
        <v>130</v>
      </c>
      <c r="S1680" s="71" t="s">
        <v>534</v>
      </c>
      <c r="T1680" s="73">
        <v>45793</v>
      </c>
      <c r="U1680" s="71" t="s">
        <v>4209</v>
      </c>
      <c r="V1680" s="71" t="b">
        <v>0</v>
      </c>
    </row>
    <row r="1681" spans="1:22" ht="17.25">
      <c r="A1681" s="70">
        <v>1214</v>
      </c>
      <c r="B1681" s="70" t="s">
        <v>572</v>
      </c>
      <c r="C1681" s="70" t="s">
        <v>4844</v>
      </c>
      <c r="D1681" s="70" t="s">
        <v>571</v>
      </c>
      <c r="E1681" s="70" t="s">
        <v>535</v>
      </c>
      <c r="F1681" s="71">
        <v>167</v>
      </c>
      <c r="G1681" s="71">
        <v>2</v>
      </c>
      <c r="H1681" s="72">
        <v>0.10277777777777777</v>
      </c>
      <c r="I1681" s="71" t="b">
        <v>1</v>
      </c>
      <c r="J1681" s="71">
        <v>85</v>
      </c>
      <c r="K1681" s="71">
        <v>82</v>
      </c>
      <c r="L1681" s="71">
        <v>82</v>
      </c>
      <c r="M1681" s="71">
        <v>14</v>
      </c>
      <c r="N1681" s="71">
        <v>5</v>
      </c>
      <c r="O1681" s="71">
        <v>0</v>
      </c>
      <c r="P1681" s="71">
        <v>15</v>
      </c>
      <c r="Q1681" s="71">
        <v>72</v>
      </c>
      <c r="R1681" s="71">
        <v>130</v>
      </c>
      <c r="S1681" s="71" t="s">
        <v>534</v>
      </c>
      <c r="T1681" s="73">
        <v>45793</v>
      </c>
      <c r="U1681" s="71" t="s">
        <v>4209</v>
      </c>
      <c r="V1681" s="71" t="b">
        <v>0</v>
      </c>
    </row>
    <row r="1682" spans="1:22" ht="17.25">
      <c r="A1682" s="70">
        <v>1216</v>
      </c>
      <c r="B1682" s="70" t="s">
        <v>567</v>
      </c>
      <c r="C1682" s="70" t="s">
        <v>97</v>
      </c>
      <c r="D1682" s="70" t="s">
        <v>566</v>
      </c>
      <c r="E1682" s="70" t="s">
        <v>97</v>
      </c>
      <c r="F1682" s="71">
        <v>136</v>
      </c>
      <c r="G1682" s="71">
        <v>1</v>
      </c>
      <c r="H1682" s="72">
        <v>0.15972222222222221</v>
      </c>
      <c r="I1682" s="71" t="b">
        <v>0</v>
      </c>
      <c r="J1682" s="71">
        <v>72</v>
      </c>
      <c r="K1682" s="71">
        <v>47</v>
      </c>
      <c r="L1682" s="71">
        <v>85</v>
      </c>
      <c r="M1682" s="71">
        <v>5</v>
      </c>
      <c r="N1682" s="71">
        <v>3</v>
      </c>
      <c r="O1682" s="71">
        <v>0</v>
      </c>
      <c r="P1682" s="71">
        <v>17</v>
      </c>
      <c r="Q1682" s="71">
        <v>9</v>
      </c>
      <c r="R1682" s="71">
        <v>120</v>
      </c>
      <c r="S1682" s="71" t="s">
        <v>96</v>
      </c>
      <c r="T1682" s="73">
        <v>43049</v>
      </c>
      <c r="U1682" s="71" t="s">
        <v>4210</v>
      </c>
      <c r="V1682" s="71" t="b">
        <v>0</v>
      </c>
    </row>
    <row r="1683" spans="1:22" ht="17.25">
      <c r="A1683" s="70">
        <v>1218</v>
      </c>
      <c r="B1683" s="70" t="s">
        <v>563</v>
      </c>
      <c r="C1683" s="70" t="s">
        <v>379</v>
      </c>
      <c r="D1683" s="70" t="s">
        <v>562</v>
      </c>
      <c r="E1683" s="70" t="s">
        <v>44</v>
      </c>
      <c r="F1683" s="71">
        <v>32</v>
      </c>
      <c r="G1683" s="71">
        <v>26</v>
      </c>
      <c r="H1683" s="72">
        <v>0.11666666666666667</v>
      </c>
      <c r="I1683" s="71" t="b">
        <v>0</v>
      </c>
      <c r="J1683" s="71">
        <v>67</v>
      </c>
      <c r="K1683" s="71">
        <v>56</v>
      </c>
      <c r="L1683" s="71">
        <v>89</v>
      </c>
      <c r="M1683" s="71">
        <v>4</v>
      </c>
      <c r="N1683" s="71">
        <v>50</v>
      </c>
      <c r="O1683" s="71">
        <v>1</v>
      </c>
      <c r="P1683" s="71">
        <v>10</v>
      </c>
      <c r="Q1683" s="71">
        <v>84</v>
      </c>
      <c r="R1683" s="71">
        <v>150</v>
      </c>
      <c r="S1683" s="71" t="s">
        <v>96</v>
      </c>
      <c r="T1683" s="73">
        <v>45520</v>
      </c>
      <c r="U1683" s="71" t="s">
        <v>4211</v>
      </c>
      <c r="V1683" s="71" t="b">
        <v>0</v>
      </c>
    </row>
    <row r="1684" spans="1:22" ht="17.25">
      <c r="A1684" s="70">
        <v>1219</v>
      </c>
      <c r="B1684" s="70" t="s">
        <v>561</v>
      </c>
      <c r="C1684" s="70" t="s">
        <v>182</v>
      </c>
      <c r="D1684" s="70" t="s">
        <v>560</v>
      </c>
      <c r="E1684" s="70" t="s">
        <v>180</v>
      </c>
      <c r="F1684" s="71">
        <v>150</v>
      </c>
      <c r="G1684" s="71">
        <v>1</v>
      </c>
      <c r="H1684" s="72" t="s">
        <v>4320</v>
      </c>
      <c r="I1684" s="71" t="b">
        <v>1</v>
      </c>
      <c r="J1684" s="71">
        <v>79</v>
      </c>
      <c r="K1684" s="71">
        <v>59</v>
      </c>
      <c r="L1684" s="71">
        <v>73</v>
      </c>
      <c r="M1684" s="71">
        <v>27</v>
      </c>
      <c r="N1684" s="71">
        <v>26</v>
      </c>
      <c r="O1684" s="71">
        <v>0</v>
      </c>
      <c r="P1684" s="71">
        <v>11</v>
      </c>
      <c r="Q1684" s="71">
        <v>48</v>
      </c>
      <c r="R1684" s="71">
        <v>126</v>
      </c>
      <c r="S1684" s="71" t="s">
        <v>48</v>
      </c>
      <c r="T1684" s="73" t="s">
        <v>4330</v>
      </c>
      <c r="U1684" s="71" t="s">
        <v>4025</v>
      </c>
      <c r="V1684" s="71" t="b">
        <v>0</v>
      </c>
    </row>
    <row r="1685" spans="1:22" ht="17.25">
      <c r="A1685" s="70">
        <v>1220</v>
      </c>
      <c r="B1685" s="70" t="s">
        <v>559</v>
      </c>
      <c r="C1685" s="70" t="s">
        <v>558</v>
      </c>
      <c r="D1685" s="70" t="s">
        <v>557</v>
      </c>
      <c r="E1685" s="70" t="s">
        <v>231</v>
      </c>
      <c r="F1685" s="71">
        <v>44</v>
      </c>
      <c r="G1685" s="71">
        <v>21</v>
      </c>
      <c r="H1685" s="72">
        <v>8.611111111111111E-2</v>
      </c>
      <c r="I1685" s="71" t="b">
        <v>0</v>
      </c>
      <c r="J1685" s="71">
        <v>55</v>
      </c>
      <c r="K1685" s="71">
        <v>55</v>
      </c>
      <c r="L1685" s="71">
        <v>74</v>
      </c>
      <c r="M1685" s="71">
        <v>4</v>
      </c>
      <c r="N1685" s="71">
        <v>55</v>
      </c>
      <c r="O1685" s="71">
        <v>0</v>
      </c>
      <c r="P1685" s="71">
        <v>15</v>
      </c>
      <c r="Q1685" s="71">
        <v>78</v>
      </c>
      <c r="R1685" s="71">
        <v>125</v>
      </c>
      <c r="S1685" s="71" t="s">
        <v>29</v>
      </c>
      <c r="T1685" s="73">
        <v>30621</v>
      </c>
      <c r="U1685" s="71" t="s">
        <v>4212</v>
      </c>
      <c r="V1685" s="71" t="b">
        <v>1</v>
      </c>
    </row>
    <row r="1686" spans="1:22" ht="17.25">
      <c r="A1686" s="70">
        <v>1221</v>
      </c>
      <c r="B1686" s="70" t="s">
        <v>556</v>
      </c>
      <c r="C1686" s="70" t="s">
        <v>555</v>
      </c>
      <c r="D1686" s="70" t="s">
        <v>554</v>
      </c>
      <c r="E1686" s="70" t="s">
        <v>553</v>
      </c>
      <c r="F1686" s="71">
        <v>46</v>
      </c>
      <c r="G1686" s="71">
        <v>3</v>
      </c>
      <c r="H1686" s="72">
        <v>0.10972222222222222</v>
      </c>
      <c r="I1686" s="71" t="b">
        <v>0</v>
      </c>
      <c r="J1686" s="71">
        <v>62</v>
      </c>
      <c r="K1686" s="71">
        <v>62</v>
      </c>
      <c r="L1686" s="71">
        <v>77</v>
      </c>
      <c r="M1686" s="71">
        <v>5</v>
      </c>
      <c r="N1686" s="71">
        <v>30</v>
      </c>
      <c r="O1686" s="71">
        <v>0</v>
      </c>
      <c r="P1686" s="71">
        <v>14</v>
      </c>
      <c r="Q1686" s="71">
        <v>78</v>
      </c>
      <c r="R1686" s="71">
        <v>130</v>
      </c>
      <c r="S1686" s="71" t="s">
        <v>29</v>
      </c>
      <c r="T1686" s="73">
        <v>45240</v>
      </c>
      <c r="U1686" s="71" t="s">
        <v>4213</v>
      </c>
      <c r="V1686" s="71" t="b">
        <v>1</v>
      </c>
    </row>
    <row r="1687" spans="1:22" ht="17.25">
      <c r="A1687" s="70">
        <v>1222</v>
      </c>
      <c r="B1687" s="70" t="s">
        <v>552</v>
      </c>
      <c r="C1687" s="70" t="s">
        <v>198</v>
      </c>
      <c r="D1687" s="70" t="s">
        <v>551</v>
      </c>
      <c r="E1687" s="70" t="s">
        <v>196</v>
      </c>
      <c r="F1687" s="71">
        <v>95</v>
      </c>
      <c r="G1687" s="71">
        <v>2</v>
      </c>
      <c r="H1687" s="72" t="s">
        <v>4334</v>
      </c>
      <c r="I1687" s="71" t="b">
        <v>0</v>
      </c>
      <c r="J1687" s="71">
        <v>63</v>
      </c>
      <c r="K1687" s="71">
        <v>47</v>
      </c>
      <c r="L1687" s="71">
        <v>70</v>
      </c>
      <c r="M1687" s="71">
        <v>4</v>
      </c>
      <c r="N1687" s="71">
        <v>53</v>
      </c>
      <c r="O1687" s="71">
        <v>0</v>
      </c>
      <c r="P1687" s="71">
        <v>10</v>
      </c>
      <c r="Q1687" s="71">
        <v>38</v>
      </c>
      <c r="R1687" s="71">
        <v>116</v>
      </c>
      <c r="S1687" s="71" t="s">
        <v>195</v>
      </c>
      <c r="T1687" s="73" t="s">
        <v>4337</v>
      </c>
      <c r="U1687" s="71" t="s">
        <v>3860</v>
      </c>
      <c r="V1687" s="71" t="b">
        <v>0</v>
      </c>
    </row>
    <row r="1688" spans="1:22" ht="17.25">
      <c r="A1688" s="70">
        <v>1223</v>
      </c>
      <c r="B1688" s="70" t="s">
        <v>550</v>
      </c>
      <c r="C1688" s="70" t="s">
        <v>67</v>
      </c>
      <c r="D1688" s="70" t="s">
        <v>549</v>
      </c>
      <c r="E1688" s="70" t="s">
        <v>65</v>
      </c>
      <c r="F1688" s="71">
        <v>59</v>
      </c>
      <c r="G1688" s="71">
        <v>1</v>
      </c>
      <c r="H1688" s="72">
        <v>0.11666666666666667</v>
      </c>
      <c r="I1688" s="71" t="b">
        <v>1</v>
      </c>
      <c r="J1688" s="71">
        <v>69</v>
      </c>
      <c r="K1688" s="71">
        <v>75</v>
      </c>
      <c r="L1688" s="71">
        <v>91</v>
      </c>
      <c r="M1688" s="71">
        <v>12</v>
      </c>
      <c r="N1688" s="71">
        <v>0</v>
      </c>
      <c r="O1688" s="71">
        <v>0</v>
      </c>
      <c r="P1688" s="71">
        <v>14</v>
      </c>
      <c r="Q1688" s="71">
        <v>28</v>
      </c>
      <c r="R1688" s="71">
        <v>140</v>
      </c>
      <c r="S1688" s="71" t="s">
        <v>48</v>
      </c>
      <c r="T1688" s="73">
        <v>45730</v>
      </c>
      <c r="U1688" s="71" t="s">
        <v>3386</v>
      </c>
      <c r="V1688" s="71" t="b">
        <v>0</v>
      </c>
    </row>
    <row r="1689" spans="1:22" ht="17.25">
      <c r="A1689" s="70">
        <v>1225</v>
      </c>
      <c r="B1689" s="70" t="s">
        <v>547</v>
      </c>
      <c r="C1689" s="70" t="s">
        <v>546</v>
      </c>
      <c r="D1689" s="70" t="s">
        <v>545</v>
      </c>
      <c r="E1689" s="70" t="s">
        <v>544</v>
      </c>
      <c r="F1689" s="71">
        <v>103</v>
      </c>
      <c r="G1689" s="71">
        <v>15</v>
      </c>
      <c r="H1689" s="72" t="s">
        <v>4315</v>
      </c>
      <c r="I1689" s="71" t="b">
        <v>0</v>
      </c>
      <c r="J1689" s="71">
        <v>60</v>
      </c>
      <c r="K1689" s="71">
        <v>44</v>
      </c>
      <c r="L1689" s="71">
        <v>69</v>
      </c>
      <c r="M1689" s="71">
        <v>4</v>
      </c>
      <c r="N1689" s="71">
        <v>68</v>
      </c>
      <c r="O1689" s="71">
        <v>0</v>
      </c>
      <c r="P1689" s="71">
        <v>11</v>
      </c>
      <c r="Q1689" s="71">
        <v>39</v>
      </c>
      <c r="R1689" s="71">
        <v>96</v>
      </c>
      <c r="S1689" s="71" t="s">
        <v>74</v>
      </c>
      <c r="T1689" s="73" t="s">
        <v>4388</v>
      </c>
      <c r="U1689" s="71" t="s">
        <v>4214</v>
      </c>
      <c r="V1689" s="71" t="b">
        <v>0</v>
      </c>
    </row>
    <row r="1690" spans="1:22" ht="17.25">
      <c r="A1690" s="70">
        <v>1226</v>
      </c>
      <c r="B1690" s="70" t="s">
        <v>543</v>
      </c>
      <c r="C1690" s="70" t="s">
        <v>542</v>
      </c>
      <c r="D1690" s="70" t="s">
        <v>541</v>
      </c>
      <c r="E1690" s="70" t="s">
        <v>540</v>
      </c>
      <c r="F1690" s="71">
        <v>75</v>
      </c>
      <c r="G1690" s="71">
        <v>42</v>
      </c>
      <c r="H1690" s="72">
        <v>0.1451388888888889</v>
      </c>
      <c r="I1690" s="71" t="b">
        <v>1</v>
      </c>
      <c r="J1690" s="71">
        <v>52</v>
      </c>
      <c r="K1690" s="71">
        <v>48</v>
      </c>
      <c r="L1690" s="71">
        <v>88</v>
      </c>
      <c r="M1690" s="71">
        <v>3</v>
      </c>
      <c r="N1690" s="71">
        <v>54</v>
      </c>
      <c r="O1690" s="71">
        <v>1</v>
      </c>
      <c r="P1690" s="71">
        <v>19</v>
      </c>
      <c r="Q1690" s="71">
        <v>28</v>
      </c>
      <c r="R1690" s="71">
        <v>89</v>
      </c>
      <c r="S1690" s="71" t="s">
        <v>26</v>
      </c>
      <c r="T1690" s="73">
        <v>43355</v>
      </c>
      <c r="U1690" s="71" t="s">
        <v>4215</v>
      </c>
      <c r="V1690" s="71" t="b">
        <v>0</v>
      </c>
    </row>
    <row r="1691" spans="1:22" ht="17.25">
      <c r="A1691" s="70">
        <v>1227</v>
      </c>
      <c r="B1691" s="70" t="s">
        <v>539</v>
      </c>
      <c r="C1691" s="70" t="s">
        <v>198</v>
      </c>
      <c r="D1691" s="70" t="s">
        <v>538</v>
      </c>
      <c r="E1691" s="70" t="s">
        <v>196</v>
      </c>
      <c r="F1691" s="71">
        <v>52</v>
      </c>
      <c r="G1691" s="71">
        <v>2</v>
      </c>
      <c r="H1691" s="72" t="s">
        <v>4334</v>
      </c>
      <c r="I1691" s="71" t="b">
        <v>0</v>
      </c>
      <c r="J1691" s="71">
        <v>60</v>
      </c>
      <c r="K1691" s="71">
        <v>51</v>
      </c>
      <c r="L1691" s="71">
        <v>71</v>
      </c>
      <c r="M1691" s="71">
        <v>5</v>
      </c>
      <c r="N1691" s="71">
        <v>48</v>
      </c>
      <c r="O1691" s="71">
        <v>0</v>
      </c>
      <c r="P1691" s="71">
        <v>12</v>
      </c>
      <c r="Q1691" s="71">
        <v>46</v>
      </c>
      <c r="R1691" s="71">
        <v>132</v>
      </c>
      <c r="S1691" s="71" t="s">
        <v>195</v>
      </c>
      <c r="T1691" s="73" t="s">
        <v>4337</v>
      </c>
      <c r="U1691" s="71" t="s">
        <v>3860</v>
      </c>
      <c r="V1691" s="71" t="b">
        <v>0</v>
      </c>
    </row>
    <row r="1692" spans="1:22" ht="17.25">
      <c r="A1692" s="70">
        <v>1228</v>
      </c>
      <c r="B1692" s="70" t="s">
        <v>537</v>
      </c>
      <c r="C1692" s="70" t="s">
        <v>4848</v>
      </c>
      <c r="D1692" s="70" t="s">
        <v>536</v>
      </c>
      <c r="E1692" s="70" t="s">
        <v>535</v>
      </c>
      <c r="F1692" s="71">
        <v>39</v>
      </c>
      <c r="G1692" s="71">
        <v>11</v>
      </c>
      <c r="H1692" s="72">
        <v>0.10277777777777777</v>
      </c>
      <c r="I1692" s="71" t="b">
        <v>0</v>
      </c>
      <c r="J1692" s="71">
        <v>96</v>
      </c>
      <c r="K1692" s="71">
        <v>42</v>
      </c>
      <c r="L1692" s="71">
        <v>86</v>
      </c>
      <c r="M1692" s="71">
        <v>43</v>
      </c>
      <c r="N1692" s="71">
        <v>71</v>
      </c>
      <c r="O1692" s="71">
        <v>0</v>
      </c>
      <c r="P1692" s="71">
        <v>10</v>
      </c>
      <c r="Q1692" s="71">
        <v>72</v>
      </c>
      <c r="R1692" s="71">
        <v>127</v>
      </c>
      <c r="S1692" s="71" t="s">
        <v>534</v>
      </c>
      <c r="T1692" s="73">
        <v>45730</v>
      </c>
      <c r="U1692" s="71" t="s">
        <v>4216</v>
      </c>
      <c r="V1692" s="71" t="b">
        <v>0</v>
      </c>
    </row>
    <row r="1693" spans="1:22" ht="17.25">
      <c r="A1693" s="70">
        <v>1228</v>
      </c>
      <c r="B1693" s="70" t="s">
        <v>537</v>
      </c>
      <c r="C1693" s="70" t="s">
        <v>4543</v>
      </c>
      <c r="D1693" s="70" t="s">
        <v>536</v>
      </c>
      <c r="E1693" s="70" t="s">
        <v>535</v>
      </c>
      <c r="F1693" s="71">
        <v>39</v>
      </c>
      <c r="G1693" s="71">
        <v>11</v>
      </c>
      <c r="H1693" s="72">
        <v>0.10277777777777777</v>
      </c>
      <c r="I1693" s="71" t="b">
        <v>0</v>
      </c>
      <c r="J1693" s="71">
        <v>96</v>
      </c>
      <c r="K1693" s="71">
        <v>42</v>
      </c>
      <c r="L1693" s="71">
        <v>86</v>
      </c>
      <c r="M1693" s="71">
        <v>43</v>
      </c>
      <c r="N1693" s="71">
        <v>71</v>
      </c>
      <c r="O1693" s="71">
        <v>0</v>
      </c>
      <c r="P1693" s="71">
        <v>10</v>
      </c>
      <c r="Q1693" s="71">
        <v>72</v>
      </c>
      <c r="R1693" s="71">
        <v>127</v>
      </c>
      <c r="S1693" s="71" t="s">
        <v>534</v>
      </c>
      <c r="T1693" s="73">
        <v>45730</v>
      </c>
      <c r="U1693" s="71" t="s">
        <v>4216</v>
      </c>
      <c r="V1693" s="71" t="b">
        <v>0</v>
      </c>
    </row>
    <row r="1694" spans="1:22" ht="17.25">
      <c r="A1694" s="70">
        <v>1229</v>
      </c>
      <c r="B1694" s="70" t="s">
        <v>533</v>
      </c>
      <c r="C1694" s="70" t="s">
        <v>532</v>
      </c>
      <c r="D1694" s="70" t="s">
        <v>531</v>
      </c>
      <c r="E1694" s="70" t="s">
        <v>530</v>
      </c>
      <c r="F1694" s="71">
        <v>43</v>
      </c>
      <c r="G1694" s="71">
        <v>16</v>
      </c>
      <c r="H1694" s="72">
        <v>0.19097222222222221</v>
      </c>
      <c r="I1694" s="71" t="b">
        <v>0</v>
      </c>
      <c r="J1694" s="71">
        <v>58</v>
      </c>
      <c r="K1694" s="71">
        <v>68</v>
      </c>
      <c r="L1694" s="71">
        <v>78</v>
      </c>
      <c r="M1694" s="71">
        <v>4</v>
      </c>
      <c r="N1694" s="71">
        <v>25</v>
      </c>
      <c r="O1694" s="71">
        <v>0</v>
      </c>
      <c r="P1694" s="71">
        <v>14</v>
      </c>
      <c r="Q1694" s="71">
        <v>78</v>
      </c>
      <c r="R1694" s="71">
        <v>120</v>
      </c>
      <c r="S1694" s="71" t="s">
        <v>29</v>
      </c>
      <c r="T1694" s="73">
        <v>29891</v>
      </c>
      <c r="U1694" s="71" t="s">
        <v>4217</v>
      </c>
      <c r="V1694" s="71" t="b">
        <v>1</v>
      </c>
    </row>
    <row r="1695" spans="1:22" ht="17.25">
      <c r="A1695" s="70">
        <v>1230</v>
      </c>
      <c r="B1695" s="70" t="s">
        <v>529</v>
      </c>
      <c r="C1695" s="70" t="s">
        <v>511</v>
      </c>
      <c r="D1695" s="70" t="s">
        <v>528</v>
      </c>
      <c r="E1695" s="70" t="s">
        <v>124</v>
      </c>
      <c r="F1695" s="71">
        <v>14</v>
      </c>
      <c r="G1695" s="71">
        <v>8</v>
      </c>
      <c r="H1695" s="72" t="s">
        <v>4320</v>
      </c>
      <c r="I1695" s="71" t="b">
        <v>0</v>
      </c>
      <c r="J1695" s="71">
        <v>72</v>
      </c>
      <c r="K1695" s="71">
        <v>63</v>
      </c>
      <c r="L1695" s="71">
        <v>73</v>
      </c>
      <c r="M1695" s="71">
        <v>5</v>
      </c>
      <c r="N1695" s="71">
        <v>27</v>
      </c>
      <c r="O1695" s="71">
        <v>0</v>
      </c>
      <c r="P1695" s="71">
        <v>10</v>
      </c>
      <c r="Q1695" s="71">
        <v>57</v>
      </c>
      <c r="R1695" s="71">
        <v>110</v>
      </c>
      <c r="S1695" s="71" t="s">
        <v>115</v>
      </c>
      <c r="T1695" s="73" t="s">
        <v>4341</v>
      </c>
      <c r="U1695" s="71" t="s">
        <v>3435</v>
      </c>
      <c r="V1695" s="71" t="b">
        <v>0</v>
      </c>
    </row>
    <row r="1696" spans="1:22" ht="17.25">
      <c r="A1696" s="70">
        <v>1231</v>
      </c>
      <c r="B1696" s="70" t="s">
        <v>527</v>
      </c>
      <c r="C1696" s="70" t="s">
        <v>51</v>
      </c>
      <c r="D1696" s="70" t="s">
        <v>526</v>
      </c>
      <c r="E1696" s="70" t="s">
        <v>49</v>
      </c>
      <c r="F1696" s="71">
        <v>19</v>
      </c>
      <c r="G1696" s="71">
        <v>4</v>
      </c>
      <c r="H1696" s="72">
        <v>0.13750000000000001</v>
      </c>
      <c r="I1696" s="71" t="b">
        <v>1</v>
      </c>
      <c r="J1696" s="71">
        <v>62</v>
      </c>
      <c r="K1696" s="71">
        <v>85</v>
      </c>
      <c r="L1696" s="71">
        <v>95</v>
      </c>
      <c r="M1696" s="71">
        <v>5</v>
      </c>
      <c r="N1696" s="71">
        <v>4</v>
      </c>
      <c r="O1696" s="71">
        <v>0</v>
      </c>
      <c r="P1696" s="71">
        <v>79</v>
      </c>
      <c r="Q1696" s="71">
        <v>22</v>
      </c>
      <c r="R1696" s="71">
        <v>143</v>
      </c>
      <c r="S1696" s="71" t="s">
        <v>48</v>
      </c>
      <c r="T1696" s="73">
        <v>45681</v>
      </c>
      <c r="U1696" s="71" t="s">
        <v>4218</v>
      </c>
      <c r="V1696" s="71" t="b">
        <v>0</v>
      </c>
    </row>
    <row r="1697" spans="1:22" ht="17.25">
      <c r="A1697" s="70">
        <v>1232</v>
      </c>
      <c r="B1697" s="70" t="s">
        <v>525</v>
      </c>
      <c r="C1697" s="70" t="s">
        <v>229</v>
      </c>
      <c r="D1697" s="70" t="s">
        <v>524</v>
      </c>
      <c r="E1697" s="70" t="s">
        <v>227</v>
      </c>
      <c r="F1697" s="71">
        <v>6</v>
      </c>
      <c r="G1697" s="71">
        <v>53</v>
      </c>
      <c r="H1697" s="72">
        <v>0.12847222222222221</v>
      </c>
      <c r="I1697" s="71" t="b">
        <v>0</v>
      </c>
      <c r="J1697" s="71">
        <v>62</v>
      </c>
      <c r="K1697" s="71">
        <v>65</v>
      </c>
      <c r="L1697" s="71">
        <v>76</v>
      </c>
      <c r="M1697" s="71">
        <v>5</v>
      </c>
      <c r="N1697" s="71">
        <v>35</v>
      </c>
      <c r="O1697" s="71">
        <v>0</v>
      </c>
      <c r="P1697" s="71">
        <v>10</v>
      </c>
      <c r="Q1697" s="71">
        <v>52</v>
      </c>
      <c r="R1697" s="71">
        <v>95</v>
      </c>
      <c r="S1697" s="71" t="s">
        <v>96</v>
      </c>
      <c r="T1697" s="73">
        <v>45583</v>
      </c>
      <c r="U1697" s="71" t="s">
        <v>3823</v>
      </c>
      <c r="V1697" s="71" t="b">
        <v>0</v>
      </c>
    </row>
    <row r="1698" spans="1:22" ht="17.25">
      <c r="A1698" s="70">
        <v>1235</v>
      </c>
      <c r="B1698" s="70" t="s">
        <v>519</v>
      </c>
      <c r="C1698" s="70" t="s">
        <v>518</v>
      </c>
      <c r="D1698" s="70" t="s">
        <v>517</v>
      </c>
      <c r="E1698" s="70" t="s">
        <v>516</v>
      </c>
      <c r="F1698" s="71">
        <v>28</v>
      </c>
      <c r="G1698" s="71">
        <v>35</v>
      </c>
      <c r="H1698" s="72">
        <v>0.13750000000000001</v>
      </c>
      <c r="I1698" s="71" t="b">
        <v>0</v>
      </c>
      <c r="J1698" s="71">
        <v>62</v>
      </c>
      <c r="K1698" s="71">
        <v>62</v>
      </c>
      <c r="L1698" s="71">
        <v>76</v>
      </c>
      <c r="M1698" s="71">
        <v>6</v>
      </c>
      <c r="N1698" s="71">
        <v>30</v>
      </c>
      <c r="O1698" s="71">
        <v>0</v>
      </c>
      <c r="P1698" s="71">
        <v>10</v>
      </c>
      <c r="Q1698" s="71">
        <v>52</v>
      </c>
      <c r="R1698" s="71">
        <v>95</v>
      </c>
      <c r="S1698" s="71" t="s">
        <v>74</v>
      </c>
      <c r="T1698" s="73">
        <v>45611</v>
      </c>
      <c r="U1698" s="71" t="s">
        <v>4219</v>
      </c>
      <c r="V1698" s="71" t="b">
        <v>0</v>
      </c>
    </row>
    <row r="1699" spans="1:22" ht="17.25">
      <c r="A1699" s="70">
        <v>1236</v>
      </c>
      <c r="B1699" s="70" t="s">
        <v>515</v>
      </c>
      <c r="C1699" s="70" t="s">
        <v>514</v>
      </c>
      <c r="D1699" s="70" t="s">
        <v>513</v>
      </c>
      <c r="E1699" s="70" t="s">
        <v>341</v>
      </c>
      <c r="F1699" s="71">
        <v>64</v>
      </c>
      <c r="G1699" s="71">
        <v>10</v>
      </c>
      <c r="H1699" s="72">
        <v>0.12847222222222221</v>
      </c>
      <c r="I1699" s="71" t="b">
        <v>1</v>
      </c>
      <c r="J1699" s="71">
        <v>80</v>
      </c>
      <c r="K1699" s="71">
        <v>75</v>
      </c>
      <c r="L1699" s="71">
        <v>80</v>
      </c>
      <c r="M1699" s="71">
        <v>10</v>
      </c>
      <c r="N1699" s="71">
        <v>12</v>
      </c>
      <c r="O1699" s="71">
        <v>0</v>
      </c>
      <c r="P1699" s="71">
        <v>12</v>
      </c>
      <c r="Q1699" s="71">
        <v>60</v>
      </c>
      <c r="R1699" s="71">
        <v>108</v>
      </c>
      <c r="S1699" s="71" t="s">
        <v>61</v>
      </c>
      <c r="T1699" s="73">
        <v>45772</v>
      </c>
      <c r="U1699" s="71" t="s">
        <v>4220</v>
      </c>
      <c r="V1699" s="71" t="b">
        <v>0</v>
      </c>
    </row>
    <row r="1700" spans="1:22" ht="17.25">
      <c r="A1700" s="70">
        <v>1237</v>
      </c>
      <c r="B1700" s="70" t="s">
        <v>512</v>
      </c>
      <c r="C1700" s="70" t="s">
        <v>511</v>
      </c>
      <c r="D1700" s="70" t="s">
        <v>510</v>
      </c>
      <c r="E1700" s="70" t="s">
        <v>124</v>
      </c>
      <c r="F1700" s="71">
        <v>20</v>
      </c>
      <c r="G1700" s="71">
        <v>5</v>
      </c>
      <c r="H1700" s="72" t="s">
        <v>4320</v>
      </c>
      <c r="I1700" s="71" t="b">
        <v>0</v>
      </c>
      <c r="J1700" s="71">
        <v>76</v>
      </c>
      <c r="K1700" s="71">
        <v>58</v>
      </c>
      <c r="L1700" s="71">
        <v>72</v>
      </c>
      <c r="M1700" s="71">
        <v>6</v>
      </c>
      <c r="N1700" s="71">
        <v>31</v>
      </c>
      <c r="O1700" s="71">
        <v>0</v>
      </c>
      <c r="P1700" s="71">
        <v>13</v>
      </c>
      <c r="Q1700" s="71">
        <v>64</v>
      </c>
      <c r="R1700" s="71">
        <v>102</v>
      </c>
      <c r="S1700" s="71" t="s">
        <v>115</v>
      </c>
      <c r="T1700" s="73" t="s">
        <v>4341</v>
      </c>
      <c r="U1700" s="71" t="s">
        <v>4221</v>
      </c>
      <c r="V1700" s="71" t="b">
        <v>0</v>
      </c>
    </row>
    <row r="1701" spans="1:22" ht="17.25">
      <c r="A1701" s="70">
        <v>1238</v>
      </c>
      <c r="B1701" s="70" t="s">
        <v>509</v>
      </c>
      <c r="C1701" s="70" t="s">
        <v>4849</v>
      </c>
      <c r="D1701" s="70" t="s">
        <v>508</v>
      </c>
      <c r="E1701" s="70" t="s">
        <v>507</v>
      </c>
      <c r="F1701" s="71">
        <v>109</v>
      </c>
      <c r="G1701" s="71">
        <v>10</v>
      </c>
      <c r="H1701" s="72">
        <v>0.12847222222222221</v>
      </c>
      <c r="I1701" s="71" t="b">
        <v>1</v>
      </c>
      <c r="J1701" s="71">
        <v>84</v>
      </c>
      <c r="K1701" s="71">
        <v>76</v>
      </c>
      <c r="L1701" s="71">
        <v>92</v>
      </c>
      <c r="M1701" s="71">
        <v>7</v>
      </c>
      <c r="N1701" s="71">
        <v>30</v>
      </c>
      <c r="O1701" s="71">
        <v>0</v>
      </c>
      <c r="P1701" s="71">
        <v>4</v>
      </c>
      <c r="Q1701" s="71">
        <v>89</v>
      </c>
      <c r="R1701" s="71">
        <v>91</v>
      </c>
      <c r="S1701" s="71" t="s">
        <v>61</v>
      </c>
      <c r="T1701" s="73">
        <v>45793</v>
      </c>
      <c r="U1701" s="71" t="s">
        <v>4222</v>
      </c>
      <c r="V1701" s="71" t="b">
        <v>0</v>
      </c>
    </row>
    <row r="1702" spans="1:22" ht="17.25">
      <c r="A1702" s="70">
        <v>1238</v>
      </c>
      <c r="B1702" s="70" t="s">
        <v>509</v>
      </c>
      <c r="C1702" s="70" t="s">
        <v>4544</v>
      </c>
      <c r="D1702" s="70" t="s">
        <v>508</v>
      </c>
      <c r="E1702" s="70" t="s">
        <v>507</v>
      </c>
      <c r="F1702" s="71">
        <v>109</v>
      </c>
      <c r="G1702" s="71">
        <v>10</v>
      </c>
      <c r="H1702" s="72">
        <v>0.12847222222222221</v>
      </c>
      <c r="I1702" s="71" t="b">
        <v>1</v>
      </c>
      <c r="J1702" s="71">
        <v>84</v>
      </c>
      <c r="K1702" s="71">
        <v>76</v>
      </c>
      <c r="L1702" s="71">
        <v>92</v>
      </c>
      <c r="M1702" s="71">
        <v>7</v>
      </c>
      <c r="N1702" s="71">
        <v>30</v>
      </c>
      <c r="O1702" s="71">
        <v>0</v>
      </c>
      <c r="P1702" s="71">
        <v>4</v>
      </c>
      <c r="Q1702" s="71">
        <v>89</v>
      </c>
      <c r="R1702" s="71">
        <v>91</v>
      </c>
      <c r="S1702" s="71" t="s">
        <v>61</v>
      </c>
      <c r="T1702" s="73">
        <v>45793</v>
      </c>
      <c r="U1702" s="71" t="s">
        <v>4222</v>
      </c>
      <c r="V1702" s="71" t="b">
        <v>0</v>
      </c>
    </row>
    <row r="1703" spans="1:22" ht="17.25">
      <c r="A1703" s="70">
        <v>1239</v>
      </c>
      <c r="B1703" s="70" t="s">
        <v>506</v>
      </c>
      <c r="C1703" s="70" t="s">
        <v>182</v>
      </c>
      <c r="D1703" s="70" t="s">
        <v>505</v>
      </c>
      <c r="E1703" s="70" t="s">
        <v>180</v>
      </c>
      <c r="F1703" s="71">
        <v>190</v>
      </c>
      <c r="G1703" s="71">
        <v>1</v>
      </c>
      <c r="H1703" s="72" t="s">
        <v>4320</v>
      </c>
      <c r="I1703" s="71" t="b">
        <v>1</v>
      </c>
      <c r="J1703" s="71">
        <v>82</v>
      </c>
      <c r="K1703" s="71">
        <v>62</v>
      </c>
      <c r="L1703" s="71">
        <v>74</v>
      </c>
      <c r="M1703" s="71">
        <v>19</v>
      </c>
      <c r="N1703" s="71">
        <v>21</v>
      </c>
      <c r="O1703" s="71">
        <v>0</v>
      </c>
      <c r="P1703" s="71">
        <v>13</v>
      </c>
      <c r="Q1703" s="71">
        <v>57</v>
      </c>
      <c r="R1703" s="71">
        <v>118</v>
      </c>
      <c r="S1703" s="71" t="s">
        <v>48</v>
      </c>
      <c r="T1703" s="73" t="s">
        <v>4330</v>
      </c>
      <c r="U1703" s="71" t="s">
        <v>3419</v>
      </c>
      <c r="V1703" s="71" t="b">
        <v>0</v>
      </c>
    </row>
    <row r="1704" spans="1:22" ht="17.25">
      <c r="A1704" s="70">
        <v>1241</v>
      </c>
      <c r="B1704" s="70" t="s">
        <v>501</v>
      </c>
      <c r="C1704" s="70" t="s">
        <v>182</v>
      </c>
      <c r="D1704" s="70" t="s">
        <v>500</v>
      </c>
      <c r="E1704" s="70" t="s">
        <v>180</v>
      </c>
      <c r="F1704" s="71">
        <v>11</v>
      </c>
      <c r="G1704" s="71">
        <v>6</v>
      </c>
      <c r="H1704" s="72" t="s">
        <v>4320</v>
      </c>
      <c r="I1704" s="71" t="b">
        <v>1</v>
      </c>
      <c r="J1704" s="71">
        <v>85</v>
      </c>
      <c r="K1704" s="71">
        <v>65</v>
      </c>
      <c r="L1704" s="71">
        <v>73</v>
      </c>
      <c r="M1704" s="71">
        <v>23</v>
      </c>
      <c r="N1704" s="71">
        <v>15</v>
      </c>
      <c r="O1704" s="71">
        <v>0</v>
      </c>
      <c r="P1704" s="71">
        <v>10</v>
      </c>
      <c r="Q1704" s="71">
        <v>62</v>
      </c>
      <c r="R1704" s="71">
        <v>130</v>
      </c>
      <c r="S1704" s="71" t="s">
        <v>48</v>
      </c>
      <c r="T1704" s="73" t="s">
        <v>4330</v>
      </c>
      <c r="U1704" s="71" t="s">
        <v>3683</v>
      </c>
      <c r="V1704" s="71" t="b">
        <v>0</v>
      </c>
    </row>
    <row r="1705" spans="1:22" ht="17.25">
      <c r="A1705" s="70">
        <v>1242</v>
      </c>
      <c r="B1705" s="70" t="s">
        <v>499</v>
      </c>
      <c r="C1705" s="70" t="s">
        <v>272</v>
      </c>
      <c r="D1705" s="70" t="s">
        <v>271</v>
      </c>
      <c r="E1705" s="70" t="s">
        <v>270</v>
      </c>
      <c r="F1705" s="71">
        <v>64</v>
      </c>
      <c r="G1705" s="71">
        <v>2</v>
      </c>
      <c r="H1705" s="72" t="s">
        <v>4317</v>
      </c>
      <c r="I1705" s="71" t="b">
        <v>0</v>
      </c>
      <c r="J1705" s="71">
        <v>79</v>
      </c>
      <c r="K1705" s="71">
        <v>78</v>
      </c>
      <c r="L1705" s="71">
        <v>75</v>
      </c>
      <c r="M1705" s="71">
        <v>8</v>
      </c>
      <c r="N1705" s="71">
        <v>12</v>
      </c>
      <c r="O1705" s="71">
        <v>0</v>
      </c>
      <c r="P1705" s="71">
        <v>16</v>
      </c>
      <c r="Q1705" s="71">
        <v>76</v>
      </c>
      <c r="R1705" s="71">
        <v>125</v>
      </c>
      <c r="S1705" s="71" t="s">
        <v>115</v>
      </c>
      <c r="T1705" s="73" t="s">
        <v>4348</v>
      </c>
      <c r="U1705" s="71" t="s">
        <v>4223</v>
      </c>
      <c r="V1705" s="71" t="b">
        <v>0</v>
      </c>
    </row>
    <row r="1706" spans="1:22" ht="17.25">
      <c r="A1706" s="70">
        <v>1243</v>
      </c>
      <c r="B1706" s="70" t="s">
        <v>498</v>
      </c>
      <c r="C1706" s="70" t="s">
        <v>159</v>
      </c>
      <c r="D1706" s="70" t="s">
        <v>497</v>
      </c>
      <c r="E1706" s="70" t="s">
        <v>319</v>
      </c>
      <c r="F1706" s="71">
        <v>165</v>
      </c>
      <c r="G1706" s="71">
        <v>1</v>
      </c>
      <c r="H1706" s="72" t="s">
        <v>4315</v>
      </c>
      <c r="I1706" s="71" t="b">
        <v>0</v>
      </c>
      <c r="J1706" s="71">
        <v>56</v>
      </c>
      <c r="K1706" s="71">
        <v>38</v>
      </c>
      <c r="L1706" s="71">
        <v>68</v>
      </c>
      <c r="M1706" s="71">
        <v>4</v>
      </c>
      <c r="N1706" s="71">
        <v>73</v>
      </c>
      <c r="O1706" s="71">
        <v>0</v>
      </c>
      <c r="P1706" s="71">
        <v>10</v>
      </c>
      <c r="Q1706" s="71">
        <v>33</v>
      </c>
      <c r="R1706" s="71">
        <v>82</v>
      </c>
      <c r="S1706" s="71" t="s">
        <v>96</v>
      </c>
      <c r="T1706" s="73" t="s">
        <v>4368</v>
      </c>
      <c r="U1706" s="71" t="s">
        <v>4224</v>
      </c>
      <c r="V1706" s="71" t="b">
        <v>0</v>
      </c>
    </row>
    <row r="1707" spans="1:22" ht="17.25">
      <c r="A1707" s="70">
        <v>1244</v>
      </c>
      <c r="B1707" s="70" t="s">
        <v>496</v>
      </c>
      <c r="C1707" s="70" t="s">
        <v>173</v>
      </c>
      <c r="D1707" s="70" t="s">
        <v>495</v>
      </c>
      <c r="E1707" s="70" t="s">
        <v>171</v>
      </c>
      <c r="F1707" s="71">
        <v>12</v>
      </c>
      <c r="G1707" s="71">
        <v>16</v>
      </c>
      <c r="H1707" s="72">
        <v>0.13055555555555556</v>
      </c>
      <c r="I1707" s="71" t="b">
        <v>0</v>
      </c>
      <c r="J1707" s="71">
        <v>62</v>
      </c>
      <c r="K1707" s="71">
        <v>60</v>
      </c>
      <c r="L1707" s="71">
        <v>75</v>
      </c>
      <c r="M1707" s="71">
        <v>5</v>
      </c>
      <c r="N1707" s="71">
        <v>40</v>
      </c>
      <c r="O1707" s="71">
        <v>0</v>
      </c>
      <c r="P1707" s="71">
        <v>10</v>
      </c>
      <c r="Q1707" s="71">
        <v>52</v>
      </c>
      <c r="R1707" s="71">
        <v>95</v>
      </c>
      <c r="S1707" s="71" t="s">
        <v>96</v>
      </c>
      <c r="T1707" s="73">
        <v>45695</v>
      </c>
      <c r="U1707" s="71" t="s">
        <v>4225</v>
      </c>
      <c r="V1707" s="71" t="b">
        <v>0</v>
      </c>
    </row>
    <row r="1708" spans="1:22" ht="17.25">
      <c r="A1708" s="70">
        <v>1245</v>
      </c>
      <c r="B1708" s="70" t="s">
        <v>494</v>
      </c>
      <c r="C1708" s="70" t="s">
        <v>373</v>
      </c>
      <c r="D1708" s="70" t="s">
        <v>493</v>
      </c>
      <c r="E1708" s="70" t="s">
        <v>371</v>
      </c>
      <c r="F1708" s="71">
        <v>3</v>
      </c>
      <c r="G1708" s="71">
        <v>71</v>
      </c>
      <c r="H1708" s="72">
        <v>0.15416666666666667</v>
      </c>
      <c r="I1708" s="71" t="b">
        <v>0</v>
      </c>
      <c r="J1708" s="71">
        <v>39</v>
      </c>
      <c r="K1708" s="71">
        <v>8</v>
      </c>
      <c r="L1708" s="71">
        <v>70</v>
      </c>
      <c r="M1708" s="71">
        <v>3</v>
      </c>
      <c r="N1708" s="71">
        <v>95</v>
      </c>
      <c r="O1708" s="71">
        <v>0</v>
      </c>
      <c r="P1708" s="71">
        <v>10</v>
      </c>
      <c r="Q1708" s="71">
        <v>11</v>
      </c>
      <c r="R1708" s="71">
        <v>79</v>
      </c>
      <c r="S1708" s="71" t="s">
        <v>96</v>
      </c>
      <c r="T1708" s="73">
        <v>45120</v>
      </c>
      <c r="U1708" s="71" t="s">
        <v>4226</v>
      </c>
      <c r="V1708" s="71" t="b">
        <v>0</v>
      </c>
    </row>
    <row r="1709" spans="1:22" ht="17.25">
      <c r="A1709" s="70">
        <v>1246</v>
      </c>
      <c r="B1709" s="70" t="s">
        <v>492</v>
      </c>
      <c r="C1709" s="70" t="s">
        <v>32</v>
      </c>
      <c r="D1709" s="70" t="s">
        <v>491</v>
      </c>
      <c r="E1709" s="70" t="s">
        <v>30</v>
      </c>
      <c r="F1709" s="71">
        <v>27</v>
      </c>
      <c r="G1709" s="71">
        <v>2</v>
      </c>
      <c r="H1709" s="72" t="s">
        <v>4315</v>
      </c>
      <c r="I1709" s="71" t="b">
        <v>0</v>
      </c>
      <c r="J1709" s="71">
        <v>59</v>
      </c>
      <c r="K1709" s="71">
        <v>46</v>
      </c>
      <c r="L1709" s="71">
        <v>70</v>
      </c>
      <c r="M1709" s="71">
        <v>4</v>
      </c>
      <c r="N1709" s="71">
        <v>62</v>
      </c>
      <c r="O1709" s="71">
        <v>0</v>
      </c>
      <c r="P1709" s="71">
        <v>13</v>
      </c>
      <c r="Q1709" s="71">
        <v>38</v>
      </c>
      <c r="R1709" s="71">
        <v>96</v>
      </c>
      <c r="S1709" s="71" t="s">
        <v>96</v>
      </c>
      <c r="T1709" s="73" t="s">
        <v>4372</v>
      </c>
      <c r="U1709" s="71" t="s">
        <v>3507</v>
      </c>
      <c r="V1709" s="71" t="b">
        <v>0</v>
      </c>
    </row>
    <row r="1710" spans="1:22" ht="17.25">
      <c r="A1710" s="70">
        <v>1247</v>
      </c>
      <c r="B1710" s="70" t="s">
        <v>490</v>
      </c>
      <c r="C1710" s="70" t="s">
        <v>419</v>
      </c>
      <c r="D1710" s="70" t="s">
        <v>489</v>
      </c>
      <c r="E1710" s="70" t="s">
        <v>488</v>
      </c>
      <c r="F1710" s="71">
        <v>96</v>
      </c>
      <c r="G1710" s="71">
        <v>14</v>
      </c>
      <c r="H1710" s="72">
        <v>0.12847222222222221</v>
      </c>
      <c r="I1710" s="71" t="b">
        <v>1</v>
      </c>
      <c r="J1710" s="71">
        <v>75</v>
      </c>
      <c r="K1710" s="71">
        <v>87</v>
      </c>
      <c r="L1710" s="71">
        <v>93</v>
      </c>
      <c r="M1710" s="71">
        <v>3</v>
      </c>
      <c r="N1710" s="71">
        <v>16</v>
      </c>
      <c r="O1710" s="71">
        <v>0</v>
      </c>
      <c r="P1710" s="71">
        <v>30</v>
      </c>
      <c r="Q1710" s="71">
        <v>83</v>
      </c>
      <c r="R1710" s="71">
        <v>120</v>
      </c>
      <c r="S1710" s="71" t="s">
        <v>61</v>
      </c>
      <c r="T1710" s="73">
        <v>45793</v>
      </c>
      <c r="U1710" s="71" t="s">
        <v>4227</v>
      </c>
      <c r="V1710" s="71" t="b">
        <v>0</v>
      </c>
    </row>
    <row r="1711" spans="1:22" ht="17.25">
      <c r="A1711" s="70">
        <v>1247</v>
      </c>
      <c r="B1711" s="70" t="s">
        <v>490</v>
      </c>
      <c r="C1711" s="70" t="s">
        <v>4545</v>
      </c>
      <c r="D1711" s="70" t="s">
        <v>489</v>
      </c>
      <c r="E1711" s="70" t="s">
        <v>488</v>
      </c>
      <c r="F1711" s="71">
        <v>96</v>
      </c>
      <c r="G1711" s="71">
        <v>14</v>
      </c>
      <c r="H1711" s="72">
        <v>0.12847222222222221</v>
      </c>
      <c r="I1711" s="71" t="b">
        <v>1</v>
      </c>
      <c r="J1711" s="71">
        <v>75</v>
      </c>
      <c r="K1711" s="71">
        <v>87</v>
      </c>
      <c r="L1711" s="71">
        <v>93</v>
      </c>
      <c r="M1711" s="71">
        <v>3</v>
      </c>
      <c r="N1711" s="71">
        <v>16</v>
      </c>
      <c r="O1711" s="71">
        <v>0</v>
      </c>
      <c r="P1711" s="71">
        <v>30</v>
      </c>
      <c r="Q1711" s="71">
        <v>83</v>
      </c>
      <c r="R1711" s="71">
        <v>120</v>
      </c>
      <c r="S1711" s="71" t="s">
        <v>61</v>
      </c>
      <c r="T1711" s="73">
        <v>45793</v>
      </c>
      <c r="U1711" s="71" t="s">
        <v>4227</v>
      </c>
      <c r="V1711" s="71" t="b">
        <v>0</v>
      </c>
    </row>
    <row r="1712" spans="1:22" ht="17.25">
      <c r="A1712" s="70">
        <v>1248</v>
      </c>
      <c r="B1712" s="70" t="s">
        <v>487</v>
      </c>
      <c r="C1712" s="70" t="s">
        <v>4906</v>
      </c>
      <c r="D1712" s="70" t="s">
        <v>486</v>
      </c>
      <c r="E1712" s="70" t="s">
        <v>44</v>
      </c>
      <c r="F1712" s="71">
        <v>15</v>
      </c>
      <c r="G1712" s="71">
        <v>19</v>
      </c>
      <c r="H1712" s="72" t="s">
        <v>4320</v>
      </c>
      <c r="I1712" s="71" t="b">
        <v>1</v>
      </c>
      <c r="J1712" s="71">
        <v>79</v>
      </c>
      <c r="K1712" s="71">
        <v>59</v>
      </c>
      <c r="L1712" s="71">
        <v>72</v>
      </c>
      <c r="M1712" s="71">
        <v>16</v>
      </c>
      <c r="N1712" s="71">
        <v>29</v>
      </c>
      <c r="O1712" s="71">
        <v>0</v>
      </c>
      <c r="P1712" s="71">
        <v>11</v>
      </c>
      <c r="Q1712" s="71">
        <v>61</v>
      </c>
      <c r="R1712" s="71">
        <v>108</v>
      </c>
      <c r="S1712" s="71" t="s">
        <v>48</v>
      </c>
      <c r="T1712" s="73" t="s">
        <v>4381</v>
      </c>
      <c r="U1712" s="71" t="s">
        <v>3891</v>
      </c>
      <c r="V1712" s="71" t="b">
        <v>0</v>
      </c>
    </row>
    <row r="1713" spans="1:22" ht="17.25">
      <c r="A1713" s="70">
        <v>1250</v>
      </c>
      <c r="B1713" s="70" t="s">
        <v>482</v>
      </c>
      <c r="C1713" s="70" t="s">
        <v>4613</v>
      </c>
      <c r="D1713" s="70" t="s">
        <v>481</v>
      </c>
      <c r="E1713" s="70" t="s">
        <v>480</v>
      </c>
      <c r="F1713" s="71">
        <v>75</v>
      </c>
      <c r="G1713" s="71">
        <v>3</v>
      </c>
      <c r="H1713" s="72" t="s">
        <v>4334</v>
      </c>
      <c r="I1713" s="71" t="b">
        <v>0</v>
      </c>
      <c r="J1713" s="71">
        <v>64</v>
      </c>
      <c r="K1713" s="71">
        <v>55</v>
      </c>
      <c r="L1713" s="71">
        <v>71</v>
      </c>
      <c r="M1713" s="71">
        <v>5</v>
      </c>
      <c r="N1713" s="71">
        <v>52</v>
      </c>
      <c r="O1713" s="71">
        <v>0</v>
      </c>
      <c r="P1713" s="71">
        <v>12</v>
      </c>
      <c r="Q1713" s="71">
        <v>48</v>
      </c>
      <c r="R1713" s="71">
        <v>96</v>
      </c>
      <c r="S1713" s="71" t="s">
        <v>359</v>
      </c>
      <c r="T1713" s="73" t="s">
        <v>4344</v>
      </c>
      <c r="U1713" s="71" t="s">
        <v>4228</v>
      </c>
      <c r="V1713" s="71" t="b">
        <v>0</v>
      </c>
    </row>
    <row r="1714" spans="1:22" ht="17.25">
      <c r="A1714" s="70">
        <v>1250</v>
      </c>
      <c r="B1714" s="70" t="s">
        <v>482</v>
      </c>
      <c r="C1714" s="70" t="s">
        <v>4850</v>
      </c>
      <c r="D1714" s="70" t="s">
        <v>481</v>
      </c>
      <c r="E1714" s="70" t="s">
        <v>480</v>
      </c>
      <c r="F1714" s="71">
        <v>75</v>
      </c>
      <c r="G1714" s="71">
        <v>3</v>
      </c>
      <c r="H1714" s="72" t="s">
        <v>4334</v>
      </c>
      <c r="I1714" s="71" t="b">
        <v>0</v>
      </c>
      <c r="J1714" s="71">
        <v>64</v>
      </c>
      <c r="K1714" s="71">
        <v>55</v>
      </c>
      <c r="L1714" s="71">
        <v>71</v>
      </c>
      <c r="M1714" s="71">
        <v>5</v>
      </c>
      <c r="N1714" s="71">
        <v>52</v>
      </c>
      <c r="O1714" s="71">
        <v>0</v>
      </c>
      <c r="P1714" s="71">
        <v>12</v>
      </c>
      <c r="Q1714" s="71">
        <v>48</v>
      </c>
      <c r="R1714" s="71">
        <v>96</v>
      </c>
      <c r="S1714" s="71" t="s">
        <v>359</v>
      </c>
      <c r="T1714" s="73" t="s">
        <v>4344</v>
      </c>
      <c r="U1714" s="71" t="s">
        <v>4228</v>
      </c>
      <c r="V1714" s="71" t="b">
        <v>0</v>
      </c>
    </row>
    <row r="1715" spans="1:22" ht="17.25">
      <c r="A1715" s="70">
        <v>1250</v>
      </c>
      <c r="B1715" s="70" t="s">
        <v>482</v>
      </c>
      <c r="C1715" s="70" t="s">
        <v>4432</v>
      </c>
      <c r="D1715" s="70" t="s">
        <v>481</v>
      </c>
      <c r="E1715" s="70" t="s">
        <v>480</v>
      </c>
      <c r="F1715" s="71">
        <v>75</v>
      </c>
      <c r="G1715" s="71">
        <v>3</v>
      </c>
      <c r="H1715" s="72" t="s">
        <v>4334</v>
      </c>
      <c r="I1715" s="71" t="b">
        <v>0</v>
      </c>
      <c r="J1715" s="71">
        <v>64</v>
      </c>
      <c r="K1715" s="71">
        <v>55</v>
      </c>
      <c r="L1715" s="71">
        <v>71</v>
      </c>
      <c r="M1715" s="71">
        <v>5</v>
      </c>
      <c r="N1715" s="71">
        <v>52</v>
      </c>
      <c r="O1715" s="71">
        <v>0</v>
      </c>
      <c r="P1715" s="71">
        <v>12</v>
      </c>
      <c r="Q1715" s="71">
        <v>48</v>
      </c>
      <c r="R1715" s="71">
        <v>96</v>
      </c>
      <c r="S1715" s="71" t="s">
        <v>359</v>
      </c>
      <c r="T1715" s="73" t="s">
        <v>4344</v>
      </c>
      <c r="U1715" s="71" t="s">
        <v>4228</v>
      </c>
      <c r="V1715" s="71" t="b">
        <v>0</v>
      </c>
    </row>
    <row r="1716" spans="1:22" ht="17.25">
      <c r="A1716" s="70">
        <v>1252</v>
      </c>
      <c r="B1716" s="70" t="s">
        <v>478</v>
      </c>
      <c r="C1716" s="70" t="s">
        <v>477</v>
      </c>
      <c r="D1716" s="70" t="s">
        <v>476</v>
      </c>
      <c r="E1716" s="70" t="s">
        <v>475</v>
      </c>
      <c r="F1716" s="71">
        <v>49</v>
      </c>
      <c r="G1716" s="71">
        <v>1</v>
      </c>
      <c r="H1716" s="72" t="s">
        <v>4320</v>
      </c>
      <c r="I1716" s="71" t="b">
        <v>1</v>
      </c>
      <c r="J1716" s="71">
        <v>78</v>
      </c>
      <c r="K1716" s="71">
        <v>69</v>
      </c>
      <c r="L1716" s="71">
        <v>74</v>
      </c>
      <c r="M1716" s="71">
        <v>22</v>
      </c>
      <c r="N1716" s="71">
        <v>15</v>
      </c>
      <c r="O1716" s="71">
        <v>0</v>
      </c>
      <c r="P1716" s="71">
        <v>18</v>
      </c>
      <c r="Q1716" s="71">
        <v>49</v>
      </c>
      <c r="R1716" s="71">
        <v>136</v>
      </c>
      <c r="S1716" s="71" t="s">
        <v>48</v>
      </c>
      <c r="T1716" s="73" t="s">
        <v>4354</v>
      </c>
      <c r="U1716" s="71" t="s">
        <v>3651</v>
      </c>
      <c r="V1716" s="71" t="b">
        <v>0</v>
      </c>
    </row>
    <row r="1717" spans="1:22" ht="17.25">
      <c r="A1717" s="70">
        <v>1253</v>
      </c>
      <c r="B1717" s="70" t="s">
        <v>474</v>
      </c>
      <c r="C1717" s="70" t="s">
        <v>182</v>
      </c>
      <c r="D1717" s="70" t="s">
        <v>473</v>
      </c>
      <c r="E1717" s="70" t="s">
        <v>180</v>
      </c>
      <c r="F1717" s="71">
        <v>93</v>
      </c>
      <c r="G1717" s="71">
        <v>1</v>
      </c>
      <c r="H1717" s="72" t="s">
        <v>4320</v>
      </c>
      <c r="I1717" s="71" t="b">
        <v>1</v>
      </c>
      <c r="J1717" s="71">
        <v>78</v>
      </c>
      <c r="K1717" s="71">
        <v>58</v>
      </c>
      <c r="L1717" s="71">
        <v>72</v>
      </c>
      <c r="M1717" s="71">
        <v>31</v>
      </c>
      <c r="N1717" s="71">
        <v>28</v>
      </c>
      <c r="O1717" s="71">
        <v>0</v>
      </c>
      <c r="P1717" s="71">
        <v>12</v>
      </c>
      <c r="Q1717" s="71">
        <v>41</v>
      </c>
      <c r="R1717" s="71">
        <v>135</v>
      </c>
      <c r="S1717" s="71" t="s">
        <v>48</v>
      </c>
      <c r="T1717" s="73" t="s">
        <v>4330</v>
      </c>
      <c r="U1717" s="71" t="s">
        <v>3419</v>
      </c>
      <c r="V1717" s="71" t="b">
        <v>0</v>
      </c>
    </row>
    <row r="1718" spans="1:22" ht="17.25">
      <c r="A1718" s="70">
        <v>1254</v>
      </c>
      <c r="B1718" s="70" t="s">
        <v>472</v>
      </c>
      <c r="C1718" s="70" t="s">
        <v>471</v>
      </c>
      <c r="D1718" s="70" t="s">
        <v>470</v>
      </c>
      <c r="E1718" s="70" t="s">
        <v>469</v>
      </c>
      <c r="F1718" s="71">
        <v>27</v>
      </c>
      <c r="G1718" s="71">
        <v>148</v>
      </c>
      <c r="H1718" s="72">
        <v>0.16527777777777777</v>
      </c>
      <c r="I1718" s="71" t="b">
        <v>1</v>
      </c>
      <c r="J1718" s="71">
        <v>52</v>
      </c>
      <c r="K1718" s="71">
        <v>43</v>
      </c>
      <c r="L1718" s="71">
        <v>83</v>
      </c>
      <c r="M1718" s="71">
        <v>4</v>
      </c>
      <c r="N1718" s="71">
        <v>1</v>
      </c>
      <c r="O1718" s="71">
        <v>0</v>
      </c>
      <c r="P1718" s="71">
        <v>13</v>
      </c>
      <c r="Q1718" s="71">
        <v>10</v>
      </c>
      <c r="R1718" s="71">
        <v>92</v>
      </c>
      <c r="S1718" s="71" t="s">
        <v>79</v>
      </c>
      <c r="T1718" s="73">
        <v>33868</v>
      </c>
      <c r="U1718" s="71" t="s">
        <v>4229</v>
      </c>
      <c r="V1718" s="71" t="b">
        <v>0</v>
      </c>
    </row>
    <row r="1719" spans="1:22" ht="17.25">
      <c r="A1719" s="70">
        <v>1255</v>
      </c>
      <c r="B1719" s="70" t="s">
        <v>468</v>
      </c>
      <c r="C1719" s="70" t="s">
        <v>467</v>
      </c>
      <c r="D1719" s="70" t="s">
        <v>466</v>
      </c>
      <c r="E1719" s="70" t="s">
        <v>104</v>
      </c>
      <c r="F1719" s="71">
        <v>2</v>
      </c>
      <c r="G1719" s="71">
        <v>4</v>
      </c>
      <c r="H1719" s="72" t="s">
        <v>4369</v>
      </c>
      <c r="I1719" s="71" t="b">
        <v>0</v>
      </c>
      <c r="J1719" s="71">
        <v>66</v>
      </c>
      <c r="K1719" s="71">
        <v>50</v>
      </c>
      <c r="L1719" s="71">
        <v>70</v>
      </c>
      <c r="M1719" s="71">
        <v>5</v>
      </c>
      <c r="N1719" s="71">
        <v>48</v>
      </c>
      <c r="O1719" s="71">
        <v>0</v>
      </c>
      <c r="P1719" s="71">
        <v>12</v>
      </c>
      <c r="Q1719" s="71">
        <v>42</v>
      </c>
      <c r="R1719" s="71">
        <v>114</v>
      </c>
      <c r="S1719" s="71" t="s">
        <v>96</v>
      </c>
      <c r="T1719" s="73" t="s">
        <v>4371</v>
      </c>
      <c r="U1719" s="71" t="s">
        <v>4230</v>
      </c>
      <c r="V1719" s="71" t="b">
        <v>0</v>
      </c>
    </row>
    <row r="1720" spans="1:22" ht="17.25">
      <c r="A1720" s="70">
        <v>1256</v>
      </c>
      <c r="B1720" s="70" t="s">
        <v>465</v>
      </c>
      <c r="C1720" s="70" t="s">
        <v>430</v>
      </c>
      <c r="D1720" s="70" t="s">
        <v>464</v>
      </c>
      <c r="E1720" s="70" t="s">
        <v>75</v>
      </c>
      <c r="F1720" s="71">
        <v>2</v>
      </c>
      <c r="G1720" s="71">
        <v>7</v>
      </c>
      <c r="H1720" s="72" t="s">
        <v>4315</v>
      </c>
      <c r="I1720" s="71" t="b">
        <v>0</v>
      </c>
      <c r="J1720" s="71">
        <v>58</v>
      </c>
      <c r="K1720" s="71">
        <v>35</v>
      </c>
      <c r="L1720" s="71">
        <v>68</v>
      </c>
      <c r="M1720" s="71">
        <v>3</v>
      </c>
      <c r="N1720" s="71">
        <v>78</v>
      </c>
      <c r="O1720" s="71">
        <v>0</v>
      </c>
      <c r="P1720" s="71">
        <v>16</v>
      </c>
      <c r="Q1720" s="71">
        <v>25</v>
      </c>
      <c r="R1720" s="71">
        <v>88</v>
      </c>
      <c r="S1720" s="71" t="s">
        <v>96</v>
      </c>
      <c r="T1720" s="73" t="s">
        <v>4319</v>
      </c>
      <c r="U1720" s="71" t="s">
        <v>3451</v>
      </c>
      <c r="V1720" s="71" t="b">
        <v>0</v>
      </c>
    </row>
    <row r="1721" spans="1:22" ht="17.25">
      <c r="A1721" s="70">
        <v>1257</v>
      </c>
      <c r="B1721" s="70" t="s">
        <v>463</v>
      </c>
      <c r="C1721" s="70" t="s">
        <v>461</v>
      </c>
      <c r="D1721" s="70" t="s">
        <v>462</v>
      </c>
      <c r="E1721" s="70" t="s">
        <v>461</v>
      </c>
      <c r="F1721" s="71">
        <v>177</v>
      </c>
      <c r="G1721" s="71">
        <v>2</v>
      </c>
      <c r="H1721" s="72" t="s">
        <v>4334</v>
      </c>
      <c r="I1721" s="71" t="b">
        <v>0</v>
      </c>
      <c r="J1721" s="71">
        <v>60</v>
      </c>
      <c r="K1721" s="71">
        <v>45</v>
      </c>
      <c r="L1721" s="71">
        <v>70</v>
      </c>
      <c r="M1721" s="71">
        <v>4</v>
      </c>
      <c r="N1721" s="71">
        <v>68</v>
      </c>
      <c r="O1721" s="71">
        <v>0</v>
      </c>
      <c r="P1721" s="71">
        <v>11</v>
      </c>
      <c r="Q1721" s="71">
        <v>38</v>
      </c>
      <c r="R1721" s="71">
        <v>118</v>
      </c>
      <c r="S1721" s="71" t="s">
        <v>74</v>
      </c>
      <c r="T1721" s="73" t="s">
        <v>4335</v>
      </c>
      <c r="U1721" s="71" t="s">
        <v>4231</v>
      </c>
      <c r="V1721" s="71" t="b">
        <v>0</v>
      </c>
    </row>
    <row r="1722" spans="1:22" ht="17.25">
      <c r="A1722" s="70">
        <v>1258</v>
      </c>
      <c r="B1722" s="70" t="s">
        <v>460</v>
      </c>
      <c r="C1722" s="70" t="s">
        <v>54</v>
      </c>
      <c r="D1722" s="70" t="s">
        <v>459</v>
      </c>
      <c r="E1722" s="70" t="s">
        <v>324</v>
      </c>
      <c r="F1722" s="71">
        <v>20</v>
      </c>
      <c r="G1722" s="71">
        <v>2</v>
      </c>
      <c r="H1722" s="72" t="s">
        <v>4320</v>
      </c>
      <c r="I1722" s="71" t="b">
        <v>0</v>
      </c>
      <c r="J1722" s="71">
        <v>68</v>
      </c>
      <c r="K1722" s="71">
        <v>51</v>
      </c>
      <c r="L1722" s="71">
        <v>71</v>
      </c>
      <c r="M1722" s="71">
        <v>5</v>
      </c>
      <c r="N1722" s="71">
        <v>46</v>
      </c>
      <c r="O1722" s="71">
        <v>0</v>
      </c>
      <c r="P1722" s="71">
        <v>13</v>
      </c>
      <c r="Q1722" s="71">
        <v>43</v>
      </c>
      <c r="R1722" s="71">
        <v>105</v>
      </c>
      <c r="S1722" s="71" t="s">
        <v>96</v>
      </c>
      <c r="T1722" s="73" t="s">
        <v>4368</v>
      </c>
      <c r="U1722" s="71" t="s">
        <v>3387</v>
      </c>
      <c r="V1722" s="71" t="b">
        <v>0</v>
      </c>
    </row>
    <row r="1723" spans="1:22" ht="17.25">
      <c r="A1723" s="70">
        <v>1259</v>
      </c>
      <c r="B1723" s="70" t="s">
        <v>458</v>
      </c>
      <c r="C1723" s="70" t="s">
        <v>4851</v>
      </c>
      <c r="D1723" s="70" t="s">
        <v>457</v>
      </c>
      <c r="E1723" s="70" t="s">
        <v>89</v>
      </c>
      <c r="F1723" s="71">
        <v>191</v>
      </c>
      <c r="G1723" s="71">
        <v>2</v>
      </c>
      <c r="H1723" s="72" t="s">
        <v>4352</v>
      </c>
      <c r="I1723" s="71" t="b">
        <v>1</v>
      </c>
      <c r="J1723" s="71">
        <v>64</v>
      </c>
      <c r="K1723" s="71">
        <v>50</v>
      </c>
      <c r="L1723" s="71">
        <v>68</v>
      </c>
      <c r="M1723" s="71">
        <v>8</v>
      </c>
      <c r="N1723" s="71">
        <v>42</v>
      </c>
      <c r="O1723" s="71">
        <v>0</v>
      </c>
      <c r="P1723" s="71">
        <v>15</v>
      </c>
      <c r="Q1723" s="71">
        <v>46</v>
      </c>
      <c r="R1723" s="71">
        <v>98</v>
      </c>
      <c r="S1723" s="71" t="s">
        <v>88</v>
      </c>
      <c r="T1723" s="73" t="s">
        <v>4351</v>
      </c>
      <c r="U1723" s="71" t="s">
        <v>4232</v>
      </c>
      <c r="V1723" s="71" t="b">
        <v>0</v>
      </c>
    </row>
    <row r="1724" spans="1:22" ht="17.25">
      <c r="A1724" s="70">
        <v>1259</v>
      </c>
      <c r="B1724" s="70" t="s">
        <v>458</v>
      </c>
      <c r="C1724" s="70" t="s">
        <v>89</v>
      </c>
      <c r="D1724" s="70" t="s">
        <v>457</v>
      </c>
      <c r="E1724" s="70" t="s">
        <v>89</v>
      </c>
      <c r="F1724" s="71">
        <v>191</v>
      </c>
      <c r="G1724" s="71">
        <v>2</v>
      </c>
      <c r="H1724" s="72" t="s">
        <v>4352</v>
      </c>
      <c r="I1724" s="71" t="b">
        <v>1</v>
      </c>
      <c r="J1724" s="71">
        <v>64</v>
      </c>
      <c r="K1724" s="71">
        <v>50</v>
      </c>
      <c r="L1724" s="71">
        <v>68</v>
      </c>
      <c r="M1724" s="71">
        <v>8</v>
      </c>
      <c r="N1724" s="71">
        <v>42</v>
      </c>
      <c r="O1724" s="71">
        <v>0</v>
      </c>
      <c r="P1724" s="71">
        <v>15</v>
      </c>
      <c r="Q1724" s="71">
        <v>46</v>
      </c>
      <c r="R1724" s="71">
        <v>98</v>
      </c>
      <c r="S1724" s="71" t="s">
        <v>88</v>
      </c>
      <c r="T1724" s="73" t="s">
        <v>4351</v>
      </c>
      <c r="U1724" s="71" t="s">
        <v>4232</v>
      </c>
      <c r="V1724" s="71" t="b">
        <v>0</v>
      </c>
    </row>
    <row r="1725" spans="1:22" ht="17.25">
      <c r="A1725" s="70">
        <v>1260</v>
      </c>
      <c r="B1725" s="70" t="s">
        <v>456</v>
      </c>
      <c r="C1725" s="70" t="s">
        <v>4852</v>
      </c>
      <c r="D1725" s="70" t="s">
        <v>455</v>
      </c>
      <c r="E1725" s="70" t="s">
        <v>454</v>
      </c>
      <c r="F1725" s="71">
        <v>33</v>
      </c>
      <c r="G1725" s="71">
        <v>10</v>
      </c>
      <c r="H1725" s="72" t="s">
        <v>4315</v>
      </c>
      <c r="I1725" s="71" t="b">
        <v>0</v>
      </c>
      <c r="J1725" s="71">
        <v>76</v>
      </c>
      <c r="K1725" s="71">
        <v>63</v>
      </c>
      <c r="L1725" s="71">
        <v>72</v>
      </c>
      <c r="M1725" s="71">
        <v>6</v>
      </c>
      <c r="N1725" s="71">
        <v>24</v>
      </c>
      <c r="O1725" s="71">
        <v>0</v>
      </c>
      <c r="P1725" s="71">
        <v>13</v>
      </c>
      <c r="Q1725" s="71">
        <v>68</v>
      </c>
      <c r="R1725" s="71">
        <v>126</v>
      </c>
      <c r="S1725" s="71" t="s">
        <v>128</v>
      </c>
      <c r="T1725" s="73" t="s">
        <v>4388</v>
      </c>
      <c r="U1725" s="71" t="s">
        <v>4233</v>
      </c>
      <c r="V1725" s="71" t="b">
        <v>0</v>
      </c>
    </row>
    <row r="1726" spans="1:22" ht="17.25">
      <c r="A1726" s="70">
        <v>1260</v>
      </c>
      <c r="B1726" s="70" t="s">
        <v>456</v>
      </c>
      <c r="C1726" s="70" t="s">
        <v>454</v>
      </c>
      <c r="D1726" s="70" t="s">
        <v>455</v>
      </c>
      <c r="E1726" s="70" t="s">
        <v>454</v>
      </c>
      <c r="F1726" s="71">
        <v>33</v>
      </c>
      <c r="G1726" s="71">
        <v>10</v>
      </c>
      <c r="H1726" s="72" t="s">
        <v>4315</v>
      </c>
      <c r="I1726" s="71" t="b">
        <v>0</v>
      </c>
      <c r="J1726" s="71">
        <v>76</v>
      </c>
      <c r="K1726" s="71">
        <v>63</v>
      </c>
      <c r="L1726" s="71">
        <v>72</v>
      </c>
      <c r="M1726" s="71">
        <v>6</v>
      </c>
      <c r="N1726" s="71">
        <v>24</v>
      </c>
      <c r="O1726" s="71">
        <v>0</v>
      </c>
      <c r="P1726" s="71">
        <v>13</v>
      </c>
      <c r="Q1726" s="71">
        <v>68</v>
      </c>
      <c r="R1726" s="71">
        <v>126</v>
      </c>
      <c r="S1726" s="71" t="s">
        <v>128</v>
      </c>
      <c r="T1726" s="73" t="s">
        <v>4388</v>
      </c>
      <c r="U1726" s="71" t="s">
        <v>4233</v>
      </c>
      <c r="V1726" s="71" t="b">
        <v>0</v>
      </c>
    </row>
    <row r="1727" spans="1:22" ht="17.25">
      <c r="A1727" s="70">
        <v>1261</v>
      </c>
      <c r="B1727" s="70" t="s">
        <v>453</v>
      </c>
      <c r="C1727" s="70" t="s">
        <v>452</v>
      </c>
      <c r="D1727" s="70" t="s">
        <v>451</v>
      </c>
      <c r="E1727" s="70" t="s">
        <v>75</v>
      </c>
      <c r="F1727" s="71">
        <v>168</v>
      </c>
      <c r="G1727" s="71">
        <v>2</v>
      </c>
      <c r="H1727" s="72">
        <v>0.13750000000000001</v>
      </c>
      <c r="I1727" s="71" t="b">
        <v>0</v>
      </c>
      <c r="J1727" s="71">
        <v>46</v>
      </c>
      <c r="K1727" s="71">
        <v>43</v>
      </c>
      <c r="L1727" s="71">
        <v>85</v>
      </c>
      <c r="M1727" s="71">
        <v>4</v>
      </c>
      <c r="N1727" s="71">
        <v>61</v>
      </c>
      <c r="O1727" s="71">
        <v>3</v>
      </c>
      <c r="P1727" s="71">
        <v>19</v>
      </c>
      <c r="Q1727" s="71">
        <v>5</v>
      </c>
      <c r="R1727" s="71">
        <v>107</v>
      </c>
      <c r="S1727" s="71" t="s">
        <v>26</v>
      </c>
      <c r="T1727" s="73">
        <v>45772</v>
      </c>
      <c r="U1727" s="71" t="s">
        <v>4234</v>
      </c>
      <c r="V1727" s="71" t="b">
        <v>0</v>
      </c>
    </row>
    <row r="1728" spans="1:22" ht="17.25">
      <c r="A1728" s="70">
        <v>1262</v>
      </c>
      <c r="B1728" s="70" t="s">
        <v>450</v>
      </c>
      <c r="C1728" s="70" t="s">
        <v>4853</v>
      </c>
      <c r="D1728" s="70" t="s">
        <v>449</v>
      </c>
      <c r="E1728" s="70" t="s">
        <v>448</v>
      </c>
      <c r="F1728" s="71">
        <v>131</v>
      </c>
      <c r="G1728" s="71">
        <v>3</v>
      </c>
      <c r="H1728" s="72" t="s">
        <v>4320</v>
      </c>
      <c r="I1728" s="71" t="b">
        <v>1</v>
      </c>
      <c r="J1728" s="71">
        <v>72</v>
      </c>
      <c r="K1728" s="71">
        <v>68</v>
      </c>
      <c r="L1728" s="71">
        <v>73</v>
      </c>
      <c r="M1728" s="71">
        <v>11</v>
      </c>
      <c r="N1728" s="71">
        <v>28</v>
      </c>
      <c r="O1728" s="71">
        <v>0</v>
      </c>
      <c r="P1728" s="71">
        <v>15</v>
      </c>
      <c r="Q1728" s="71">
        <v>59</v>
      </c>
      <c r="R1728" s="71">
        <v>136</v>
      </c>
      <c r="S1728" s="71" t="s">
        <v>447</v>
      </c>
      <c r="T1728" s="73" t="s">
        <v>4388</v>
      </c>
      <c r="U1728" s="71" t="s">
        <v>4235</v>
      </c>
      <c r="V1728" s="71" t="b">
        <v>0</v>
      </c>
    </row>
    <row r="1729" spans="1:22" ht="17.25">
      <c r="A1729" s="70">
        <v>1262</v>
      </c>
      <c r="B1729" s="70" t="s">
        <v>450</v>
      </c>
      <c r="C1729" s="70" t="s">
        <v>4546</v>
      </c>
      <c r="D1729" s="70" t="s">
        <v>449</v>
      </c>
      <c r="E1729" s="70" t="s">
        <v>448</v>
      </c>
      <c r="F1729" s="71">
        <v>131</v>
      </c>
      <c r="G1729" s="71">
        <v>3</v>
      </c>
      <c r="H1729" s="72" t="s">
        <v>4320</v>
      </c>
      <c r="I1729" s="71" t="b">
        <v>1</v>
      </c>
      <c r="J1729" s="71">
        <v>72</v>
      </c>
      <c r="K1729" s="71">
        <v>68</v>
      </c>
      <c r="L1729" s="71">
        <v>73</v>
      </c>
      <c r="M1729" s="71">
        <v>11</v>
      </c>
      <c r="N1729" s="71">
        <v>28</v>
      </c>
      <c r="O1729" s="71">
        <v>0</v>
      </c>
      <c r="P1729" s="71">
        <v>15</v>
      </c>
      <c r="Q1729" s="71">
        <v>59</v>
      </c>
      <c r="R1729" s="71">
        <v>136</v>
      </c>
      <c r="S1729" s="71" t="s">
        <v>447</v>
      </c>
      <c r="T1729" s="73" t="s">
        <v>4388</v>
      </c>
      <c r="U1729" s="71" t="s">
        <v>4235</v>
      </c>
      <c r="V1729" s="71" t="b">
        <v>0</v>
      </c>
    </row>
    <row r="1730" spans="1:22" ht="17.25">
      <c r="A1730" s="70">
        <v>1264</v>
      </c>
      <c r="B1730" s="70" t="s">
        <v>443</v>
      </c>
      <c r="C1730" s="70" t="s">
        <v>182</v>
      </c>
      <c r="D1730" s="70" t="s">
        <v>442</v>
      </c>
      <c r="E1730" s="70" t="s">
        <v>180</v>
      </c>
      <c r="F1730" s="71">
        <v>47</v>
      </c>
      <c r="G1730" s="71">
        <v>1</v>
      </c>
      <c r="H1730" s="72" t="s">
        <v>4320</v>
      </c>
      <c r="I1730" s="71" t="b">
        <v>1</v>
      </c>
      <c r="J1730" s="71">
        <v>70</v>
      </c>
      <c r="K1730" s="71">
        <v>52</v>
      </c>
      <c r="L1730" s="71">
        <v>71</v>
      </c>
      <c r="M1730" s="71">
        <v>34</v>
      </c>
      <c r="N1730" s="71">
        <v>52</v>
      </c>
      <c r="O1730" s="71">
        <v>0</v>
      </c>
      <c r="P1730" s="71">
        <v>15</v>
      </c>
      <c r="Q1730" s="71">
        <v>29</v>
      </c>
      <c r="R1730" s="71">
        <v>122</v>
      </c>
      <c r="S1730" s="71" t="s">
        <v>48</v>
      </c>
      <c r="T1730" s="73" t="s">
        <v>4330</v>
      </c>
      <c r="U1730" s="71" t="s">
        <v>3683</v>
      </c>
      <c r="V1730" s="71" t="b">
        <v>0</v>
      </c>
    </row>
    <row r="1731" spans="1:22" ht="17.25">
      <c r="A1731" s="70">
        <v>1265</v>
      </c>
      <c r="B1731" s="70" t="s">
        <v>441</v>
      </c>
      <c r="C1731" s="70" t="s">
        <v>440</v>
      </c>
      <c r="D1731" s="70" t="s">
        <v>439</v>
      </c>
      <c r="E1731" s="70" t="s">
        <v>438</v>
      </c>
      <c r="F1731" s="71">
        <v>126</v>
      </c>
      <c r="G1731" s="71">
        <v>3</v>
      </c>
      <c r="H1731" s="72">
        <v>0.13750000000000001</v>
      </c>
      <c r="I1731" s="71" t="b">
        <v>0</v>
      </c>
      <c r="J1731" s="71">
        <v>53</v>
      </c>
      <c r="K1731" s="71">
        <v>75</v>
      </c>
      <c r="L1731" s="71">
        <v>88</v>
      </c>
      <c r="M1731" s="71">
        <v>3</v>
      </c>
      <c r="N1731" s="71">
        <v>2</v>
      </c>
      <c r="O1731" s="71">
        <v>0</v>
      </c>
      <c r="P1731" s="71">
        <v>7</v>
      </c>
      <c r="Q1731" s="71">
        <v>42</v>
      </c>
      <c r="R1731" s="71">
        <v>100</v>
      </c>
      <c r="S1731" s="71" t="s">
        <v>96</v>
      </c>
      <c r="T1731" s="73">
        <v>35591</v>
      </c>
      <c r="U1731" s="71" t="s">
        <v>4236</v>
      </c>
      <c r="V1731" s="71" t="b">
        <v>0</v>
      </c>
    </row>
    <row r="1732" spans="1:22" ht="17.25">
      <c r="A1732" s="70">
        <v>1266</v>
      </c>
      <c r="B1732" s="70" t="s">
        <v>437</v>
      </c>
      <c r="C1732" s="70" t="s">
        <v>436</v>
      </c>
      <c r="D1732" s="70" t="s">
        <v>435</v>
      </c>
      <c r="E1732" s="70" t="s">
        <v>188</v>
      </c>
      <c r="F1732" s="71">
        <v>62</v>
      </c>
      <c r="G1732" s="71">
        <v>20</v>
      </c>
      <c r="H1732" s="72" t="s">
        <v>4315</v>
      </c>
      <c r="I1732" s="71" t="b">
        <v>1</v>
      </c>
      <c r="J1732" s="71">
        <v>74</v>
      </c>
      <c r="K1732" s="71">
        <v>68</v>
      </c>
      <c r="L1732" s="71">
        <v>73</v>
      </c>
      <c r="M1732" s="71">
        <v>5</v>
      </c>
      <c r="N1732" s="71">
        <v>25</v>
      </c>
      <c r="O1732" s="71">
        <v>0</v>
      </c>
      <c r="P1732" s="71">
        <v>14</v>
      </c>
      <c r="Q1732" s="71">
        <v>83</v>
      </c>
      <c r="R1732" s="71">
        <v>126</v>
      </c>
      <c r="S1732" s="71" t="s">
        <v>61</v>
      </c>
      <c r="T1732" s="73" t="s">
        <v>4392</v>
      </c>
      <c r="U1732" s="71" t="s">
        <v>4237</v>
      </c>
      <c r="V1732" s="71" t="b">
        <v>0</v>
      </c>
    </row>
    <row r="1733" spans="1:22" ht="17.25">
      <c r="A1733" s="70">
        <v>1267</v>
      </c>
      <c r="B1733" s="70" t="s">
        <v>434</v>
      </c>
      <c r="C1733" s="70" t="s">
        <v>356</v>
      </c>
      <c r="D1733" s="70" t="s">
        <v>433</v>
      </c>
      <c r="E1733" s="70" t="s">
        <v>432</v>
      </c>
      <c r="F1733" s="71">
        <v>71</v>
      </c>
      <c r="G1733" s="71">
        <v>104</v>
      </c>
      <c r="H1733" s="72">
        <v>0.21458333333333332</v>
      </c>
      <c r="I1733" s="71" t="b">
        <v>0</v>
      </c>
      <c r="J1733" s="71">
        <v>56</v>
      </c>
      <c r="K1733" s="71">
        <v>44</v>
      </c>
      <c r="L1733" s="71">
        <v>88</v>
      </c>
      <c r="M1733" s="71">
        <v>2</v>
      </c>
      <c r="N1733" s="71">
        <v>73</v>
      </c>
      <c r="O1733" s="71">
        <v>0</v>
      </c>
      <c r="P1733" s="71">
        <v>11</v>
      </c>
      <c r="Q1733" s="71">
        <v>21</v>
      </c>
      <c r="R1733" s="71">
        <v>146</v>
      </c>
      <c r="S1733" s="71" t="s">
        <v>354</v>
      </c>
      <c r="T1733" s="73">
        <v>37494</v>
      </c>
      <c r="U1733" s="71" t="s">
        <v>4238</v>
      </c>
      <c r="V1733" s="71" t="b">
        <v>0</v>
      </c>
    </row>
    <row r="1734" spans="1:22" ht="17.25">
      <c r="A1734" s="70">
        <v>1269</v>
      </c>
      <c r="B1734" s="70" t="s">
        <v>431</v>
      </c>
      <c r="C1734" s="70" t="s">
        <v>430</v>
      </c>
      <c r="D1734" s="70" t="s">
        <v>429</v>
      </c>
      <c r="E1734" s="70" t="s">
        <v>428</v>
      </c>
      <c r="F1734" s="71">
        <v>82</v>
      </c>
      <c r="G1734" s="71">
        <v>35</v>
      </c>
      <c r="H1734" s="72">
        <v>0.16944444444444445</v>
      </c>
      <c r="I1734" s="71" t="b">
        <v>0</v>
      </c>
      <c r="J1734" s="71">
        <v>62</v>
      </c>
      <c r="K1734" s="71">
        <v>73</v>
      </c>
      <c r="L1734" s="71">
        <v>90</v>
      </c>
      <c r="M1734" s="71">
        <v>11</v>
      </c>
      <c r="N1734" s="71">
        <v>2</v>
      </c>
      <c r="O1734" s="71">
        <v>0</v>
      </c>
      <c r="P1734" s="71">
        <v>14</v>
      </c>
      <c r="Q1734" s="71">
        <v>37</v>
      </c>
      <c r="R1734" s="71">
        <v>108</v>
      </c>
      <c r="S1734" s="71" t="s">
        <v>96</v>
      </c>
      <c r="T1734" s="73">
        <v>42496</v>
      </c>
      <c r="U1734" s="71" t="s">
        <v>4239</v>
      </c>
      <c r="V1734" s="71" t="b">
        <v>0</v>
      </c>
    </row>
    <row r="1735" spans="1:22" ht="17.25">
      <c r="A1735" s="70">
        <v>1270</v>
      </c>
      <c r="B1735" s="70" t="s">
        <v>427</v>
      </c>
      <c r="C1735" s="70" t="s">
        <v>178</v>
      </c>
      <c r="D1735" s="70" t="s">
        <v>426</v>
      </c>
      <c r="E1735" s="70" t="s">
        <v>388</v>
      </c>
      <c r="F1735" s="71">
        <v>66</v>
      </c>
      <c r="G1735" s="71">
        <v>7</v>
      </c>
      <c r="H1735" s="72">
        <v>0.2076388888888889</v>
      </c>
      <c r="I1735" s="71" t="b">
        <v>0</v>
      </c>
      <c r="J1735" s="71">
        <v>88</v>
      </c>
      <c r="K1735" s="71">
        <v>85</v>
      </c>
      <c r="L1735" s="71">
        <v>92</v>
      </c>
      <c r="M1735" s="71">
        <v>15</v>
      </c>
      <c r="N1735" s="71">
        <v>5</v>
      </c>
      <c r="O1735" s="71">
        <v>0</v>
      </c>
      <c r="P1735" s="71">
        <v>14</v>
      </c>
      <c r="Q1735" s="71">
        <v>54</v>
      </c>
      <c r="R1735" s="71">
        <v>114</v>
      </c>
      <c r="S1735" s="71" t="s">
        <v>96</v>
      </c>
      <c r="T1735" s="73">
        <v>32020</v>
      </c>
      <c r="U1735" s="71" t="s">
        <v>3410</v>
      </c>
      <c r="V1735" s="71" t="b">
        <v>0</v>
      </c>
    </row>
    <row r="1736" spans="1:22" ht="17.25">
      <c r="A1736" s="70">
        <v>1271</v>
      </c>
      <c r="B1736" s="70" t="s">
        <v>425</v>
      </c>
      <c r="C1736" s="70" t="s">
        <v>67</v>
      </c>
      <c r="D1736" s="70" t="s">
        <v>424</v>
      </c>
      <c r="E1736" s="70" t="s">
        <v>65</v>
      </c>
      <c r="F1736" s="71">
        <v>127</v>
      </c>
      <c r="G1736" s="71">
        <v>1</v>
      </c>
      <c r="H1736" s="72">
        <v>0.11666666666666667</v>
      </c>
      <c r="I1736" s="71" t="b">
        <v>1</v>
      </c>
      <c r="J1736" s="71">
        <v>53</v>
      </c>
      <c r="K1736" s="71">
        <v>79</v>
      </c>
      <c r="L1736" s="71">
        <v>90</v>
      </c>
      <c r="M1736" s="71">
        <v>4</v>
      </c>
      <c r="N1736" s="71">
        <v>0</v>
      </c>
      <c r="O1736" s="71">
        <v>0</v>
      </c>
      <c r="P1736" s="71">
        <v>39</v>
      </c>
      <c r="Q1736" s="71">
        <v>4</v>
      </c>
      <c r="R1736" s="71">
        <v>78</v>
      </c>
      <c r="S1736" s="71" t="s">
        <v>48</v>
      </c>
      <c r="T1736" s="73">
        <v>45730</v>
      </c>
      <c r="U1736" s="71" t="s">
        <v>3386</v>
      </c>
      <c r="V1736" s="71" t="b">
        <v>0</v>
      </c>
    </row>
    <row r="1737" spans="1:22" ht="17.25">
      <c r="A1737" s="70">
        <v>1272</v>
      </c>
      <c r="B1737" s="70" t="s">
        <v>423</v>
      </c>
      <c r="C1737" s="70" t="s">
        <v>198</v>
      </c>
      <c r="D1737" s="70" t="s">
        <v>422</v>
      </c>
      <c r="E1737" s="70" t="s">
        <v>196</v>
      </c>
      <c r="F1737" s="71">
        <v>119</v>
      </c>
      <c r="G1737" s="71">
        <v>8</v>
      </c>
      <c r="H1737" s="72" t="s">
        <v>4334</v>
      </c>
      <c r="I1737" s="71" t="b">
        <v>0</v>
      </c>
      <c r="J1737" s="71">
        <v>57</v>
      </c>
      <c r="K1737" s="71">
        <v>55</v>
      </c>
      <c r="L1737" s="71">
        <v>72</v>
      </c>
      <c r="M1737" s="71">
        <v>4</v>
      </c>
      <c r="N1737" s="71">
        <v>39</v>
      </c>
      <c r="O1737" s="71">
        <v>0</v>
      </c>
      <c r="P1737" s="71">
        <v>14</v>
      </c>
      <c r="Q1737" s="71">
        <v>52</v>
      </c>
      <c r="R1737" s="71">
        <v>144</v>
      </c>
      <c r="S1737" s="71" t="s">
        <v>195</v>
      </c>
      <c r="T1737" s="73" t="s">
        <v>4337</v>
      </c>
      <c r="U1737" s="71" t="s">
        <v>3837</v>
      </c>
      <c r="V1737" s="71" t="b">
        <v>0</v>
      </c>
    </row>
    <row r="1738" spans="1:22" ht="17.25">
      <c r="A1738" s="70">
        <v>1275</v>
      </c>
      <c r="B1738" s="70" t="s">
        <v>416</v>
      </c>
      <c r="C1738" s="70" t="s">
        <v>415</v>
      </c>
      <c r="D1738" s="70" t="s">
        <v>414</v>
      </c>
      <c r="E1738" s="70" t="s">
        <v>171</v>
      </c>
      <c r="F1738" s="71">
        <v>190</v>
      </c>
      <c r="G1738" s="71">
        <v>1</v>
      </c>
      <c r="H1738" s="72" t="s">
        <v>4315</v>
      </c>
      <c r="I1738" s="71" t="b">
        <v>1</v>
      </c>
      <c r="J1738" s="71">
        <v>74</v>
      </c>
      <c r="K1738" s="71">
        <v>83</v>
      </c>
      <c r="L1738" s="71">
        <v>77</v>
      </c>
      <c r="M1738" s="71">
        <v>6</v>
      </c>
      <c r="N1738" s="71">
        <v>8</v>
      </c>
      <c r="O1738" s="71">
        <v>1</v>
      </c>
      <c r="P1738" s="71">
        <v>21</v>
      </c>
      <c r="Q1738" s="71">
        <v>68</v>
      </c>
      <c r="R1738" s="71">
        <v>132</v>
      </c>
      <c r="S1738" s="71" t="s">
        <v>413</v>
      </c>
      <c r="T1738" s="73" t="s">
        <v>4348</v>
      </c>
      <c r="U1738" s="71" t="s">
        <v>4240</v>
      </c>
      <c r="V1738" s="71" t="b">
        <v>0</v>
      </c>
    </row>
    <row r="1739" spans="1:22" ht="17.25">
      <c r="A1739" s="70">
        <v>1278</v>
      </c>
      <c r="B1739" s="70" t="s">
        <v>409</v>
      </c>
      <c r="C1739" s="70" t="s">
        <v>182</v>
      </c>
      <c r="D1739" s="70" t="s">
        <v>408</v>
      </c>
      <c r="E1739" s="70" t="s">
        <v>407</v>
      </c>
      <c r="F1739" s="71">
        <v>160</v>
      </c>
      <c r="G1739" s="71">
        <v>2</v>
      </c>
      <c r="H1739" s="72">
        <v>0.21249999999999999</v>
      </c>
      <c r="I1739" s="71" t="b">
        <v>1</v>
      </c>
      <c r="J1739" s="71">
        <v>36</v>
      </c>
      <c r="K1739" s="71">
        <v>84</v>
      </c>
      <c r="L1739" s="71">
        <v>92</v>
      </c>
      <c r="M1739" s="71">
        <v>12</v>
      </c>
      <c r="N1739" s="71">
        <v>0</v>
      </c>
      <c r="O1739" s="71">
        <v>0</v>
      </c>
      <c r="P1739" s="71">
        <v>24</v>
      </c>
      <c r="Q1739" s="71">
        <v>8</v>
      </c>
      <c r="R1739" s="71">
        <v>100</v>
      </c>
      <c r="S1739" s="71" t="s">
        <v>48</v>
      </c>
      <c r="T1739" s="73">
        <v>40777</v>
      </c>
      <c r="U1739" s="71" t="s">
        <v>4241</v>
      </c>
      <c r="V1739" s="71" t="b">
        <v>0</v>
      </c>
    </row>
    <row r="1740" spans="1:22" ht="17.25">
      <c r="A1740" s="70">
        <v>1278</v>
      </c>
      <c r="B1740" s="70" t="s">
        <v>409</v>
      </c>
      <c r="C1740" s="70" t="s">
        <v>4547</v>
      </c>
      <c r="D1740" s="70" t="s">
        <v>408</v>
      </c>
      <c r="E1740" s="70" t="s">
        <v>407</v>
      </c>
      <c r="F1740" s="71">
        <v>160</v>
      </c>
      <c r="G1740" s="71">
        <v>2</v>
      </c>
      <c r="H1740" s="72">
        <v>0.21249999999999999</v>
      </c>
      <c r="I1740" s="71" t="b">
        <v>1</v>
      </c>
      <c r="J1740" s="71">
        <v>36</v>
      </c>
      <c r="K1740" s="71">
        <v>84</v>
      </c>
      <c r="L1740" s="71">
        <v>92</v>
      </c>
      <c r="M1740" s="71">
        <v>12</v>
      </c>
      <c r="N1740" s="71">
        <v>0</v>
      </c>
      <c r="O1740" s="71">
        <v>0</v>
      </c>
      <c r="P1740" s="71">
        <v>24</v>
      </c>
      <c r="Q1740" s="71">
        <v>8</v>
      </c>
      <c r="R1740" s="71">
        <v>100</v>
      </c>
      <c r="S1740" s="71" t="s">
        <v>48</v>
      </c>
      <c r="T1740" s="73">
        <v>40777</v>
      </c>
      <c r="U1740" s="71" t="s">
        <v>4241</v>
      </c>
      <c r="V1740" s="71" t="b">
        <v>0</v>
      </c>
    </row>
    <row r="1741" spans="1:22" ht="17.25">
      <c r="A1741" s="70">
        <v>1279</v>
      </c>
      <c r="B1741" s="70" t="s">
        <v>406</v>
      </c>
      <c r="C1741" s="70" t="s">
        <v>648</v>
      </c>
      <c r="D1741" s="70" t="s">
        <v>405</v>
      </c>
      <c r="E1741" s="70" t="s">
        <v>44</v>
      </c>
      <c r="F1741" s="71">
        <v>105</v>
      </c>
      <c r="G1741" s="71">
        <v>18</v>
      </c>
      <c r="H1741" s="72">
        <v>0.13750000000000001</v>
      </c>
      <c r="I1741" s="71" t="b">
        <v>0</v>
      </c>
      <c r="J1741" s="71">
        <v>78</v>
      </c>
      <c r="K1741" s="71">
        <v>82</v>
      </c>
      <c r="L1741" s="71">
        <v>82</v>
      </c>
      <c r="M1741" s="71">
        <v>6</v>
      </c>
      <c r="N1741" s="71">
        <v>8</v>
      </c>
      <c r="O1741" s="71">
        <v>0</v>
      </c>
      <c r="P1741" s="71">
        <v>13</v>
      </c>
      <c r="Q1741" s="71">
        <v>72</v>
      </c>
      <c r="R1741" s="71">
        <v>128</v>
      </c>
      <c r="S1741" s="71" t="s">
        <v>274</v>
      </c>
      <c r="T1741" s="73">
        <v>45793</v>
      </c>
      <c r="U1741" s="71" t="s">
        <v>4242</v>
      </c>
      <c r="V1741" s="71" t="b">
        <v>0</v>
      </c>
    </row>
    <row r="1742" spans="1:22" ht="17.25">
      <c r="A1742" s="70">
        <v>1279</v>
      </c>
      <c r="B1742" s="70" t="s">
        <v>406</v>
      </c>
      <c r="C1742" s="70" t="s">
        <v>4854</v>
      </c>
      <c r="D1742" s="70" t="s">
        <v>405</v>
      </c>
      <c r="E1742" s="70" t="s">
        <v>44</v>
      </c>
      <c r="F1742" s="71">
        <v>105</v>
      </c>
      <c r="G1742" s="71">
        <v>18</v>
      </c>
      <c r="H1742" s="72">
        <v>0.13750000000000001</v>
      </c>
      <c r="I1742" s="71" t="b">
        <v>0</v>
      </c>
      <c r="J1742" s="71">
        <v>78</v>
      </c>
      <c r="K1742" s="71">
        <v>82</v>
      </c>
      <c r="L1742" s="71">
        <v>82</v>
      </c>
      <c r="M1742" s="71">
        <v>6</v>
      </c>
      <c r="N1742" s="71">
        <v>8</v>
      </c>
      <c r="O1742" s="71">
        <v>0</v>
      </c>
      <c r="P1742" s="71">
        <v>13</v>
      </c>
      <c r="Q1742" s="71">
        <v>72</v>
      </c>
      <c r="R1742" s="71">
        <v>128</v>
      </c>
      <c r="S1742" s="71" t="s">
        <v>274</v>
      </c>
      <c r="T1742" s="73">
        <v>45793</v>
      </c>
      <c r="U1742" s="71" t="s">
        <v>4242</v>
      </c>
      <c r="V1742" s="71" t="b">
        <v>0</v>
      </c>
    </row>
    <row r="1743" spans="1:22" ht="17.25">
      <c r="A1743" s="70">
        <v>1280</v>
      </c>
      <c r="B1743" s="70" t="s">
        <v>404</v>
      </c>
      <c r="C1743" s="70" t="s">
        <v>403</v>
      </c>
      <c r="D1743" s="70" t="s">
        <v>402</v>
      </c>
      <c r="E1743" s="70" t="s">
        <v>401</v>
      </c>
      <c r="F1743" s="71">
        <v>93</v>
      </c>
      <c r="G1743" s="71">
        <v>11</v>
      </c>
      <c r="H1743" s="72">
        <v>0.15833333333333333</v>
      </c>
      <c r="I1743" s="71" t="b">
        <v>0</v>
      </c>
      <c r="J1743" s="71">
        <v>62</v>
      </c>
      <c r="K1743" s="71">
        <v>62</v>
      </c>
      <c r="L1743" s="71">
        <v>77</v>
      </c>
      <c r="M1743" s="71">
        <v>5</v>
      </c>
      <c r="N1743" s="71">
        <v>30</v>
      </c>
      <c r="O1743" s="71">
        <v>0</v>
      </c>
      <c r="P1743" s="71">
        <v>14</v>
      </c>
      <c r="Q1743" s="71">
        <v>78</v>
      </c>
      <c r="R1743" s="71">
        <v>120</v>
      </c>
      <c r="S1743" s="71" t="s">
        <v>29</v>
      </c>
      <c r="T1743" s="73">
        <v>41583</v>
      </c>
      <c r="U1743" s="71" t="s">
        <v>4243</v>
      </c>
      <c r="V1743" s="71" t="b">
        <v>1</v>
      </c>
    </row>
    <row r="1744" spans="1:22" ht="17.25">
      <c r="A1744" s="70">
        <v>1281</v>
      </c>
      <c r="B1744" s="70" t="s">
        <v>400</v>
      </c>
      <c r="C1744" s="70" t="s">
        <v>122</v>
      </c>
      <c r="D1744" s="70" t="s">
        <v>399</v>
      </c>
      <c r="E1744" s="70" t="s">
        <v>120</v>
      </c>
      <c r="F1744" s="71">
        <v>88</v>
      </c>
      <c r="G1744" s="71">
        <v>5</v>
      </c>
      <c r="H1744" s="72" t="s">
        <v>4326</v>
      </c>
      <c r="I1744" s="71" t="b">
        <v>0</v>
      </c>
      <c r="J1744" s="71">
        <v>50</v>
      </c>
      <c r="K1744" s="71">
        <v>40</v>
      </c>
      <c r="L1744" s="71">
        <v>68</v>
      </c>
      <c r="M1744" s="71">
        <v>4</v>
      </c>
      <c r="N1744" s="71">
        <v>74</v>
      </c>
      <c r="O1744" s="71">
        <v>0</v>
      </c>
      <c r="P1744" s="71">
        <v>11</v>
      </c>
      <c r="Q1744" s="71">
        <v>26</v>
      </c>
      <c r="R1744" s="71">
        <v>118</v>
      </c>
      <c r="S1744" s="71" t="s">
        <v>74</v>
      </c>
      <c r="T1744" s="73" t="s">
        <v>4388</v>
      </c>
      <c r="U1744" s="71" t="s">
        <v>4244</v>
      </c>
      <c r="V1744" s="71" t="b">
        <v>0</v>
      </c>
    </row>
    <row r="1745" spans="1:22" ht="17.25">
      <c r="A1745" s="70">
        <v>1282</v>
      </c>
      <c r="B1745" s="70" t="s">
        <v>398</v>
      </c>
      <c r="C1745" s="70" t="s">
        <v>67</v>
      </c>
      <c r="D1745" s="70" t="s">
        <v>397</v>
      </c>
      <c r="E1745" s="70" t="s">
        <v>65</v>
      </c>
      <c r="F1745" s="71">
        <v>45</v>
      </c>
      <c r="G1745" s="71">
        <v>1</v>
      </c>
      <c r="H1745" s="72">
        <v>0.11666666666666667</v>
      </c>
      <c r="I1745" s="71" t="b">
        <v>1</v>
      </c>
      <c r="J1745" s="71">
        <v>78</v>
      </c>
      <c r="K1745" s="71">
        <v>54</v>
      </c>
      <c r="L1745" s="71">
        <v>89</v>
      </c>
      <c r="M1745" s="71">
        <v>8</v>
      </c>
      <c r="N1745" s="71">
        <v>0</v>
      </c>
      <c r="O1745" s="71">
        <v>0</v>
      </c>
      <c r="P1745" s="71">
        <v>11</v>
      </c>
      <c r="Q1745" s="71">
        <v>23</v>
      </c>
      <c r="R1745" s="71">
        <v>154</v>
      </c>
      <c r="S1745" s="71" t="s">
        <v>48</v>
      </c>
      <c r="T1745" s="73">
        <v>45730</v>
      </c>
      <c r="U1745" s="71" t="s">
        <v>3912</v>
      </c>
      <c r="V1745" s="71" t="b">
        <v>0</v>
      </c>
    </row>
    <row r="1746" spans="1:22" ht="17.25">
      <c r="A1746" s="70">
        <v>1283</v>
      </c>
      <c r="B1746" s="70" t="s">
        <v>396</v>
      </c>
      <c r="C1746" s="70" t="s">
        <v>395</v>
      </c>
      <c r="D1746" s="70" t="s">
        <v>394</v>
      </c>
      <c r="E1746" s="70" t="s">
        <v>393</v>
      </c>
      <c r="F1746" s="71">
        <v>115</v>
      </c>
      <c r="G1746" s="71">
        <v>9</v>
      </c>
      <c r="H1746" s="72" t="s">
        <v>4334</v>
      </c>
      <c r="I1746" s="71" t="b">
        <v>0</v>
      </c>
      <c r="J1746" s="71">
        <v>55</v>
      </c>
      <c r="K1746" s="71">
        <v>48</v>
      </c>
      <c r="L1746" s="71">
        <v>70</v>
      </c>
      <c r="M1746" s="71">
        <v>4</v>
      </c>
      <c r="N1746" s="71">
        <v>59</v>
      </c>
      <c r="O1746" s="71">
        <v>0</v>
      </c>
      <c r="P1746" s="71">
        <v>12</v>
      </c>
      <c r="Q1746" s="71">
        <v>35</v>
      </c>
      <c r="R1746" s="71">
        <v>88</v>
      </c>
      <c r="S1746" s="71" t="s">
        <v>74</v>
      </c>
      <c r="T1746" s="73" t="s">
        <v>4388</v>
      </c>
      <c r="U1746" s="71" t="s">
        <v>4245</v>
      </c>
      <c r="V1746" s="71" t="b">
        <v>0</v>
      </c>
    </row>
    <row r="1747" spans="1:22" ht="17.25">
      <c r="A1747" s="70">
        <v>1284</v>
      </c>
      <c r="B1747" s="70" t="s">
        <v>392</v>
      </c>
      <c r="C1747" s="70" t="s">
        <v>131</v>
      </c>
      <c r="D1747" s="70" t="s">
        <v>391</v>
      </c>
      <c r="E1747" s="70" t="s">
        <v>129</v>
      </c>
      <c r="F1747" s="71">
        <v>27</v>
      </c>
      <c r="G1747" s="71">
        <v>6</v>
      </c>
      <c r="H1747" s="72">
        <v>0.12847222222222221</v>
      </c>
      <c r="I1747" s="71" t="b">
        <v>1</v>
      </c>
      <c r="J1747" s="71">
        <v>40</v>
      </c>
      <c r="K1747" s="71">
        <v>7</v>
      </c>
      <c r="L1747" s="71">
        <v>45</v>
      </c>
      <c r="M1747" s="71">
        <v>5</v>
      </c>
      <c r="N1747" s="71">
        <v>19</v>
      </c>
      <c r="O1747" s="71">
        <v>96</v>
      </c>
      <c r="P1747" s="71">
        <v>12</v>
      </c>
      <c r="Q1747" s="71">
        <v>3</v>
      </c>
      <c r="R1747" s="71">
        <v>125</v>
      </c>
      <c r="S1747" s="71" t="s">
        <v>128</v>
      </c>
      <c r="T1747" s="73">
        <v>45662</v>
      </c>
      <c r="U1747" s="71" t="s">
        <v>3505</v>
      </c>
      <c r="V1747" s="71" t="b">
        <v>0</v>
      </c>
    </row>
    <row r="1748" spans="1:22" ht="17.25">
      <c r="A1748" s="70">
        <v>1285</v>
      </c>
      <c r="B1748" s="70" t="s">
        <v>390</v>
      </c>
      <c r="C1748" s="70" t="s">
        <v>86</v>
      </c>
      <c r="D1748" s="70" t="s">
        <v>389</v>
      </c>
      <c r="E1748" s="70" t="s">
        <v>388</v>
      </c>
      <c r="F1748" s="71">
        <v>60</v>
      </c>
      <c r="G1748" s="71">
        <v>2</v>
      </c>
      <c r="H1748" s="72">
        <v>0.20555555555555555</v>
      </c>
      <c r="I1748" s="71" t="b">
        <v>0</v>
      </c>
      <c r="J1748" s="71">
        <v>45</v>
      </c>
      <c r="K1748" s="71">
        <v>91</v>
      </c>
      <c r="L1748" s="71">
        <v>93</v>
      </c>
      <c r="M1748" s="71">
        <v>11</v>
      </c>
      <c r="N1748" s="71">
        <v>41</v>
      </c>
      <c r="O1748" s="71">
        <v>0</v>
      </c>
      <c r="P1748" s="71">
        <v>25</v>
      </c>
      <c r="Q1748" s="71">
        <v>52</v>
      </c>
      <c r="R1748" s="71">
        <v>138</v>
      </c>
      <c r="S1748" s="71" t="s">
        <v>83</v>
      </c>
      <c r="T1748" s="73">
        <v>29484</v>
      </c>
      <c r="U1748" s="71" t="s">
        <v>4246</v>
      </c>
      <c r="V1748" s="71" t="b">
        <v>0</v>
      </c>
    </row>
    <row r="1749" spans="1:22" ht="17.25">
      <c r="A1749" s="70">
        <v>1288</v>
      </c>
      <c r="B1749" s="70" t="s">
        <v>384</v>
      </c>
      <c r="C1749" s="70" t="s">
        <v>383</v>
      </c>
      <c r="D1749" s="70" t="s">
        <v>382</v>
      </c>
      <c r="E1749" s="70" t="s">
        <v>381</v>
      </c>
      <c r="F1749" s="71">
        <v>114</v>
      </c>
      <c r="G1749" s="71">
        <v>1</v>
      </c>
      <c r="H1749" s="72">
        <v>0.12847222222222221</v>
      </c>
      <c r="I1749" s="71" t="b">
        <v>0</v>
      </c>
      <c r="J1749" s="71">
        <v>72</v>
      </c>
      <c r="K1749" s="71">
        <v>72</v>
      </c>
      <c r="L1749" s="71">
        <v>79</v>
      </c>
      <c r="M1749" s="71">
        <v>8</v>
      </c>
      <c r="N1749" s="71">
        <v>18</v>
      </c>
      <c r="O1749" s="71">
        <v>0</v>
      </c>
      <c r="P1749" s="71">
        <v>11</v>
      </c>
      <c r="Q1749" s="71">
        <v>58</v>
      </c>
      <c r="R1749" s="71">
        <v>105</v>
      </c>
      <c r="S1749" s="71" t="s">
        <v>96</v>
      </c>
      <c r="T1749" s="73">
        <v>45709</v>
      </c>
      <c r="U1749" s="71" t="s">
        <v>3637</v>
      </c>
      <c r="V1749" s="71" t="b">
        <v>0</v>
      </c>
    </row>
    <row r="1750" spans="1:22" ht="17.25">
      <c r="A1750" s="70">
        <v>1289</v>
      </c>
      <c r="B1750" s="70" t="s">
        <v>380</v>
      </c>
      <c r="C1750" s="70" t="s">
        <v>379</v>
      </c>
      <c r="D1750" s="70" t="s">
        <v>378</v>
      </c>
      <c r="E1750" s="70" t="s">
        <v>44</v>
      </c>
      <c r="F1750" s="71">
        <v>56</v>
      </c>
      <c r="G1750" s="71">
        <v>22</v>
      </c>
      <c r="H1750" s="72">
        <v>0.11666666666666667</v>
      </c>
      <c r="I1750" s="71" t="b">
        <v>0</v>
      </c>
      <c r="J1750" s="71">
        <v>75</v>
      </c>
      <c r="K1750" s="71">
        <v>72</v>
      </c>
      <c r="L1750" s="71">
        <v>79</v>
      </c>
      <c r="M1750" s="71">
        <v>8</v>
      </c>
      <c r="N1750" s="71">
        <v>15</v>
      </c>
      <c r="O1750" s="71">
        <v>0</v>
      </c>
      <c r="P1750" s="71">
        <v>11</v>
      </c>
      <c r="Q1750" s="71">
        <v>60</v>
      </c>
      <c r="R1750" s="71">
        <v>118</v>
      </c>
      <c r="S1750" s="71" t="s">
        <v>96</v>
      </c>
      <c r="T1750" s="73">
        <v>45520</v>
      </c>
      <c r="U1750" s="71" t="s">
        <v>4211</v>
      </c>
      <c r="V1750" s="71" t="b">
        <v>0</v>
      </c>
    </row>
    <row r="1751" spans="1:22" ht="17.25">
      <c r="A1751" s="70">
        <v>1290</v>
      </c>
      <c r="B1751" s="70" t="s">
        <v>377</v>
      </c>
      <c r="C1751" s="70" t="s">
        <v>4855</v>
      </c>
      <c r="D1751" s="70" t="s">
        <v>376</v>
      </c>
      <c r="E1751" s="70" t="s">
        <v>375</v>
      </c>
      <c r="F1751" s="71">
        <v>2</v>
      </c>
      <c r="G1751" s="71">
        <v>260</v>
      </c>
      <c r="H1751" s="72">
        <v>0.16944444444444445</v>
      </c>
      <c r="I1751" s="71" t="b">
        <v>0</v>
      </c>
      <c r="J1751" s="71">
        <v>75</v>
      </c>
      <c r="K1751" s="71">
        <v>52</v>
      </c>
      <c r="L1751" s="71">
        <v>91</v>
      </c>
      <c r="M1751" s="71">
        <v>3</v>
      </c>
      <c r="N1751" s="71">
        <v>41</v>
      </c>
      <c r="O1751" s="71">
        <v>0</v>
      </c>
      <c r="P1751" s="71">
        <v>11</v>
      </c>
      <c r="Q1751" s="71">
        <v>66</v>
      </c>
      <c r="R1751" s="71">
        <v>95</v>
      </c>
      <c r="S1751" s="71" t="s">
        <v>274</v>
      </c>
      <c r="T1751" s="73">
        <v>42580</v>
      </c>
      <c r="U1751" s="71" t="s">
        <v>4247</v>
      </c>
      <c r="V1751" s="71" t="b">
        <v>0</v>
      </c>
    </row>
    <row r="1752" spans="1:22" ht="17.25">
      <c r="A1752" s="70">
        <v>1290</v>
      </c>
      <c r="B1752" s="70" t="s">
        <v>377</v>
      </c>
      <c r="C1752" s="70" t="s">
        <v>4538</v>
      </c>
      <c r="D1752" s="70" t="s">
        <v>376</v>
      </c>
      <c r="E1752" s="70" t="s">
        <v>375</v>
      </c>
      <c r="F1752" s="71">
        <v>2</v>
      </c>
      <c r="G1752" s="71">
        <v>260</v>
      </c>
      <c r="H1752" s="72">
        <v>0.16944444444444445</v>
      </c>
      <c r="I1752" s="71" t="b">
        <v>0</v>
      </c>
      <c r="J1752" s="71">
        <v>75</v>
      </c>
      <c r="K1752" s="71">
        <v>52</v>
      </c>
      <c r="L1752" s="71">
        <v>91</v>
      </c>
      <c r="M1752" s="71">
        <v>3</v>
      </c>
      <c r="N1752" s="71">
        <v>41</v>
      </c>
      <c r="O1752" s="71">
        <v>0</v>
      </c>
      <c r="P1752" s="71">
        <v>11</v>
      </c>
      <c r="Q1752" s="71">
        <v>66</v>
      </c>
      <c r="R1752" s="71">
        <v>95</v>
      </c>
      <c r="S1752" s="71" t="s">
        <v>274</v>
      </c>
      <c r="T1752" s="73">
        <v>42580</v>
      </c>
      <c r="U1752" s="71" t="s">
        <v>4247</v>
      </c>
      <c r="V1752" s="71" t="b">
        <v>0</v>
      </c>
    </row>
    <row r="1753" spans="1:22" ht="17.25">
      <c r="A1753" s="70">
        <v>1291</v>
      </c>
      <c r="B1753" s="70" t="s">
        <v>374</v>
      </c>
      <c r="C1753" s="70" t="s">
        <v>373</v>
      </c>
      <c r="D1753" s="70" t="s">
        <v>372</v>
      </c>
      <c r="E1753" s="70" t="s">
        <v>371</v>
      </c>
      <c r="F1753" s="71">
        <v>5</v>
      </c>
      <c r="G1753" s="71">
        <v>60</v>
      </c>
      <c r="H1753" s="72">
        <v>0.21041666666666667</v>
      </c>
      <c r="I1753" s="71" t="b">
        <v>0</v>
      </c>
      <c r="J1753" s="71">
        <v>70</v>
      </c>
      <c r="K1753" s="71">
        <v>42</v>
      </c>
      <c r="L1753" s="71">
        <v>79</v>
      </c>
      <c r="M1753" s="71">
        <v>5</v>
      </c>
      <c r="N1753" s="71">
        <v>14</v>
      </c>
      <c r="O1753" s="71">
        <v>88</v>
      </c>
      <c r="P1753" s="71">
        <v>8</v>
      </c>
      <c r="Q1753" s="71">
        <v>52</v>
      </c>
      <c r="R1753" s="71">
        <v>110</v>
      </c>
      <c r="S1753" s="71" t="s">
        <v>96</v>
      </c>
      <c r="T1753" s="73">
        <v>45429</v>
      </c>
      <c r="U1753" s="71" t="s">
        <v>4145</v>
      </c>
      <c r="V1753" s="71" t="b">
        <v>0</v>
      </c>
    </row>
    <row r="1754" spans="1:22" ht="17.25">
      <c r="A1754" s="70">
        <v>1292</v>
      </c>
      <c r="B1754" s="70" t="s">
        <v>370</v>
      </c>
      <c r="C1754" s="70" t="s">
        <v>1982</v>
      </c>
      <c r="D1754" s="70" t="s">
        <v>369</v>
      </c>
      <c r="E1754" s="70" t="s">
        <v>368</v>
      </c>
      <c r="F1754" s="71">
        <v>193</v>
      </c>
      <c r="G1754" s="71">
        <v>1</v>
      </c>
      <c r="H1754" s="72" t="s">
        <v>4315</v>
      </c>
      <c r="I1754" s="71" t="b">
        <v>0</v>
      </c>
      <c r="J1754" s="71">
        <v>84</v>
      </c>
      <c r="K1754" s="71">
        <v>79</v>
      </c>
      <c r="L1754" s="71">
        <v>75</v>
      </c>
      <c r="M1754" s="71">
        <v>10</v>
      </c>
      <c r="N1754" s="71">
        <v>8</v>
      </c>
      <c r="O1754" s="71">
        <v>0</v>
      </c>
      <c r="P1754" s="71">
        <v>22</v>
      </c>
      <c r="Q1754" s="71">
        <v>71</v>
      </c>
      <c r="R1754" s="71">
        <v>122</v>
      </c>
      <c r="S1754" s="71" t="s">
        <v>96</v>
      </c>
      <c r="T1754" s="73" t="s">
        <v>4336</v>
      </c>
      <c r="U1754" s="71" t="s">
        <v>4248</v>
      </c>
      <c r="V1754" s="71" t="b">
        <v>0</v>
      </c>
    </row>
    <row r="1755" spans="1:22" ht="17.25">
      <c r="A1755" s="70">
        <v>1292</v>
      </c>
      <c r="B1755" s="70" t="s">
        <v>370</v>
      </c>
      <c r="C1755" s="70" t="s">
        <v>705</v>
      </c>
      <c r="D1755" s="70" t="s">
        <v>369</v>
      </c>
      <c r="E1755" s="70" t="s">
        <v>368</v>
      </c>
      <c r="F1755" s="71">
        <v>193</v>
      </c>
      <c r="G1755" s="71">
        <v>1</v>
      </c>
      <c r="H1755" s="72" t="s">
        <v>4315</v>
      </c>
      <c r="I1755" s="71" t="b">
        <v>0</v>
      </c>
      <c r="J1755" s="71">
        <v>84</v>
      </c>
      <c r="K1755" s="71">
        <v>79</v>
      </c>
      <c r="L1755" s="71">
        <v>75</v>
      </c>
      <c r="M1755" s="71">
        <v>10</v>
      </c>
      <c r="N1755" s="71">
        <v>8</v>
      </c>
      <c r="O1755" s="71">
        <v>0</v>
      </c>
      <c r="P1755" s="71">
        <v>22</v>
      </c>
      <c r="Q1755" s="71">
        <v>71</v>
      </c>
      <c r="R1755" s="71">
        <v>122</v>
      </c>
      <c r="S1755" s="71" t="s">
        <v>96</v>
      </c>
      <c r="T1755" s="73" t="s">
        <v>4336</v>
      </c>
      <c r="U1755" s="71" t="s">
        <v>4248</v>
      </c>
      <c r="V1755" s="71" t="b">
        <v>0</v>
      </c>
    </row>
    <row r="1756" spans="1:22" ht="17.25">
      <c r="A1756" s="70">
        <v>1293</v>
      </c>
      <c r="B1756" s="70" t="s">
        <v>367</v>
      </c>
      <c r="C1756" s="70" t="s">
        <v>366</v>
      </c>
      <c r="D1756" s="70" t="s">
        <v>365</v>
      </c>
      <c r="E1756" s="70" t="s">
        <v>171</v>
      </c>
      <c r="F1756" s="71">
        <v>34</v>
      </c>
      <c r="G1756" s="71">
        <v>192</v>
      </c>
      <c r="H1756" s="72">
        <v>0.15277777777777779</v>
      </c>
      <c r="I1756" s="71" t="b">
        <v>0</v>
      </c>
      <c r="J1756" s="71">
        <v>64</v>
      </c>
      <c r="K1756" s="71">
        <v>84</v>
      </c>
      <c r="L1756" s="71">
        <v>91</v>
      </c>
      <c r="M1756" s="71">
        <v>4</v>
      </c>
      <c r="N1756" s="71">
        <v>1</v>
      </c>
      <c r="O1756" s="71">
        <v>0</v>
      </c>
      <c r="P1756" s="71">
        <v>6</v>
      </c>
      <c r="Q1756" s="71">
        <v>42</v>
      </c>
      <c r="R1756" s="71">
        <v>109</v>
      </c>
      <c r="S1756" s="71" t="s">
        <v>96</v>
      </c>
      <c r="T1756" s="73">
        <v>40379</v>
      </c>
      <c r="U1756" s="71" t="s">
        <v>3559</v>
      </c>
      <c r="V1756" s="71" t="b">
        <v>0</v>
      </c>
    </row>
    <row r="1757" spans="1:22" ht="17.25">
      <c r="A1757" s="70">
        <v>1294</v>
      </c>
      <c r="B1757" s="70" t="s">
        <v>364</v>
      </c>
      <c r="C1757" s="70" t="s">
        <v>182</v>
      </c>
      <c r="D1757" s="70" t="s">
        <v>363</v>
      </c>
      <c r="E1757" s="70" t="s">
        <v>180</v>
      </c>
      <c r="F1757" s="71">
        <v>13</v>
      </c>
      <c r="G1757" s="71">
        <v>3</v>
      </c>
      <c r="H1757" s="72" t="s">
        <v>4320</v>
      </c>
      <c r="I1757" s="71" t="b">
        <v>1</v>
      </c>
      <c r="J1757" s="71">
        <v>83</v>
      </c>
      <c r="K1757" s="71">
        <v>68</v>
      </c>
      <c r="L1757" s="71">
        <v>75</v>
      </c>
      <c r="M1757" s="71">
        <v>28</v>
      </c>
      <c r="N1757" s="71">
        <v>12</v>
      </c>
      <c r="O1757" s="71">
        <v>0</v>
      </c>
      <c r="P1757" s="71">
        <v>16</v>
      </c>
      <c r="Q1757" s="71">
        <v>53</v>
      </c>
      <c r="R1757" s="71">
        <v>144</v>
      </c>
      <c r="S1757" s="71" t="s">
        <v>48</v>
      </c>
      <c r="T1757" s="73" t="s">
        <v>4330</v>
      </c>
      <c r="U1757" s="71" t="s">
        <v>3683</v>
      </c>
      <c r="V1757" s="71" t="b">
        <v>0</v>
      </c>
    </row>
    <row r="1758" spans="1:22" ht="17.25">
      <c r="A1758" s="70">
        <v>1295</v>
      </c>
      <c r="B1758" s="70" t="s">
        <v>362</v>
      </c>
      <c r="C1758" s="70" t="s">
        <v>4856</v>
      </c>
      <c r="D1758" s="70" t="s">
        <v>361</v>
      </c>
      <c r="E1758" s="70" t="s">
        <v>360</v>
      </c>
      <c r="F1758" s="71">
        <v>165</v>
      </c>
      <c r="G1758" s="71">
        <v>2</v>
      </c>
      <c r="H1758" s="72" t="s">
        <v>4334</v>
      </c>
      <c r="I1758" s="71" t="b">
        <v>0</v>
      </c>
      <c r="J1758" s="71">
        <v>60</v>
      </c>
      <c r="K1758" s="71">
        <v>54</v>
      </c>
      <c r="L1758" s="71">
        <v>71</v>
      </c>
      <c r="M1758" s="71">
        <v>4</v>
      </c>
      <c r="N1758" s="71">
        <v>48</v>
      </c>
      <c r="O1758" s="71">
        <v>0</v>
      </c>
      <c r="P1758" s="71">
        <v>14</v>
      </c>
      <c r="Q1758" s="71">
        <v>46</v>
      </c>
      <c r="R1758" s="71">
        <v>120</v>
      </c>
      <c r="S1758" s="71" t="s">
        <v>359</v>
      </c>
      <c r="T1758" s="73" t="s">
        <v>4381</v>
      </c>
      <c r="U1758" s="71" t="s">
        <v>4249</v>
      </c>
      <c r="V1758" s="71" t="b">
        <v>0</v>
      </c>
    </row>
    <row r="1759" spans="1:22" ht="17.25">
      <c r="A1759" s="70">
        <v>1295</v>
      </c>
      <c r="B1759" s="70" t="s">
        <v>362</v>
      </c>
      <c r="C1759" s="70" t="s">
        <v>4548</v>
      </c>
      <c r="D1759" s="70" t="s">
        <v>361</v>
      </c>
      <c r="E1759" s="70" t="s">
        <v>360</v>
      </c>
      <c r="F1759" s="71">
        <v>165</v>
      </c>
      <c r="G1759" s="71">
        <v>2</v>
      </c>
      <c r="H1759" s="72" t="s">
        <v>4334</v>
      </c>
      <c r="I1759" s="71" t="b">
        <v>0</v>
      </c>
      <c r="J1759" s="71">
        <v>60</v>
      </c>
      <c r="K1759" s="71">
        <v>54</v>
      </c>
      <c r="L1759" s="71">
        <v>71</v>
      </c>
      <c r="M1759" s="71">
        <v>4</v>
      </c>
      <c r="N1759" s="71">
        <v>48</v>
      </c>
      <c r="O1759" s="71">
        <v>0</v>
      </c>
      <c r="P1759" s="71">
        <v>14</v>
      </c>
      <c r="Q1759" s="71">
        <v>46</v>
      </c>
      <c r="R1759" s="71">
        <v>120</v>
      </c>
      <c r="S1759" s="71" t="s">
        <v>359</v>
      </c>
      <c r="T1759" s="73" t="s">
        <v>4381</v>
      </c>
      <c r="U1759" s="71" t="s">
        <v>4249</v>
      </c>
      <c r="V1759" s="71" t="b">
        <v>0</v>
      </c>
    </row>
    <row r="1760" spans="1:22" ht="17.25">
      <c r="A1760" s="70">
        <v>1296</v>
      </c>
      <c r="B1760" s="70" t="s">
        <v>358</v>
      </c>
      <c r="C1760" s="70" t="s">
        <v>678</v>
      </c>
      <c r="D1760" s="70" t="s">
        <v>357</v>
      </c>
      <c r="E1760" s="70" t="s">
        <v>344</v>
      </c>
      <c r="F1760" s="71">
        <v>3</v>
      </c>
      <c r="G1760" s="71">
        <v>156</v>
      </c>
      <c r="H1760" s="72">
        <v>0.16944444444444445</v>
      </c>
      <c r="I1760" s="71" t="b">
        <v>0</v>
      </c>
      <c r="J1760" s="71">
        <v>26</v>
      </c>
      <c r="K1760" s="71">
        <v>64</v>
      </c>
      <c r="L1760" s="71">
        <v>90</v>
      </c>
      <c r="M1760" s="71">
        <v>4</v>
      </c>
      <c r="N1760" s="71">
        <v>4</v>
      </c>
      <c r="O1760" s="71">
        <v>0</v>
      </c>
      <c r="P1760" s="71">
        <v>15</v>
      </c>
      <c r="Q1760" s="71">
        <v>19</v>
      </c>
      <c r="R1760" s="71">
        <v>85</v>
      </c>
      <c r="S1760" s="71" t="s">
        <v>26</v>
      </c>
      <c r="T1760" s="73">
        <v>45100</v>
      </c>
      <c r="U1760" s="71" t="s">
        <v>4250</v>
      </c>
      <c r="V1760" s="71" t="b">
        <v>0</v>
      </c>
    </row>
    <row r="1761" spans="1:22" ht="17.25">
      <c r="A1761" s="70">
        <v>1296</v>
      </c>
      <c r="B1761" s="70" t="s">
        <v>358</v>
      </c>
      <c r="C1761" s="70" t="s">
        <v>4857</v>
      </c>
      <c r="D1761" s="70" t="s">
        <v>357</v>
      </c>
      <c r="E1761" s="70" t="s">
        <v>344</v>
      </c>
      <c r="F1761" s="71">
        <v>3</v>
      </c>
      <c r="G1761" s="71">
        <v>156</v>
      </c>
      <c r="H1761" s="72">
        <v>0.16944444444444445</v>
      </c>
      <c r="I1761" s="71" t="b">
        <v>0</v>
      </c>
      <c r="J1761" s="71">
        <v>26</v>
      </c>
      <c r="K1761" s="71">
        <v>64</v>
      </c>
      <c r="L1761" s="71">
        <v>90</v>
      </c>
      <c r="M1761" s="71">
        <v>4</v>
      </c>
      <c r="N1761" s="71">
        <v>4</v>
      </c>
      <c r="O1761" s="71">
        <v>0</v>
      </c>
      <c r="P1761" s="71">
        <v>15</v>
      </c>
      <c r="Q1761" s="71">
        <v>19</v>
      </c>
      <c r="R1761" s="71">
        <v>85</v>
      </c>
      <c r="S1761" s="71" t="s">
        <v>26</v>
      </c>
      <c r="T1761" s="73">
        <v>45100</v>
      </c>
      <c r="U1761" s="71" t="s">
        <v>4250</v>
      </c>
      <c r="V1761" s="71" t="b">
        <v>0</v>
      </c>
    </row>
    <row r="1762" spans="1:22" ht="17.25">
      <c r="A1762" s="70">
        <v>1296</v>
      </c>
      <c r="B1762" s="70" t="s">
        <v>358</v>
      </c>
      <c r="C1762" s="70" t="s">
        <v>237</v>
      </c>
      <c r="D1762" s="70" t="s">
        <v>357</v>
      </c>
      <c r="E1762" s="70" t="s">
        <v>344</v>
      </c>
      <c r="F1762" s="71">
        <v>3</v>
      </c>
      <c r="G1762" s="71">
        <v>156</v>
      </c>
      <c r="H1762" s="72">
        <v>0.16944444444444445</v>
      </c>
      <c r="I1762" s="71" t="b">
        <v>0</v>
      </c>
      <c r="J1762" s="71">
        <v>26</v>
      </c>
      <c r="K1762" s="71">
        <v>64</v>
      </c>
      <c r="L1762" s="71">
        <v>90</v>
      </c>
      <c r="M1762" s="71">
        <v>4</v>
      </c>
      <c r="N1762" s="71">
        <v>4</v>
      </c>
      <c r="O1762" s="71">
        <v>0</v>
      </c>
      <c r="P1762" s="71">
        <v>15</v>
      </c>
      <c r="Q1762" s="71">
        <v>19</v>
      </c>
      <c r="R1762" s="71">
        <v>85</v>
      </c>
      <c r="S1762" s="71" t="s">
        <v>26</v>
      </c>
      <c r="T1762" s="73">
        <v>45100</v>
      </c>
      <c r="U1762" s="71" t="s">
        <v>4250</v>
      </c>
      <c r="V1762" s="71" t="b">
        <v>0</v>
      </c>
    </row>
    <row r="1763" spans="1:22" ht="17.25">
      <c r="A1763" s="70">
        <v>1298</v>
      </c>
      <c r="B1763" s="70" t="s">
        <v>353</v>
      </c>
      <c r="C1763" s="70" t="s">
        <v>4906</v>
      </c>
      <c r="D1763" s="70" t="s">
        <v>352</v>
      </c>
      <c r="E1763" s="70" t="s">
        <v>44</v>
      </c>
      <c r="F1763" s="71">
        <v>83</v>
      </c>
      <c r="G1763" s="71">
        <v>1</v>
      </c>
      <c r="H1763" s="72" t="s">
        <v>4320</v>
      </c>
      <c r="I1763" s="71" t="b">
        <v>1</v>
      </c>
      <c r="J1763" s="71">
        <v>82</v>
      </c>
      <c r="K1763" s="71">
        <v>64</v>
      </c>
      <c r="L1763" s="71">
        <v>73</v>
      </c>
      <c r="M1763" s="71">
        <v>31</v>
      </c>
      <c r="N1763" s="71">
        <v>15</v>
      </c>
      <c r="O1763" s="71">
        <v>0</v>
      </c>
      <c r="P1763" s="71">
        <v>12</v>
      </c>
      <c r="Q1763" s="71">
        <v>55</v>
      </c>
      <c r="R1763" s="71">
        <v>92</v>
      </c>
      <c r="S1763" s="71" t="s">
        <v>48</v>
      </c>
      <c r="T1763" s="73" t="s">
        <v>4381</v>
      </c>
      <c r="U1763" s="71" t="s">
        <v>3891</v>
      </c>
      <c r="V1763" s="71" t="b">
        <v>0</v>
      </c>
    </row>
    <row r="1764" spans="1:22" ht="17.25">
      <c r="A1764" s="70">
        <v>1299</v>
      </c>
      <c r="B1764" s="70" t="s">
        <v>351</v>
      </c>
      <c r="C1764" s="70" t="s">
        <v>182</v>
      </c>
      <c r="D1764" s="70" t="s">
        <v>350</v>
      </c>
      <c r="E1764" s="70" t="s">
        <v>349</v>
      </c>
      <c r="F1764" s="71">
        <v>99</v>
      </c>
      <c r="G1764" s="71">
        <v>1</v>
      </c>
      <c r="H1764" s="72" t="s">
        <v>4320</v>
      </c>
      <c r="I1764" s="71" t="b">
        <v>1</v>
      </c>
      <c r="J1764" s="71">
        <v>68</v>
      </c>
      <c r="K1764" s="71">
        <v>46</v>
      </c>
      <c r="L1764" s="71">
        <v>69</v>
      </c>
      <c r="M1764" s="71">
        <v>15</v>
      </c>
      <c r="N1764" s="71">
        <v>53</v>
      </c>
      <c r="O1764" s="71">
        <v>0</v>
      </c>
      <c r="P1764" s="71">
        <v>10</v>
      </c>
      <c r="Q1764" s="71">
        <v>32</v>
      </c>
      <c r="R1764" s="71">
        <v>85</v>
      </c>
      <c r="S1764" s="71" t="s">
        <v>26</v>
      </c>
      <c r="T1764" s="73" t="s">
        <v>4385</v>
      </c>
      <c r="U1764" s="71" t="s">
        <v>3586</v>
      </c>
      <c r="V1764" s="71" t="b">
        <v>0</v>
      </c>
    </row>
    <row r="1765" spans="1:22" ht="17.25">
      <c r="A1765" s="70">
        <v>1299</v>
      </c>
      <c r="B1765" s="70" t="s">
        <v>351</v>
      </c>
      <c r="C1765" s="70" t="s">
        <v>1260</v>
      </c>
      <c r="D1765" s="70" t="s">
        <v>350</v>
      </c>
      <c r="E1765" s="70" t="s">
        <v>349</v>
      </c>
      <c r="F1765" s="71">
        <v>99</v>
      </c>
      <c r="G1765" s="71">
        <v>1</v>
      </c>
      <c r="H1765" s="72" t="s">
        <v>4320</v>
      </c>
      <c r="I1765" s="71" t="b">
        <v>1</v>
      </c>
      <c r="J1765" s="71">
        <v>68</v>
      </c>
      <c r="K1765" s="71">
        <v>46</v>
      </c>
      <c r="L1765" s="71">
        <v>69</v>
      </c>
      <c r="M1765" s="71">
        <v>15</v>
      </c>
      <c r="N1765" s="71">
        <v>53</v>
      </c>
      <c r="O1765" s="71">
        <v>0</v>
      </c>
      <c r="P1765" s="71">
        <v>10</v>
      </c>
      <c r="Q1765" s="71">
        <v>32</v>
      </c>
      <c r="R1765" s="71">
        <v>85</v>
      </c>
      <c r="S1765" s="71" t="s">
        <v>26</v>
      </c>
      <c r="T1765" s="73" t="s">
        <v>4385</v>
      </c>
      <c r="U1765" s="71" t="s">
        <v>3586</v>
      </c>
      <c r="V1765" s="71" t="b">
        <v>0</v>
      </c>
    </row>
    <row r="1766" spans="1:22" ht="17.25">
      <c r="A1766" s="70">
        <v>1300</v>
      </c>
      <c r="B1766" s="70" t="s">
        <v>348</v>
      </c>
      <c r="C1766" s="70" t="s">
        <v>347</v>
      </c>
      <c r="D1766" s="70" t="s">
        <v>346</v>
      </c>
      <c r="E1766" s="70" t="s">
        <v>44</v>
      </c>
      <c r="F1766" s="71">
        <v>1</v>
      </c>
      <c r="G1766" s="71">
        <v>115</v>
      </c>
      <c r="H1766" s="72">
        <v>0.1388888888888889</v>
      </c>
      <c r="I1766" s="71" t="b">
        <v>0</v>
      </c>
      <c r="J1766" s="71">
        <v>71</v>
      </c>
      <c r="K1766" s="71">
        <v>69</v>
      </c>
      <c r="L1766" s="71">
        <v>92</v>
      </c>
      <c r="M1766" s="71">
        <v>6</v>
      </c>
      <c r="N1766" s="71">
        <v>6</v>
      </c>
      <c r="O1766" s="71">
        <v>0</v>
      </c>
      <c r="P1766" s="71">
        <v>2</v>
      </c>
      <c r="Q1766" s="71">
        <v>63</v>
      </c>
      <c r="R1766" s="71">
        <v>118</v>
      </c>
      <c r="S1766" s="71" t="s">
        <v>96</v>
      </c>
      <c r="T1766" s="73">
        <v>44938</v>
      </c>
      <c r="U1766" s="71" t="s">
        <v>4251</v>
      </c>
      <c r="V1766" s="71" t="b">
        <v>0</v>
      </c>
    </row>
    <row r="1767" spans="1:22" ht="17.25">
      <c r="A1767" s="70">
        <v>1302</v>
      </c>
      <c r="B1767" s="70" t="s">
        <v>343</v>
      </c>
      <c r="C1767" s="70" t="s">
        <v>4465</v>
      </c>
      <c r="D1767" s="70" t="s">
        <v>342</v>
      </c>
      <c r="E1767" s="70" t="s">
        <v>341</v>
      </c>
      <c r="F1767" s="71">
        <v>145</v>
      </c>
      <c r="G1767" s="71">
        <v>1</v>
      </c>
      <c r="H1767" s="72" t="s">
        <v>4315</v>
      </c>
      <c r="I1767" s="71" t="b">
        <v>1</v>
      </c>
      <c r="J1767" s="71">
        <v>76</v>
      </c>
      <c r="K1767" s="71">
        <v>68</v>
      </c>
      <c r="L1767" s="71">
        <v>73</v>
      </c>
      <c r="M1767" s="71">
        <v>8</v>
      </c>
      <c r="N1767" s="71">
        <v>20</v>
      </c>
      <c r="O1767" s="71">
        <v>0</v>
      </c>
      <c r="P1767" s="71">
        <v>12</v>
      </c>
      <c r="Q1767" s="71">
        <v>85</v>
      </c>
      <c r="R1767" s="71">
        <v>152</v>
      </c>
      <c r="S1767" s="71" t="s">
        <v>61</v>
      </c>
      <c r="T1767" s="73" t="s">
        <v>4327</v>
      </c>
      <c r="U1767" s="71" t="s">
        <v>4252</v>
      </c>
      <c r="V1767" s="71" t="b">
        <v>0</v>
      </c>
    </row>
    <row r="1768" spans="1:22" ht="17.25">
      <c r="A1768" s="70">
        <v>1302</v>
      </c>
      <c r="B1768" s="70" t="s">
        <v>343</v>
      </c>
      <c r="C1768" s="70" t="s">
        <v>514</v>
      </c>
      <c r="D1768" s="70" t="s">
        <v>342</v>
      </c>
      <c r="E1768" s="70" t="s">
        <v>341</v>
      </c>
      <c r="F1768" s="71">
        <v>145</v>
      </c>
      <c r="G1768" s="71">
        <v>1</v>
      </c>
      <c r="H1768" s="72" t="s">
        <v>4315</v>
      </c>
      <c r="I1768" s="71" t="b">
        <v>1</v>
      </c>
      <c r="J1768" s="71">
        <v>76</v>
      </c>
      <c r="K1768" s="71">
        <v>68</v>
      </c>
      <c r="L1768" s="71">
        <v>73</v>
      </c>
      <c r="M1768" s="71">
        <v>8</v>
      </c>
      <c r="N1768" s="71">
        <v>20</v>
      </c>
      <c r="O1768" s="71">
        <v>0</v>
      </c>
      <c r="P1768" s="71">
        <v>12</v>
      </c>
      <c r="Q1768" s="71">
        <v>85</v>
      </c>
      <c r="R1768" s="71">
        <v>152</v>
      </c>
      <c r="S1768" s="71" t="s">
        <v>61</v>
      </c>
      <c r="T1768" s="73" t="s">
        <v>4327</v>
      </c>
      <c r="U1768" s="71" t="s">
        <v>4252</v>
      </c>
      <c r="V1768" s="71" t="b">
        <v>0</v>
      </c>
    </row>
    <row r="1769" spans="1:22" ht="17.25">
      <c r="A1769" s="70">
        <v>1302</v>
      </c>
      <c r="B1769" s="70" t="s">
        <v>343</v>
      </c>
      <c r="C1769" s="70" t="s">
        <v>4435</v>
      </c>
      <c r="D1769" s="70" t="s">
        <v>342</v>
      </c>
      <c r="E1769" s="70" t="s">
        <v>341</v>
      </c>
      <c r="F1769" s="71">
        <v>145</v>
      </c>
      <c r="G1769" s="71">
        <v>1</v>
      </c>
      <c r="H1769" s="72" t="s">
        <v>4315</v>
      </c>
      <c r="I1769" s="71" t="b">
        <v>1</v>
      </c>
      <c r="J1769" s="71">
        <v>76</v>
      </c>
      <c r="K1769" s="71">
        <v>68</v>
      </c>
      <c r="L1769" s="71">
        <v>73</v>
      </c>
      <c r="M1769" s="71">
        <v>8</v>
      </c>
      <c r="N1769" s="71">
        <v>20</v>
      </c>
      <c r="O1769" s="71">
        <v>0</v>
      </c>
      <c r="P1769" s="71">
        <v>12</v>
      </c>
      <c r="Q1769" s="71">
        <v>85</v>
      </c>
      <c r="R1769" s="71">
        <v>152</v>
      </c>
      <c r="S1769" s="71" t="s">
        <v>61</v>
      </c>
      <c r="T1769" s="73" t="s">
        <v>4327</v>
      </c>
      <c r="U1769" s="71" t="s">
        <v>4252</v>
      </c>
      <c r="V1769" s="71" t="b">
        <v>0</v>
      </c>
    </row>
    <row r="1770" spans="1:22" ht="17.25">
      <c r="A1770" s="70">
        <v>1302</v>
      </c>
      <c r="B1770" s="70" t="s">
        <v>343</v>
      </c>
      <c r="C1770" s="70" t="s">
        <v>4449</v>
      </c>
      <c r="D1770" s="70" t="s">
        <v>342</v>
      </c>
      <c r="E1770" s="70" t="s">
        <v>341</v>
      </c>
      <c r="F1770" s="71">
        <v>145</v>
      </c>
      <c r="G1770" s="71">
        <v>1</v>
      </c>
      <c r="H1770" s="72" t="s">
        <v>4315</v>
      </c>
      <c r="I1770" s="71" t="b">
        <v>1</v>
      </c>
      <c r="J1770" s="71">
        <v>76</v>
      </c>
      <c r="K1770" s="71">
        <v>68</v>
      </c>
      <c r="L1770" s="71">
        <v>73</v>
      </c>
      <c r="M1770" s="71">
        <v>8</v>
      </c>
      <c r="N1770" s="71">
        <v>20</v>
      </c>
      <c r="O1770" s="71">
        <v>0</v>
      </c>
      <c r="P1770" s="71">
        <v>12</v>
      </c>
      <c r="Q1770" s="71">
        <v>85</v>
      </c>
      <c r="R1770" s="71">
        <v>152</v>
      </c>
      <c r="S1770" s="71" t="s">
        <v>61</v>
      </c>
      <c r="T1770" s="73" t="s">
        <v>4327</v>
      </c>
      <c r="U1770" s="71" t="s">
        <v>4252</v>
      </c>
      <c r="V1770" s="71" t="b">
        <v>0</v>
      </c>
    </row>
    <row r="1771" spans="1:22" ht="17.25">
      <c r="A1771" s="70">
        <v>1302</v>
      </c>
      <c r="B1771" s="70" t="s">
        <v>343</v>
      </c>
      <c r="C1771" s="70" t="s">
        <v>3097</v>
      </c>
      <c r="D1771" s="70" t="s">
        <v>342</v>
      </c>
      <c r="E1771" s="70" t="s">
        <v>341</v>
      </c>
      <c r="F1771" s="71">
        <v>145</v>
      </c>
      <c r="G1771" s="71">
        <v>1</v>
      </c>
      <c r="H1771" s="72" t="s">
        <v>4315</v>
      </c>
      <c r="I1771" s="71" t="b">
        <v>1</v>
      </c>
      <c r="J1771" s="71">
        <v>76</v>
      </c>
      <c r="K1771" s="71">
        <v>68</v>
      </c>
      <c r="L1771" s="71">
        <v>73</v>
      </c>
      <c r="M1771" s="71">
        <v>8</v>
      </c>
      <c r="N1771" s="71">
        <v>20</v>
      </c>
      <c r="O1771" s="71">
        <v>0</v>
      </c>
      <c r="P1771" s="71">
        <v>12</v>
      </c>
      <c r="Q1771" s="71">
        <v>85</v>
      </c>
      <c r="R1771" s="71">
        <v>152</v>
      </c>
      <c r="S1771" s="71" t="s">
        <v>61</v>
      </c>
      <c r="T1771" s="73" t="s">
        <v>4327</v>
      </c>
      <c r="U1771" s="71" t="s">
        <v>4252</v>
      </c>
      <c r="V1771" s="71" t="b">
        <v>0</v>
      </c>
    </row>
    <row r="1772" spans="1:22" ht="17.25">
      <c r="A1772" s="70">
        <v>1303</v>
      </c>
      <c r="B1772" s="70" t="s">
        <v>340</v>
      </c>
      <c r="C1772" s="70" t="s">
        <v>206</v>
      </c>
      <c r="D1772" s="70" t="s">
        <v>205</v>
      </c>
      <c r="E1772" s="70" t="s">
        <v>204</v>
      </c>
      <c r="F1772" s="71">
        <v>23</v>
      </c>
      <c r="G1772" s="71">
        <v>13</v>
      </c>
      <c r="H1772" s="72" t="s">
        <v>4389</v>
      </c>
      <c r="I1772" s="71" t="b">
        <v>1</v>
      </c>
      <c r="J1772" s="71">
        <v>78</v>
      </c>
      <c r="K1772" s="71">
        <v>56</v>
      </c>
      <c r="L1772" s="71">
        <v>71</v>
      </c>
      <c r="M1772" s="71">
        <v>18</v>
      </c>
      <c r="N1772" s="71">
        <v>22</v>
      </c>
      <c r="O1772" s="71">
        <v>0</v>
      </c>
      <c r="P1772" s="71">
        <v>12</v>
      </c>
      <c r="Q1772" s="71">
        <v>52</v>
      </c>
      <c r="R1772" s="71">
        <v>130</v>
      </c>
      <c r="S1772" s="71" t="s">
        <v>48</v>
      </c>
      <c r="T1772" s="73" t="s">
        <v>4388</v>
      </c>
      <c r="U1772" s="71" t="s">
        <v>4253</v>
      </c>
      <c r="V1772" s="71" t="b">
        <v>0</v>
      </c>
    </row>
    <row r="1773" spans="1:22" ht="17.25">
      <c r="A1773" s="70">
        <v>1305</v>
      </c>
      <c r="B1773" s="70" t="s">
        <v>337</v>
      </c>
      <c r="C1773" s="70" t="s">
        <v>336</v>
      </c>
      <c r="D1773" s="70" t="s">
        <v>335</v>
      </c>
      <c r="E1773" s="70" t="s">
        <v>334</v>
      </c>
      <c r="F1773" s="71">
        <v>80</v>
      </c>
      <c r="G1773" s="71">
        <v>19</v>
      </c>
      <c r="H1773" s="72">
        <v>0.13055555555555556</v>
      </c>
      <c r="I1773" s="71" t="b">
        <v>1</v>
      </c>
      <c r="J1773" s="71">
        <v>66</v>
      </c>
      <c r="K1773" s="71">
        <v>82</v>
      </c>
      <c r="L1773" s="71">
        <v>93</v>
      </c>
      <c r="M1773" s="71">
        <v>4</v>
      </c>
      <c r="N1773" s="71">
        <v>2</v>
      </c>
      <c r="O1773" s="71">
        <v>0</v>
      </c>
      <c r="P1773" s="71">
        <v>8</v>
      </c>
      <c r="Q1773" s="71">
        <v>71</v>
      </c>
      <c r="R1773" s="71">
        <v>124</v>
      </c>
      <c r="S1773" s="71" t="s">
        <v>96</v>
      </c>
      <c r="T1773" s="73">
        <v>45065</v>
      </c>
      <c r="U1773" s="71" t="s">
        <v>3653</v>
      </c>
      <c r="V1773" s="71" t="b">
        <v>0</v>
      </c>
    </row>
    <row r="1774" spans="1:22" ht="17.25">
      <c r="A1774" s="70">
        <v>1306</v>
      </c>
      <c r="B1774" s="70" t="s">
        <v>333</v>
      </c>
      <c r="C1774" s="70" t="s">
        <v>4858</v>
      </c>
      <c r="D1774" s="70" t="s">
        <v>332</v>
      </c>
      <c r="E1774" s="70" t="s">
        <v>124</v>
      </c>
      <c r="F1774" s="71">
        <v>21</v>
      </c>
      <c r="G1774" s="71">
        <v>56</v>
      </c>
      <c r="H1774" s="72">
        <v>0.15833333333333333</v>
      </c>
      <c r="I1774" s="71" t="b">
        <v>0</v>
      </c>
      <c r="J1774" s="71">
        <v>36</v>
      </c>
      <c r="K1774" s="71">
        <v>32</v>
      </c>
      <c r="L1774" s="71">
        <v>83</v>
      </c>
      <c r="M1774" s="71">
        <v>3</v>
      </c>
      <c r="N1774" s="71">
        <v>86</v>
      </c>
      <c r="O1774" s="71">
        <v>0</v>
      </c>
      <c r="P1774" s="71">
        <v>23</v>
      </c>
      <c r="Q1774" s="71">
        <v>23</v>
      </c>
      <c r="R1774" s="71">
        <v>77</v>
      </c>
      <c r="S1774" s="71" t="s">
        <v>115</v>
      </c>
      <c r="T1774" s="73">
        <v>45625</v>
      </c>
      <c r="U1774" s="71" t="s">
        <v>4254</v>
      </c>
      <c r="V1774" s="71" t="b">
        <v>0</v>
      </c>
    </row>
    <row r="1775" spans="1:22" ht="17.25">
      <c r="A1775" s="70">
        <v>1306</v>
      </c>
      <c r="B1775" s="70" t="s">
        <v>333</v>
      </c>
      <c r="C1775" s="70" t="s">
        <v>4549</v>
      </c>
      <c r="D1775" s="70" t="s">
        <v>332</v>
      </c>
      <c r="E1775" s="70" t="s">
        <v>124</v>
      </c>
      <c r="F1775" s="71">
        <v>21</v>
      </c>
      <c r="G1775" s="71">
        <v>56</v>
      </c>
      <c r="H1775" s="72">
        <v>0.15833333333333333</v>
      </c>
      <c r="I1775" s="71" t="b">
        <v>0</v>
      </c>
      <c r="J1775" s="71">
        <v>36</v>
      </c>
      <c r="K1775" s="71">
        <v>32</v>
      </c>
      <c r="L1775" s="71">
        <v>83</v>
      </c>
      <c r="M1775" s="71">
        <v>3</v>
      </c>
      <c r="N1775" s="71">
        <v>86</v>
      </c>
      <c r="O1775" s="71">
        <v>0</v>
      </c>
      <c r="P1775" s="71">
        <v>23</v>
      </c>
      <c r="Q1775" s="71">
        <v>23</v>
      </c>
      <c r="R1775" s="71">
        <v>77</v>
      </c>
      <c r="S1775" s="71" t="s">
        <v>115</v>
      </c>
      <c r="T1775" s="73">
        <v>45625</v>
      </c>
      <c r="U1775" s="71" t="s">
        <v>4254</v>
      </c>
      <c r="V1775" s="71" t="b">
        <v>0</v>
      </c>
    </row>
    <row r="1776" spans="1:22" ht="17.25">
      <c r="A1776" s="70">
        <v>1307</v>
      </c>
      <c r="B1776" s="70" t="s">
        <v>331</v>
      </c>
      <c r="C1776" s="70" t="s">
        <v>301</v>
      </c>
      <c r="D1776" s="70" t="s">
        <v>330</v>
      </c>
      <c r="E1776" s="70" t="s">
        <v>44</v>
      </c>
      <c r="F1776" s="71">
        <v>194</v>
      </c>
      <c r="G1776" s="71">
        <v>1</v>
      </c>
      <c r="H1776" s="72" t="s">
        <v>4320</v>
      </c>
      <c r="I1776" s="71" t="b">
        <v>0</v>
      </c>
      <c r="J1776" s="71">
        <v>64</v>
      </c>
      <c r="K1776" s="71">
        <v>48</v>
      </c>
      <c r="L1776" s="71">
        <v>70</v>
      </c>
      <c r="M1776" s="71">
        <v>5</v>
      </c>
      <c r="N1776" s="71">
        <v>58</v>
      </c>
      <c r="O1776" s="71">
        <v>0</v>
      </c>
      <c r="P1776" s="71">
        <v>14</v>
      </c>
      <c r="Q1776" s="71">
        <v>45</v>
      </c>
      <c r="R1776" s="71">
        <v>105</v>
      </c>
      <c r="S1776" s="71" t="s">
        <v>183</v>
      </c>
      <c r="T1776" s="73" t="s">
        <v>4359</v>
      </c>
      <c r="U1776" s="71" t="s">
        <v>3501</v>
      </c>
      <c r="V1776" s="71" t="b">
        <v>0</v>
      </c>
    </row>
    <row r="1777" spans="1:22" ht="17.25">
      <c r="A1777" s="70">
        <v>1308</v>
      </c>
      <c r="B1777" s="70" t="s">
        <v>329</v>
      </c>
      <c r="C1777" s="70" t="s">
        <v>1613</v>
      </c>
      <c r="D1777" s="70" t="s">
        <v>328</v>
      </c>
      <c r="E1777" s="70" t="s">
        <v>327</v>
      </c>
      <c r="F1777" s="71">
        <v>159</v>
      </c>
      <c r="G1777" s="71">
        <v>1</v>
      </c>
      <c r="H1777" s="72" t="s">
        <v>4320</v>
      </c>
      <c r="I1777" s="71" t="b">
        <v>1</v>
      </c>
      <c r="J1777" s="71">
        <v>82</v>
      </c>
      <c r="K1777" s="71">
        <v>60</v>
      </c>
      <c r="L1777" s="71">
        <v>72</v>
      </c>
      <c r="M1777" s="71">
        <v>18</v>
      </c>
      <c r="N1777" s="71">
        <v>20</v>
      </c>
      <c r="O1777" s="71">
        <v>0</v>
      </c>
      <c r="P1777" s="71">
        <v>11</v>
      </c>
      <c r="Q1777" s="71">
        <v>67</v>
      </c>
      <c r="R1777" s="71">
        <v>110</v>
      </c>
      <c r="S1777" s="71" t="s">
        <v>48</v>
      </c>
      <c r="T1777" s="73" t="s">
        <v>4337</v>
      </c>
      <c r="U1777" s="71" t="s">
        <v>3760</v>
      </c>
      <c r="V1777" s="71" t="b">
        <v>0</v>
      </c>
    </row>
    <row r="1778" spans="1:22" ht="17.25">
      <c r="A1778" s="70">
        <v>1308</v>
      </c>
      <c r="B1778" s="70" t="s">
        <v>329</v>
      </c>
      <c r="C1778" s="70" t="s">
        <v>4678</v>
      </c>
      <c r="D1778" s="70" t="s">
        <v>328</v>
      </c>
      <c r="E1778" s="70" t="s">
        <v>327</v>
      </c>
      <c r="F1778" s="71">
        <v>159</v>
      </c>
      <c r="G1778" s="71">
        <v>1</v>
      </c>
      <c r="H1778" s="72" t="s">
        <v>4320</v>
      </c>
      <c r="I1778" s="71" t="b">
        <v>1</v>
      </c>
      <c r="J1778" s="71">
        <v>82</v>
      </c>
      <c r="K1778" s="71">
        <v>60</v>
      </c>
      <c r="L1778" s="71">
        <v>72</v>
      </c>
      <c r="M1778" s="71">
        <v>18</v>
      </c>
      <c r="N1778" s="71">
        <v>20</v>
      </c>
      <c r="O1778" s="71">
        <v>0</v>
      </c>
      <c r="P1778" s="71">
        <v>11</v>
      </c>
      <c r="Q1778" s="71">
        <v>67</v>
      </c>
      <c r="R1778" s="71">
        <v>110</v>
      </c>
      <c r="S1778" s="71" t="s">
        <v>48</v>
      </c>
      <c r="T1778" s="73" t="s">
        <v>4337</v>
      </c>
      <c r="U1778" s="71" t="s">
        <v>3760</v>
      </c>
      <c r="V1778" s="71" t="b">
        <v>0</v>
      </c>
    </row>
    <row r="1779" spans="1:22" ht="17.25">
      <c r="A1779" s="70">
        <v>1309</v>
      </c>
      <c r="B1779" s="70" t="s">
        <v>326</v>
      </c>
      <c r="C1779" s="70" t="s">
        <v>54</v>
      </c>
      <c r="D1779" s="70" t="s">
        <v>325</v>
      </c>
      <c r="E1779" s="70" t="s">
        <v>324</v>
      </c>
      <c r="F1779" s="71">
        <v>191</v>
      </c>
      <c r="G1779" s="71">
        <v>1</v>
      </c>
      <c r="H1779" s="72" t="s">
        <v>4370</v>
      </c>
      <c r="I1779" s="71" t="b">
        <v>0</v>
      </c>
      <c r="J1779" s="71">
        <v>60</v>
      </c>
      <c r="K1779" s="71">
        <v>34</v>
      </c>
      <c r="L1779" s="71">
        <v>67</v>
      </c>
      <c r="M1779" s="71">
        <v>7</v>
      </c>
      <c r="N1779" s="71">
        <v>82</v>
      </c>
      <c r="O1779" s="71">
        <v>0</v>
      </c>
      <c r="P1779" s="71">
        <v>28</v>
      </c>
      <c r="Q1779" s="71">
        <v>39</v>
      </c>
      <c r="R1779" s="71">
        <v>88</v>
      </c>
      <c r="S1779" s="71" t="s">
        <v>96</v>
      </c>
      <c r="T1779" s="73" t="s">
        <v>4368</v>
      </c>
      <c r="U1779" s="71" t="s">
        <v>3387</v>
      </c>
      <c r="V1779" s="71" t="b">
        <v>0</v>
      </c>
    </row>
    <row r="1780" spans="1:22" ht="17.25">
      <c r="A1780" s="70">
        <v>1313</v>
      </c>
      <c r="B1780" s="70" t="s">
        <v>315</v>
      </c>
      <c r="C1780" s="70" t="s">
        <v>4550</v>
      </c>
      <c r="D1780" s="70" t="s">
        <v>314</v>
      </c>
      <c r="E1780" s="70" t="s">
        <v>313</v>
      </c>
      <c r="F1780" s="71">
        <v>131</v>
      </c>
      <c r="G1780" s="71">
        <v>3</v>
      </c>
      <c r="H1780" s="72" t="s">
        <v>4317</v>
      </c>
      <c r="I1780" s="71" t="b">
        <v>0</v>
      </c>
      <c r="J1780" s="71">
        <v>82</v>
      </c>
      <c r="K1780" s="71">
        <v>75</v>
      </c>
      <c r="L1780" s="71">
        <v>74</v>
      </c>
      <c r="M1780" s="71">
        <v>7</v>
      </c>
      <c r="N1780" s="71">
        <v>27</v>
      </c>
      <c r="O1780" s="71">
        <v>0</v>
      </c>
      <c r="P1780" s="71">
        <v>24</v>
      </c>
      <c r="Q1780" s="71">
        <v>81</v>
      </c>
      <c r="R1780" s="71">
        <v>134</v>
      </c>
      <c r="S1780" s="71" t="s">
        <v>312</v>
      </c>
      <c r="T1780" s="73" t="s">
        <v>4388</v>
      </c>
      <c r="U1780" s="71" t="s">
        <v>4255</v>
      </c>
      <c r="V1780" s="71" t="b">
        <v>0</v>
      </c>
    </row>
    <row r="1781" spans="1:22" ht="17.25">
      <c r="A1781" s="70">
        <v>1313</v>
      </c>
      <c r="B1781" s="70" t="s">
        <v>315</v>
      </c>
      <c r="C1781" s="70" t="s">
        <v>4859</v>
      </c>
      <c r="D1781" s="70" t="s">
        <v>314</v>
      </c>
      <c r="E1781" s="70" t="s">
        <v>313</v>
      </c>
      <c r="F1781" s="71">
        <v>131</v>
      </c>
      <c r="G1781" s="71">
        <v>3</v>
      </c>
      <c r="H1781" s="72" t="s">
        <v>4317</v>
      </c>
      <c r="I1781" s="71" t="b">
        <v>0</v>
      </c>
      <c r="J1781" s="71">
        <v>82</v>
      </c>
      <c r="K1781" s="71">
        <v>75</v>
      </c>
      <c r="L1781" s="71">
        <v>74</v>
      </c>
      <c r="M1781" s="71">
        <v>7</v>
      </c>
      <c r="N1781" s="71">
        <v>27</v>
      </c>
      <c r="O1781" s="71">
        <v>0</v>
      </c>
      <c r="P1781" s="71">
        <v>24</v>
      </c>
      <c r="Q1781" s="71">
        <v>81</v>
      </c>
      <c r="R1781" s="71">
        <v>134</v>
      </c>
      <c r="S1781" s="71" t="s">
        <v>312</v>
      </c>
      <c r="T1781" s="73" t="s">
        <v>4388</v>
      </c>
      <c r="U1781" s="71" t="s">
        <v>4255</v>
      </c>
      <c r="V1781" s="71" t="b">
        <v>0</v>
      </c>
    </row>
    <row r="1782" spans="1:22" ht="17.25">
      <c r="A1782" s="70">
        <v>1314</v>
      </c>
      <c r="B1782" s="70" t="s">
        <v>311</v>
      </c>
      <c r="C1782" s="70" t="s">
        <v>310</v>
      </c>
      <c r="D1782" s="70" t="s">
        <v>309</v>
      </c>
      <c r="E1782" s="70" t="s">
        <v>308</v>
      </c>
      <c r="F1782" s="71">
        <v>46</v>
      </c>
      <c r="G1782" s="71">
        <v>19</v>
      </c>
      <c r="H1782" s="72">
        <v>0.11666666666666667</v>
      </c>
      <c r="I1782" s="71" t="b">
        <v>0</v>
      </c>
      <c r="J1782" s="71">
        <v>58</v>
      </c>
      <c r="K1782" s="71">
        <v>55</v>
      </c>
      <c r="L1782" s="71">
        <v>74</v>
      </c>
      <c r="M1782" s="71">
        <v>4</v>
      </c>
      <c r="N1782" s="71">
        <v>55</v>
      </c>
      <c r="O1782" s="71">
        <v>0</v>
      </c>
      <c r="P1782" s="71">
        <v>15</v>
      </c>
      <c r="Q1782" s="71">
        <v>78</v>
      </c>
      <c r="R1782" s="71">
        <v>125</v>
      </c>
      <c r="S1782" s="71" t="s">
        <v>29</v>
      </c>
      <c r="T1782" s="73">
        <v>40840</v>
      </c>
      <c r="U1782" s="71" t="s">
        <v>3426</v>
      </c>
      <c r="V1782" s="71" t="b">
        <v>1</v>
      </c>
    </row>
    <row r="1783" spans="1:22" ht="17.25">
      <c r="A1783" s="70">
        <v>1315</v>
      </c>
      <c r="B1783" s="70" t="s">
        <v>307</v>
      </c>
      <c r="C1783" s="70" t="s">
        <v>178</v>
      </c>
      <c r="D1783" s="70" t="s">
        <v>306</v>
      </c>
      <c r="E1783" s="70" t="s">
        <v>84</v>
      </c>
      <c r="F1783" s="71">
        <v>1</v>
      </c>
      <c r="G1783" s="71">
        <v>71</v>
      </c>
      <c r="H1783" s="72">
        <v>0.20416666666666666</v>
      </c>
      <c r="I1783" s="71" t="b">
        <v>0</v>
      </c>
      <c r="J1783" s="71">
        <v>93</v>
      </c>
      <c r="K1783" s="71">
        <v>46</v>
      </c>
      <c r="L1783" s="71">
        <v>84</v>
      </c>
      <c r="M1783" s="71">
        <v>5</v>
      </c>
      <c r="N1783" s="71">
        <v>2</v>
      </c>
      <c r="O1783" s="71">
        <v>4</v>
      </c>
      <c r="P1783" s="71">
        <v>4</v>
      </c>
      <c r="Q1783" s="71">
        <v>88</v>
      </c>
      <c r="R1783" s="71">
        <v>117</v>
      </c>
      <c r="S1783" s="71" t="s">
        <v>96</v>
      </c>
      <c r="T1783" s="73">
        <v>30285</v>
      </c>
      <c r="U1783" s="71" t="s">
        <v>3647</v>
      </c>
      <c r="V1783" s="71" t="b">
        <v>0</v>
      </c>
    </row>
    <row r="1784" spans="1:22" ht="17.25">
      <c r="A1784" s="70">
        <v>1316</v>
      </c>
      <c r="B1784" s="70" t="s">
        <v>305</v>
      </c>
      <c r="C1784" s="70" t="s">
        <v>304</v>
      </c>
      <c r="D1784" s="70" t="s">
        <v>303</v>
      </c>
      <c r="E1784" s="70" t="s">
        <v>30</v>
      </c>
      <c r="F1784" s="71">
        <v>5</v>
      </c>
      <c r="G1784" s="71">
        <v>104</v>
      </c>
      <c r="H1784" s="72">
        <v>0.13819444444444445</v>
      </c>
      <c r="I1784" s="71" t="b">
        <v>0</v>
      </c>
      <c r="J1784" s="71">
        <v>87</v>
      </c>
      <c r="K1784" s="71">
        <v>81</v>
      </c>
      <c r="L1784" s="71">
        <v>93</v>
      </c>
      <c r="M1784" s="71">
        <v>6</v>
      </c>
      <c r="N1784" s="71">
        <v>38</v>
      </c>
      <c r="O1784" s="71">
        <v>0</v>
      </c>
      <c r="P1784" s="71">
        <v>8</v>
      </c>
      <c r="Q1784" s="71">
        <v>97</v>
      </c>
      <c r="R1784" s="71">
        <v>122</v>
      </c>
      <c r="S1784" s="71" t="s">
        <v>96</v>
      </c>
      <c r="T1784" s="73">
        <v>42845</v>
      </c>
      <c r="U1784" s="71" t="s">
        <v>4256</v>
      </c>
      <c r="V1784" s="71" t="b">
        <v>0</v>
      </c>
    </row>
    <row r="1785" spans="1:22" ht="17.25">
      <c r="A1785" s="70">
        <v>1317</v>
      </c>
      <c r="B1785" s="70" t="s">
        <v>302</v>
      </c>
      <c r="C1785" s="70" t="s">
        <v>301</v>
      </c>
      <c r="D1785" s="70" t="s">
        <v>300</v>
      </c>
      <c r="E1785" s="70" t="s">
        <v>44</v>
      </c>
      <c r="F1785" s="71">
        <v>106</v>
      </c>
      <c r="G1785" s="71">
        <v>1</v>
      </c>
      <c r="H1785" s="72" t="s">
        <v>4320</v>
      </c>
      <c r="I1785" s="71" t="b">
        <v>0</v>
      </c>
      <c r="J1785" s="71">
        <v>70</v>
      </c>
      <c r="K1785" s="71">
        <v>69</v>
      </c>
      <c r="L1785" s="71">
        <v>74</v>
      </c>
      <c r="M1785" s="71">
        <v>8</v>
      </c>
      <c r="N1785" s="71">
        <v>25</v>
      </c>
      <c r="O1785" s="71">
        <v>0</v>
      </c>
      <c r="P1785" s="71">
        <v>18</v>
      </c>
      <c r="Q1785" s="71">
        <v>58</v>
      </c>
      <c r="R1785" s="71">
        <v>128</v>
      </c>
      <c r="S1785" s="71" t="s">
        <v>183</v>
      </c>
      <c r="T1785" s="73" t="s">
        <v>4359</v>
      </c>
      <c r="U1785" s="71" t="s">
        <v>3501</v>
      </c>
      <c r="V1785" s="71" t="b">
        <v>0</v>
      </c>
    </row>
    <row r="1786" spans="1:22" ht="17.25">
      <c r="A1786" s="70">
        <v>1318</v>
      </c>
      <c r="B1786" s="70" t="s">
        <v>299</v>
      </c>
      <c r="C1786" s="70" t="s">
        <v>4707</v>
      </c>
      <c r="D1786" s="70" t="s">
        <v>298</v>
      </c>
      <c r="E1786" s="70" t="s">
        <v>44</v>
      </c>
      <c r="F1786" s="71">
        <v>16</v>
      </c>
      <c r="G1786" s="71">
        <v>181</v>
      </c>
      <c r="H1786" s="72">
        <v>0.125</v>
      </c>
      <c r="I1786" s="71" t="b">
        <v>1</v>
      </c>
      <c r="J1786" s="71">
        <v>56</v>
      </c>
      <c r="K1786" s="71">
        <v>56</v>
      </c>
      <c r="L1786" s="71">
        <v>85</v>
      </c>
      <c r="M1786" s="71">
        <v>10</v>
      </c>
      <c r="N1786" s="71">
        <v>37</v>
      </c>
      <c r="O1786" s="71">
        <v>0</v>
      </c>
      <c r="P1786" s="71">
        <v>11</v>
      </c>
      <c r="Q1786" s="71">
        <v>62</v>
      </c>
      <c r="R1786" s="71">
        <v>79</v>
      </c>
      <c r="S1786" s="71" t="s">
        <v>48</v>
      </c>
      <c r="T1786" s="73">
        <v>42937</v>
      </c>
      <c r="U1786" s="71" t="s">
        <v>4257</v>
      </c>
      <c r="V1786" s="71" t="b">
        <v>0</v>
      </c>
    </row>
    <row r="1787" spans="1:22" ht="17.25">
      <c r="A1787" s="70">
        <v>1318</v>
      </c>
      <c r="B1787" s="70" t="s">
        <v>299</v>
      </c>
      <c r="C1787" s="70" t="s">
        <v>4906</v>
      </c>
      <c r="D1787" s="70" t="s">
        <v>298</v>
      </c>
      <c r="E1787" s="70" t="s">
        <v>44</v>
      </c>
      <c r="F1787" s="71">
        <v>16</v>
      </c>
      <c r="G1787" s="71">
        <v>181</v>
      </c>
      <c r="H1787" s="72">
        <v>0.125</v>
      </c>
      <c r="I1787" s="71" t="b">
        <v>1</v>
      </c>
      <c r="J1787" s="71">
        <v>56</v>
      </c>
      <c r="K1787" s="71">
        <v>56</v>
      </c>
      <c r="L1787" s="71">
        <v>85</v>
      </c>
      <c r="M1787" s="71">
        <v>10</v>
      </c>
      <c r="N1787" s="71">
        <v>37</v>
      </c>
      <c r="O1787" s="71">
        <v>0</v>
      </c>
      <c r="P1787" s="71">
        <v>11</v>
      </c>
      <c r="Q1787" s="71">
        <v>62</v>
      </c>
      <c r="R1787" s="71">
        <v>79</v>
      </c>
      <c r="S1787" s="71" t="s">
        <v>48</v>
      </c>
      <c r="T1787" s="73">
        <v>42937</v>
      </c>
      <c r="U1787" s="71" t="s">
        <v>4257</v>
      </c>
      <c r="V1787" s="71" t="b">
        <v>0</v>
      </c>
    </row>
    <row r="1788" spans="1:22" ht="17.25">
      <c r="A1788" s="70">
        <v>1319</v>
      </c>
      <c r="B1788" s="70" t="s">
        <v>297</v>
      </c>
      <c r="C1788" s="70" t="s">
        <v>182</v>
      </c>
      <c r="D1788" s="70" t="s">
        <v>296</v>
      </c>
      <c r="E1788" s="70" t="s">
        <v>180</v>
      </c>
      <c r="F1788" s="71">
        <v>7</v>
      </c>
      <c r="G1788" s="71">
        <v>4</v>
      </c>
      <c r="H1788" s="72" t="s">
        <v>4320</v>
      </c>
      <c r="I1788" s="71" t="b">
        <v>1</v>
      </c>
      <c r="J1788" s="71">
        <v>66</v>
      </c>
      <c r="K1788" s="71">
        <v>45</v>
      </c>
      <c r="L1788" s="71">
        <v>69</v>
      </c>
      <c r="M1788" s="71">
        <v>38</v>
      </c>
      <c r="N1788" s="71">
        <v>66</v>
      </c>
      <c r="O1788" s="71">
        <v>0</v>
      </c>
      <c r="P1788" s="71">
        <v>11</v>
      </c>
      <c r="Q1788" s="71">
        <v>22</v>
      </c>
      <c r="R1788" s="71">
        <v>88</v>
      </c>
      <c r="S1788" s="71" t="s">
        <v>48</v>
      </c>
      <c r="T1788" s="73" t="s">
        <v>4330</v>
      </c>
      <c r="U1788" s="71" t="s">
        <v>3683</v>
      </c>
      <c r="V1788" s="71" t="b">
        <v>0</v>
      </c>
    </row>
    <row r="1789" spans="1:22" ht="17.25">
      <c r="A1789" s="70">
        <v>1321</v>
      </c>
      <c r="B1789" s="70" t="s">
        <v>293</v>
      </c>
      <c r="C1789" s="70" t="s">
        <v>292</v>
      </c>
      <c r="D1789" s="70" t="s">
        <v>291</v>
      </c>
      <c r="E1789" s="70" t="s">
        <v>290</v>
      </c>
      <c r="F1789" s="71">
        <v>1</v>
      </c>
      <c r="G1789" s="71">
        <v>110</v>
      </c>
      <c r="H1789" s="72">
        <v>0.12291666666666666</v>
      </c>
      <c r="I1789" s="71" t="b">
        <v>1</v>
      </c>
      <c r="J1789" s="71">
        <v>91</v>
      </c>
      <c r="K1789" s="71">
        <v>62</v>
      </c>
      <c r="L1789" s="71">
        <v>89</v>
      </c>
      <c r="M1789" s="71">
        <v>10</v>
      </c>
      <c r="N1789" s="71">
        <v>0</v>
      </c>
      <c r="O1789" s="71">
        <v>0</v>
      </c>
      <c r="P1789" s="71">
        <v>10</v>
      </c>
      <c r="Q1789" s="71">
        <v>42</v>
      </c>
      <c r="R1789" s="71">
        <v>150</v>
      </c>
      <c r="S1789" s="71" t="s">
        <v>48</v>
      </c>
      <c r="T1789" s="73">
        <v>42824</v>
      </c>
      <c r="U1789" s="71" t="s">
        <v>4179</v>
      </c>
      <c r="V1789" s="71" t="b">
        <v>0</v>
      </c>
    </row>
    <row r="1790" spans="1:22" ht="17.25">
      <c r="A1790" s="70">
        <v>1322</v>
      </c>
      <c r="B1790" s="70" t="s">
        <v>289</v>
      </c>
      <c r="C1790" s="70" t="s">
        <v>288</v>
      </c>
      <c r="D1790" s="70" t="s">
        <v>287</v>
      </c>
      <c r="E1790" s="70" t="s">
        <v>171</v>
      </c>
      <c r="F1790" s="71">
        <v>172</v>
      </c>
      <c r="G1790" s="71">
        <v>1</v>
      </c>
      <c r="H1790" s="72">
        <v>0.13750000000000001</v>
      </c>
      <c r="I1790" s="71" t="b">
        <v>0</v>
      </c>
      <c r="J1790" s="71">
        <v>52</v>
      </c>
      <c r="K1790" s="71">
        <v>50</v>
      </c>
      <c r="L1790" s="71">
        <v>73</v>
      </c>
      <c r="M1790" s="71">
        <v>3</v>
      </c>
      <c r="N1790" s="71">
        <v>55</v>
      </c>
      <c r="O1790" s="71">
        <v>0</v>
      </c>
      <c r="P1790" s="71">
        <v>15</v>
      </c>
      <c r="Q1790" s="71">
        <v>72</v>
      </c>
      <c r="R1790" s="71">
        <v>120</v>
      </c>
      <c r="S1790" s="71" t="s">
        <v>29</v>
      </c>
      <c r="T1790" s="73">
        <v>45632</v>
      </c>
      <c r="U1790" s="71" t="s">
        <v>4258</v>
      </c>
      <c r="V1790" s="71" t="b">
        <v>1</v>
      </c>
    </row>
    <row r="1791" spans="1:22" ht="17.25">
      <c r="A1791" s="70">
        <v>1323</v>
      </c>
      <c r="B1791" s="70" t="s">
        <v>286</v>
      </c>
      <c r="C1791" s="70" t="s">
        <v>285</v>
      </c>
      <c r="D1791" s="70" t="s">
        <v>284</v>
      </c>
      <c r="E1791" s="70" t="s">
        <v>283</v>
      </c>
      <c r="F1791" s="71">
        <v>179</v>
      </c>
      <c r="G1791" s="71">
        <v>1</v>
      </c>
      <c r="H1791" s="72">
        <v>0.16875000000000001</v>
      </c>
      <c r="I1791" s="71" t="b">
        <v>0</v>
      </c>
      <c r="J1791" s="71">
        <v>58</v>
      </c>
      <c r="K1791" s="71">
        <v>58</v>
      </c>
      <c r="L1791" s="71">
        <v>75</v>
      </c>
      <c r="M1791" s="71">
        <v>6</v>
      </c>
      <c r="N1791" s="71">
        <v>35</v>
      </c>
      <c r="O1791" s="71">
        <v>0</v>
      </c>
      <c r="P1791" s="71">
        <v>14</v>
      </c>
      <c r="Q1791" s="71">
        <v>72</v>
      </c>
      <c r="R1791" s="71">
        <v>100</v>
      </c>
      <c r="S1791" s="71" t="s">
        <v>29</v>
      </c>
      <c r="T1791" s="73">
        <v>31352</v>
      </c>
      <c r="U1791" s="71" t="s">
        <v>4259</v>
      </c>
      <c r="V1791" s="71" t="b">
        <v>1</v>
      </c>
    </row>
    <row r="1792" spans="1:22" ht="17.25">
      <c r="A1792" s="70">
        <v>1324</v>
      </c>
      <c r="B1792" s="70" t="s">
        <v>282</v>
      </c>
      <c r="C1792" s="70" t="s">
        <v>281</v>
      </c>
      <c r="D1792" s="70" t="s">
        <v>280</v>
      </c>
      <c r="E1792" s="70" t="s">
        <v>279</v>
      </c>
      <c r="F1792" s="71">
        <v>78</v>
      </c>
      <c r="G1792" s="71">
        <v>6</v>
      </c>
      <c r="H1792" s="72">
        <v>0.14444444444444443</v>
      </c>
      <c r="I1792" s="71" t="b">
        <v>0</v>
      </c>
      <c r="J1792" s="71">
        <v>62</v>
      </c>
      <c r="K1792" s="71">
        <v>62</v>
      </c>
      <c r="L1792" s="71">
        <v>77</v>
      </c>
      <c r="M1792" s="71">
        <v>5</v>
      </c>
      <c r="N1792" s="71">
        <v>30</v>
      </c>
      <c r="O1792" s="71">
        <v>0</v>
      </c>
      <c r="P1792" s="71">
        <v>14</v>
      </c>
      <c r="Q1792" s="71">
        <v>78</v>
      </c>
      <c r="R1792" s="71">
        <v>128</v>
      </c>
      <c r="S1792" s="71" t="s">
        <v>29</v>
      </c>
      <c r="T1792" s="73">
        <v>25873</v>
      </c>
      <c r="U1792" s="71" t="s">
        <v>4260</v>
      </c>
      <c r="V1792" s="71" t="b">
        <v>1</v>
      </c>
    </row>
    <row r="1793" spans="1:22" ht="17.25">
      <c r="A1793" s="70">
        <v>1325</v>
      </c>
      <c r="B1793" s="70" t="s">
        <v>278</v>
      </c>
      <c r="C1793" s="70" t="s">
        <v>4860</v>
      </c>
      <c r="D1793" s="70" t="s">
        <v>277</v>
      </c>
      <c r="E1793" s="70" t="s">
        <v>235</v>
      </c>
      <c r="F1793" s="71">
        <v>1</v>
      </c>
      <c r="G1793" s="71">
        <v>313</v>
      </c>
      <c r="H1793" s="72">
        <v>0.15972222222222221</v>
      </c>
      <c r="I1793" s="71" t="b">
        <v>1</v>
      </c>
      <c r="J1793" s="71">
        <v>68</v>
      </c>
      <c r="K1793" s="71">
        <v>59</v>
      </c>
      <c r="L1793" s="71">
        <v>88</v>
      </c>
      <c r="M1793" s="71">
        <v>28</v>
      </c>
      <c r="N1793" s="71">
        <v>14</v>
      </c>
      <c r="O1793" s="71">
        <v>0</v>
      </c>
      <c r="P1793" s="71">
        <v>14</v>
      </c>
      <c r="Q1793" s="71">
        <v>49</v>
      </c>
      <c r="R1793" s="71">
        <v>186</v>
      </c>
      <c r="S1793" s="71" t="s">
        <v>26</v>
      </c>
      <c r="T1793" s="73">
        <v>42634</v>
      </c>
      <c r="U1793" s="71" t="s">
        <v>4261</v>
      </c>
      <c r="V1793" s="71" t="b">
        <v>0</v>
      </c>
    </row>
    <row r="1794" spans="1:22" ht="17.25">
      <c r="A1794" s="70">
        <v>1325</v>
      </c>
      <c r="B1794" s="70" t="s">
        <v>278</v>
      </c>
      <c r="C1794" s="70" t="s">
        <v>237</v>
      </c>
      <c r="D1794" s="70" t="s">
        <v>277</v>
      </c>
      <c r="E1794" s="70" t="s">
        <v>235</v>
      </c>
      <c r="F1794" s="71">
        <v>1</v>
      </c>
      <c r="G1794" s="71">
        <v>313</v>
      </c>
      <c r="H1794" s="72">
        <v>0.15972222222222221</v>
      </c>
      <c r="I1794" s="71" t="b">
        <v>1</v>
      </c>
      <c r="J1794" s="71">
        <v>68</v>
      </c>
      <c r="K1794" s="71">
        <v>59</v>
      </c>
      <c r="L1794" s="71">
        <v>88</v>
      </c>
      <c r="M1794" s="71">
        <v>28</v>
      </c>
      <c r="N1794" s="71">
        <v>14</v>
      </c>
      <c r="O1794" s="71">
        <v>0</v>
      </c>
      <c r="P1794" s="71">
        <v>14</v>
      </c>
      <c r="Q1794" s="71">
        <v>49</v>
      </c>
      <c r="R1794" s="71">
        <v>186</v>
      </c>
      <c r="S1794" s="71" t="s">
        <v>26</v>
      </c>
      <c r="T1794" s="73">
        <v>42634</v>
      </c>
      <c r="U1794" s="71" t="s">
        <v>4261</v>
      </c>
      <c r="V1794" s="71" t="b">
        <v>0</v>
      </c>
    </row>
    <row r="1795" spans="1:22" ht="17.25">
      <c r="A1795" s="70">
        <v>1326</v>
      </c>
      <c r="B1795" s="70" t="s">
        <v>276</v>
      </c>
      <c r="C1795" s="70" t="s">
        <v>648</v>
      </c>
      <c r="D1795" s="70" t="s">
        <v>275</v>
      </c>
      <c r="E1795" s="70" t="s">
        <v>44</v>
      </c>
      <c r="F1795" s="71">
        <v>146</v>
      </c>
      <c r="G1795" s="71">
        <v>17</v>
      </c>
      <c r="H1795" s="72">
        <v>0.15763888888888888</v>
      </c>
      <c r="I1795" s="71" t="b">
        <v>0</v>
      </c>
      <c r="J1795" s="71">
        <v>65</v>
      </c>
      <c r="K1795" s="71">
        <v>82</v>
      </c>
      <c r="L1795" s="71">
        <v>93</v>
      </c>
      <c r="M1795" s="71">
        <v>4</v>
      </c>
      <c r="N1795" s="71">
        <v>21</v>
      </c>
      <c r="O1795" s="71">
        <v>0</v>
      </c>
      <c r="P1795" s="71">
        <v>32</v>
      </c>
      <c r="Q1795" s="71">
        <v>42</v>
      </c>
      <c r="R1795" s="71">
        <v>128</v>
      </c>
      <c r="S1795" s="71" t="s">
        <v>274</v>
      </c>
      <c r="T1795" s="73">
        <v>41932</v>
      </c>
      <c r="U1795" s="71" t="s">
        <v>4262</v>
      </c>
      <c r="V1795" s="71" t="b">
        <v>0</v>
      </c>
    </row>
    <row r="1796" spans="1:22" ht="17.25">
      <c r="A1796" s="70">
        <v>1326</v>
      </c>
      <c r="B1796" s="70" t="s">
        <v>276</v>
      </c>
      <c r="C1796" s="70" t="s">
        <v>4861</v>
      </c>
      <c r="D1796" s="70" t="s">
        <v>275</v>
      </c>
      <c r="E1796" s="70" t="s">
        <v>44</v>
      </c>
      <c r="F1796" s="71">
        <v>146</v>
      </c>
      <c r="G1796" s="71">
        <v>17</v>
      </c>
      <c r="H1796" s="72">
        <v>0.15763888888888888</v>
      </c>
      <c r="I1796" s="71" t="b">
        <v>0</v>
      </c>
      <c r="J1796" s="71">
        <v>65</v>
      </c>
      <c r="K1796" s="71">
        <v>82</v>
      </c>
      <c r="L1796" s="71">
        <v>93</v>
      </c>
      <c r="M1796" s="71">
        <v>4</v>
      </c>
      <c r="N1796" s="71">
        <v>21</v>
      </c>
      <c r="O1796" s="71">
        <v>0</v>
      </c>
      <c r="P1796" s="71">
        <v>32</v>
      </c>
      <c r="Q1796" s="71">
        <v>42</v>
      </c>
      <c r="R1796" s="71">
        <v>128</v>
      </c>
      <c r="S1796" s="71" t="s">
        <v>274</v>
      </c>
      <c r="T1796" s="73">
        <v>41932</v>
      </c>
      <c r="U1796" s="71" t="s">
        <v>4262</v>
      </c>
      <c r="V1796" s="71" t="b">
        <v>0</v>
      </c>
    </row>
    <row r="1797" spans="1:22" ht="17.25">
      <c r="A1797" s="70">
        <v>1329</v>
      </c>
      <c r="B1797" s="70" t="s">
        <v>269</v>
      </c>
      <c r="C1797" s="70" t="s">
        <v>268</v>
      </c>
      <c r="D1797" s="70" t="s">
        <v>267</v>
      </c>
      <c r="E1797" s="70" t="s">
        <v>266</v>
      </c>
      <c r="F1797" s="71">
        <v>172</v>
      </c>
      <c r="G1797" s="71">
        <v>1</v>
      </c>
      <c r="H1797" s="72" t="s">
        <v>4320</v>
      </c>
      <c r="I1797" s="71" t="b">
        <v>0</v>
      </c>
      <c r="J1797" s="71">
        <v>56</v>
      </c>
      <c r="K1797" s="71">
        <v>64</v>
      </c>
      <c r="L1797" s="71">
        <v>72</v>
      </c>
      <c r="M1797" s="71">
        <v>4</v>
      </c>
      <c r="N1797" s="71">
        <v>26</v>
      </c>
      <c r="O1797" s="71">
        <v>0</v>
      </c>
      <c r="P1797" s="71">
        <v>15</v>
      </c>
      <c r="Q1797" s="71">
        <v>51</v>
      </c>
      <c r="R1797" s="71">
        <v>148</v>
      </c>
      <c r="S1797" s="71" t="s">
        <v>143</v>
      </c>
      <c r="T1797" s="73" t="s">
        <v>4341</v>
      </c>
      <c r="U1797" s="71" t="s">
        <v>4263</v>
      </c>
      <c r="V1797" s="71" t="b">
        <v>0</v>
      </c>
    </row>
    <row r="1798" spans="1:22" ht="17.25">
      <c r="A1798" s="70">
        <v>1330</v>
      </c>
      <c r="B1798" s="70" t="s">
        <v>265</v>
      </c>
      <c r="C1798" s="70" t="s">
        <v>264</v>
      </c>
      <c r="D1798" s="70" t="s">
        <v>263</v>
      </c>
      <c r="E1798" s="70" t="s">
        <v>44</v>
      </c>
      <c r="F1798" s="71">
        <v>2</v>
      </c>
      <c r="G1798" s="71">
        <v>9</v>
      </c>
      <c r="H1798" s="72" t="s">
        <v>4373</v>
      </c>
      <c r="I1798" s="71" t="b">
        <v>0</v>
      </c>
      <c r="J1798" s="71">
        <v>66</v>
      </c>
      <c r="K1798" s="71">
        <v>58</v>
      </c>
      <c r="L1798" s="71">
        <v>71</v>
      </c>
      <c r="M1798" s="71">
        <v>4</v>
      </c>
      <c r="N1798" s="71">
        <v>40</v>
      </c>
      <c r="O1798" s="71">
        <v>3</v>
      </c>
      <c r="P1798" s="71">
        <v>10</v>
      </c>
      <c r="Q1798" s="71">
        <v>48</v>
      </c>
      <c r="R1798" s="71">
        <v>98</v>
      </c>
      <c r="S1798" s="71" t="s">
        <v>262</v>
      </c>
      <c r="T1798" s="73" t="s">
        <v>4375</v>
      </c>
      <c r="U1798" s="71" t="s">
        <v>3607</v>
      </c>
      <c r="V1798" s="71" t="b">
        <v>0</v>
      </c>
    </row>
    <row r="1799" spans="1:22" ht="17.25">
      <c r="A1799" s="70">
        <v>1331</v>
      </c>
      <c r="B1799" s="70" t="s">
        <v>261</v>
      </c>
      <c r="C1799" s="70" t="s">
        <v>4862</v>
      </c>
      <c r="D1799" s="70" t="s">
        <v>260</v>
      </c>
      <c r="E1799" s="70" t="s">
        <v>259</v>
      </c>
      <c r="F1799" s="71">
        <v>9</v>
      </c>
      <c r="G1799" s="71">
        <v>77</v>
      </c>
      <c r="H1799" s="72">
        <v>0.13750000000000001</v>
      </c>
      <c r="I1799" s="71" t="b">
        <v>0</v>
      </c>
      <c r="J1799" s="71">
        <v>77</v>
      </c>
      <c r="K1799" s="71">
        <v>86</v>
      </c>
      <c r="L1799" s="71">
        <v>95</v>
      </c>
      <c r="M1799" s="71">
        <v>13</v>
      </c>
      <c r="N1799" s="71">
        <v>13</v>
      </c>
      <c r="O1799" s="71">
        <v>0</v>
      </c>
      <c r="P1799" s="71">
        <v>12</v>
      </c>
      <c r="Q1799" s="71">
        <v>45</v>
      </c>
      <c r="R1799" s="71">
        <v>100</v>
      </c>
      <c r="S1799" s="71" t="s">
        <v>128</v>
      </c>
      <c r="T1799" s="73">
        <v>45366</v>
      </c>
      <c r="U1799" s="71" t="s">
        <v>4264</v>
      </c>
      <c r="V1799" s="71" t="b">
        <v>0</v>
      </c>
    </row>
    <row r="1800" spans="1:22" ht="17.25">
      <c r="A1800" s="70">
        <v>1331</v>
      </c>
      <c r="B1800" s="70" t="s">
        <v>261</v>
      </c>
      <c r="C1800" s="70" t="s">
        <v>4551</v>
      </c>
      <c r="D1800" s="70" t="s">
        <v>260</v>
      </c>
      <c r="E1800" s="70" t="s">
        <v>259</v>
      </c>
      <c r="F1800" s="71">
        <v>9</v>
      </c>
      <c r="G1800" s="71">
        <v>77</v>
      </c>
      <c r="H1800" s="72">
        <v>0.13750000000000001</v>
      </c>
      <c r="I1800" s="71" t="b">
        <v>0</v>
      </c>
      <c r="J1800" s="71">
        <v>77</v>
      </c>
      <c r="K1800" s="71">
        <v>86</v>
      </c>
      <c r="L1800" s="71">
        <v>95</v>
      </c>
      <c r="M1800" s="71">
        <v>13</v>
      </c>
      <c r="N1800" s="71">
        <v>13</v>
      </c>
      <c r="O1800" s="71">
        <v>0</v>
      </c>
      <c r="P1800" s="71">
        <v>12</v>
      </c>
      <c r="Q1800" s="71">
        <v>45</v>
      </c>
      <c r="R1800" s="71">
        <v>100</v>
      </c>
      <c r="S1800" s="71" t="s">
        <v>128</v>
      </c>
      <c r="T1800" s="73">
        <v>45366</v>
      </c>
      <c r="U1800" s="71" t="s">
        <v>4264</v>
      </c>
      <c r="V1800" s="71" t="b">
        <v>0</v>
      </c>
    </row>
    <row r="1801" spans="1:22" ht="17.25">
      <c r="A1801" s="70">
        <v>1332</v>
      </c>
      <c r="B1801" s="70" t="s">
        <v>258</v>
      </c>
      <c r="C1801" s="70" t="s">
        <v>257</v>
      </c>
      <c r="D1801" s="70" t="s">
        <v>256</v>
      </c>
      <c r="E1801" s="70" t="s">
        <v>255</v>
      </c>
      <c r="F1801" s="71">
        <v>87</v>
      </c>
      <c r="G1801" s="71">
        <v>6</v>
      </c>
      <c r="H1801" s="72">
        <v>0.16527777777777777</v>
      </c>
      <c r="I1801" s="71" t="b">
        <v>1</v>
      </c>
      <c r="J1801" s="71">
        <v>74</v>
      </c>
      <c r="K1801" s="71">
        <v>76</v>
      </c>
      <c r="L1801" s="71">
        <v>91</v>
      </c>
      <c r="M1801" s="71">
        <v>3</v>
      </c>
      <c r="N1801" s="71">
        <v>10</v>
      </c>
      <c r="O1801" s="71">
        <v>0</v>
      </c>
      <c r="P1801" s="71">
        <v>8</v>
      </c>
      <c r="Q1801" s="71">
        <v>11</v>
      </c>
      <c r="R1801" s="71">
        <v>120</v>
      </c>
      <c r="S1801" s="71" t="s">
        <v>34</v>
      </c>
      <c r="T1801" s="73">
        <v>41960</v>
      </c>
      <c r="U1801" s="71" t="s">
        <v>4265</v>
      </c>
      <c r="V1801" s="71" t="b">
        <v>0</v>
      </c>
    </row>
    <row r="1802" spans="1:22" ht="17.25">
      <c r="A1802" s="70">
        <v>1333</v>
      </c>
      <c r="B1802" s="70" t="s">
        <v>254</v>
      </c>
      <c r="C1802" s="70" t="s">
        <v>253</v>
      </c>
      <c r="D1802" s="70" t="s">
        <v>252</v>
      </c>
      <c r="E1802" s="70" t="s">
        <v>251</v>
      </c>
      <c r="F1802" s="71">
        <v>38</v>
      </c>
      <c r="G1802" s="71">
        <v>12</v>
      </c>
      <c r="H1802" s="72" t="s">
        <v>4317</v>
      </c>
      <c r="I1802" s="71" t="b">
        <v>1</v>
      </c>
      <c r="J1802" s="71">
        <v>80</v>
      </c>
      <c r="K1802" s="71">
        <v>66</v>
      </c>
      <c r="L1802" s="71">
        <v>73</v>
      </c>
      <c r="M1802" s="71">
        <v>18</v>
      </c>
      <c r="N1802" s="71">
        <v>15</v>
      </c>
      <c r="O1802" s="71">
        <v>0</v>
      </c>
      <c r="P1802" s="71">
        <v>13</v>
      </c>
      <c r="Q1802" s="71">
        <v>52</v>
      </c>
      <c r="R1802" s="71">
        <v>140</v>
      </c>
      <c r="S1802" s="71" t="s">
        <v>48</v>
      </c>
      <c r="T1802" s="73" t="s">
        <v>4345</v>
      </c>
      <c r="U1802" s="71" t="s">
        <v>4266</v>
      </c>
      <c r="V1802" s="71" t="b">
        <v>0</v>
      </c>
    </row>
    <row r="1803" spans="1:22" ht="17.25">
      <c r="A1803" s="70">
        <v>1334</v>
      </c>
      <c r="B1803" s="70" t="s">
        <v>250</v>
      </c>
      <c r="C1803" s="70" t="s">
        <v>131</v>
      </c>
      <c r="D1803" s="70" t="s">
        <v>249</v>
      </c>
      <c r="E1803" s="70" t="s">
        <v>129</v>
      </c>
      <c r="F1803" s="71">
        <v>9</v>
      </c>
      <c r="G1803" s="71">
        <v>58</v>
      </c>
      <c r="H1803" s="72">
        <v>0.15138888888888888</v>
      </c>
      <c r="I1803" s="71" t="b">
        <v>1</v>
      </c>
      <c r="J1803" s="71">
        <v>61</v>
      </c>
      <c r="K1803" s="71">
        <v>98</v>
      </c>
      <c r="L1803" s="71">
        <v>69</v>
      </c>
      <c r="M1803" s="71">
        <v>15</v>
      </c>
      <c r="N1803" s="71">
        <v>29</v>
      </c>
      <c r="O1803" s="71">
        <v>0</v>
      </c>
      <c r="P1803" s="71">
        <v>44</v>
      </c>
      <c r="Q1803" s="71">
        <v>3</v>
      </c>
      <c r="R1803" s="71">
        <v>102</v>
      </c>
      <c r="S1803" s="71" t="s">
        <v>128</v>
      </c>
      <c r="T1803" s="73">
        <v>45662</v>
      </c>
      <c r="U1803" s="71" t="s">
        <v>3505</v>
      </c>
      <c r="V1803" s="71" t="b">
        <v>0</v>
      </c>
    </row>
    <row r="1804" spans="1:22" ht="17.25">
      <c r="A1804" s="70">
        <v>1334</v>
      </c>
      <c r="B1804" s="70" t="s">
        <v>250</v>
      </c>
      <c r="C1804" s="70" t="s">
        <v>4863</v>
      </c>
      <c r="D1804" s="70" t="s">
        <v>249</v>
      </c>
      <c r="E1804" s="70" t="s">
        <v>129</v>
      </c>
      <c r="F1804" s="71">
        <v>9</v>
      </c>
      <c r="G1804" s="71">
        <v>58</v>
      </c>
      <c r="H1804" s="72">
        <v>0.15138888888888888</v>
      </c>
      <c r="I1804" s="71" t="b">
        <v>1</v>
      </c>
      <c r="J1804" s="71">
        <v>61</v>
      </c>
      <c r="K1804" s="71">
        <v>98</v>
      </c>
      <c r="L1804" s="71">
        <v>69</v>
      </c>
      <c r="M1804" s="71">
        <v>15</v>
      </c>
      <c r="N1804" s="71">
        <v>29</v>
      </c>
      <c r="O1804" s="71">
        <v>0</v>
      </c>
      <c r="P1804" s="71">
        <v>44</v>
      </c>
      <c r="Q1804" s="71">
        <v>3</v>
      </c>
      <c r="R1804" s="71">
        <v>102</v>
      </c>
      <c r="S1804" s="71" t="s">
        <v>128</v>
      </c>
      <c r="T1804" s="73">
        <v>45662</v>
      </c>
      <c r="U1804" s="71" t="s">
        <v>3505</v>
      </c>
      <c r="V1804" s="71" t="b">
        <v>0</v>
      </c>
    </row>
    <row r="1805" spans="1:22" ht="17.25">
      <c r="A1805" s="70">
        <v>1334</v>
      </c>
      <c r="B1805" s="70" t="s">
        <v>250</v>
      </c>
      <c r="C1805" s="70" t="s">
        <v>2616</v>
      </c>
      <c r="D1805" s="70" t="s">
        <v>249</v>
      </c>
      <c r="E1805" s="70" t="s">
        <v>129</v>
      </c>
      <c r="F1805" s="71">
        <v>9</v>
      </c>
      <c r="G1805" s="71">
        <v>58</v>
      </c>
      <c r="H1805" s="72">
        <v>0.15138888888888888</v>
      </c>
      <c r="I1805" s="71" t="b">
        <v>1</v>
      </c>
      <c r="J1805" s="71">
        <v>61</v>
      </c>
      <c r="K1805" s="71">
        <v>98</v>
      </c>
      <c r="L1805" s="71">
        <v>69</v>
      </c>
      <c r="M1805" s="71">
        <v>15</v>
      </c>
      <c r="N1805" s="71">
        <v>29</v>
      </c>
      <c r="O1805" s="71">
        <v>0</v>
      </c>
      <c r="P1805" s="71">
        <v>44</v>
      </c>
      <c r="Q1805" s="71">
        <v>3</v>
      </c>
      <c r="R1805" s="71">
        <v>102</v>
      </c>
      <c r="S1805" s="71" t="s">
        <v>128</v>
      </c>
      <c r="T1805" s="73">
        <v>45662</v>
      </c>
      <c r="U1805" s="71" t="s">
        <v>3505</v>
      </c>
      <c r="V1805" s="71" t="b">
        <v>0</v>
      </c>
    </row>
    <row r="1806" spans="1:22" ht="17.25">
      <c r="A1806" s="70">
        <v>1336</v>
      </c>
      <c r="B1806" s="70" t="s">
        <v>246</v>
      </c>
      <c r="C1806" s="70" t="s">
        <v>245</v>
      </c>
      <c r="D1806" s="70" t="s">
        <v>244</v>
      </c>
      <c r="E1806" s="70" t="s">
        <v>243</v>
      </c>
      <c r="F1806" s="71">
        <v>181</v>
      </c>
      <c r="G1806" s="71">
        <v>2</v>
      </c>
      <c r="H1806" s="72">
        <v>0.19652777777777777</v>
      </c>
      <c r="I1806" s="71" t="b">
        <v>0</v>
      </c>
      <c r="J1806" s="71">
        <v>60</v>
      </c>
      <c r="K1806" s="71">
        <v>61</v>
      </c>
      <c r="L1806" s="71">
        <v>80</v>
      </c>
      <c r="M1806" s="71">
        <v>3</v>
      </c>
      <c r="N1806" s="71">
        <v>18</v>
      </c>
      <c r="O1806" s="71">
        <v>0</v>
      </c>
      <c r="P1806" s="71">
        <v>9</v>
      </c>
      <c r="Q1806" s="71">
        <v>89</v>
      </c>
      <c r="R1806" s="71">
        <v>98</v>
      </c>
      <c r="S1806" s="71" t="s">
        <v>242</v>
      </c>
      <c r="T1806" s="73">
        <v>27120</v>
      </c>
      <c r="U1806" s="71" t="s">
        <v>4267</v>
      </c>
      <c r="V1806" s="71" t="b">
        <v>0</v>
      </c>
    </row>
    <row r="1807" spans="1:22" ht="17.25">
      <c r="A1807" s="70">
        <v>1338</v>
      </c>
      <c r="B1807" s="70" t="s">
        <v>238</v>
      </c>
      <c r="C1807" s="70" t="s">
        <v>237</v>
      </c>
      <c r="D1807" s="70" t="s">
        <v>236</v>
      </c>
      <c r="E1807" s="70" t="s">
        <v>235</v>
      </c>
      <c r="F1807" s="71">
        <v>52</v>
      </c>
      <c r="G1807" s="71">
        <v>106</v>
      </c>
      <c r="H1807" s="72">
        <v>0.16805555555555557</v>
      </c>
      <c r="I1807" s="71" t="b">
        <v>1</v>
      </c>
      <c r="J1807" s="71">
        <v>58</v>
      </c>
      <c r="K1807" s="71">
        <v>56</v>
      </c>
      <c r="L1807" s="71">
        <v>88</v>
      </c>
      <c r="M1807" s="71">
        <v>5</v>
      </c>
      <c r="N1807" s="71">
        <v>7</v>
      </c>
      <c r="O1807" s="71">
        <v>0</v>
      </c>
      <c r="P1807" s="71">
        <v>14</v>
      </c>
      <c r="Q1807" s="71">
        <v>14</v>
      </c>
      <c r="R1807" s="71">
        <v>113</v>
      </c>
      <c r="S1807" s="71" t="s">
        <v>26</v>
      </c>
      <c r="T1807" s="73">
        <v>42151</v>
      </c>
      <c r="U1807" s="71" t="s">
        <v>4268</v>
      </c>
      <c r="V1807" s="71" t="b">
        <v>0</v>
      </c>
    </row>
    <row r="1808" spans="1:22" ht="17.25">
      <c r="A1808" s="70">
        <v>1339</v>
      </c>
      <c r="B1808" s="70" t="s">
        <v>234</v>
      </c>
      <c r="C1808" s="70" t="s">
        <v>233</v>
      </c>
      <c r="D1808" s="70" t="s">
        <v>232</v>
      </c>
      <c r="E1808" s="70" t="s">
        <v>231</v>
      </c>
      <c r="F1808" s="71">
        <v>12</v>
      </c>
      <c r="G1808" s="71">
        <v>41</v>
      </c>
      <c r="H1808" s="72">
        <v>0.125</v>
      </c>
      <c r="I1808" s="71" t="b">
        <v>0</v>
      </c>
      <c r="J1808" s="71">
        <v>55</v>
      </c>
      <c r="K1808" s="71">
        <v>55</v>
      </c>
      <c r="L1808" s="71">
        <v>74</v>
      </c>
      <c r="M1808" s="71">
        <v>4</v>
      </c>
      <c r="N1808" s="71">
        <v>55</v>
      </c>
      <c r="O1808" s="71">
        <v>0</v>
      </c>
      <c r="P1808" s="71">
        <v>15</v>
      </c>
      <c r="Q1808" s="71">
        <v>78</v>
      </c>
      <c r="R1808" s="71">
        <v>125</v>
      </c>
      <c r="S1808" s="71" t="s">
        <v>29</v>
      </c>
      <c r="T1808" s="73">
        <v>23316</v>
      </c>
      <c r="U1808" s="71" t="s">
        <v>4269</v>
      </c>
      <c r="V1808" s="71" t="b">
        <v>1</v>
      </c>
    </row>
    <row r="1809" spans="1:24" ht="17.25">
      <c r="A1809" s="70">
        <v>1340</v>
      </c>
      <c r="B1809" s="70" t="s">
        <v>230</v>
      </c>
      <c r="C1809" s="70" t="s">
        <v>229</v>
      </c>
      <c r="D1809" s="70" t="s">
        <v>228</v>
      </c>
      <c r="E1809" s="70" t="s">
        <v>227</v>
      </c>
      <c r="F1809" s="71">
        <v>53</v>
      </c>
      <c r="G1809" s="71">
        <v>32</v>
      </c>
      <c r="H1809" s="72">
        <v>0.12847222222222221</v>
      </c>
      <c r="I1809" s="71" t="b">
        <v>0</v>
      </c>
      <c r="J1809" s="71">
        <v>62</v>
      </c>
      <c r="K1809" s="71">
        <v>65</v>
      </c>
      <c r="L1809" s="71">
        <v>76</v>
      </c>
      <c r="M1809" s="71">
        <v>5</v>
      </c>
      <c r="N1809" s="71">
        <v>35</v>
      </c>
      <c r="O1809" s="71">
        <v>0</v>
      </c>
      <c r="P1809" s="71">
        <v>10</v>
      </c>
      <c r="Q1809" s="71">
        <v>52</v>
      </c>
      <c r="R1809" s="71">
        <v>95</v>
      </c>
      <c r="S1809" s="71" t="s">
        <v>96</v>
      </c>
      <c r="T1809" s="73">
        <v>45583</v>
      </c>
      <c r="U1809" s="71" t="s">
        <v>4270</v>
      </c>
      <c r="V1809" s="71" t="b">
        <v>0</v>
      </c>
    </row>
    <row r="1810" spans="1:24" ht="17.25">
      <c r="A1810" s="70">
        <v>1342</v>
      </c>
      <c r="B1810" s="70" t="s">
        <v>225</v>
      </c>
      <c r="C1810" s="70" t="s">
        <v>151</v>
      </c>
      <c r="D1810" s="70" t="s">
        <v>224</v>
      </c>
      <c r="E1810" s="70" t="s">
        <v>44</v>
      </c>
      <c r="F1810" s="71">
        <v>1</v>
      </c>
      <c r="G1810" s="71">
        <v>14</v>
      </c>
      <c r="H1810" s="72" t="s">
        <v>4346</v>
      </c>
      <c r="I1810" s="71" t="b">
        <v>0</v>
      </c>
      <c r="J1810" s="71">
        <v>67</v>
      </c>
      <c r="K1810" s="71">
        <v>63</v>
      </c>
      <c r="L1810" s="71">
        <v>73</v>
      </c>
      <c r="M1810" s="71">
        <v>4</v>
      </c>
      <c r="N1810" s="71">
        <v>30</v>
      </c>
      <c r="O1810" s="71">
        <v>0</v>
      </c>
      <c r="P1810" s="71">
        <v>12</v>
      </c>
      <c r="Q1810" s="71">
        <v>55</v>
      </c>
      <c r="R1810" s="71">
        <v>122</v>
      </c>
      <c r="S1810" s="71" t="s">
        <v>96</v>
      </c>
      <c r="T1810" s="73" t="s">
        <v>4345</v>
      </c>
      <c r="U1810" s="71" t="s">
        <v>3389</v>
      </c>
      <c r="V1810" s="71" t="b">
        <v>0</v>
      </c>
    </row>
    <row r="1811" spans="1:24" ht="17.25">
      <c r="A1811" s="70">
        <v>1345</v>
      </c>
      <c r="B1811" s="70" t="s">
        <v>218</v>
      </c>
      <c r="C1811" s="70" t="s">
        <v>131</v>
      </c>
      <c r="D1811" s="70" t="s">
        <v>217</v>
      </c>
      <c r="E1811" s="70" t="s">
        <v>129</v>
      </c>
      <c r="F1811" s="71">
        <v>4</v>
      </c>
      <c r="G1811" s="71">
        <v>54</v>
      </c>
      <c r="H1811" s="72">
        <v>0.13750000000000001</v>
      </c>
      <c r="I1811" s="71" t="b">
        <v>1</v>
      </c>
      <c r="J1811" s="71">
        <v>91</v>
      </c>
      <c r="K1811" s="71">
        <v>78</v>
      </c>
      <c r="L1811" s="71">
        <v>96</v>
      </c>
      <c r="M1811" s="71">
        <v>26</v>
      </c>
      <c r="N1811" s="71">
        <v>9</v>
      </c>
      <c r="O1811" s="71">
        <v>0</v>
      </c>
      <c r="P1811" s="71">
        <v>18</v>
      </c>
      <c r="Q1811" s="71">
        <v>34</v>
      </c>
      <c r="R1811" s="71">
        <v>96</v>
      </c>
      <c r="S1811" s="71" t="s">
        <v>128</v>
      </c>
      <c r="T1811" s="73">
        <v>45212</v>
      </c>
      <c r="U1811" s="71" t="s">
        <v>3977</v>
      </c>
      <c r="V1811" s="71" t="b">
        <v>0</v>
      </c>
    </row>
    <row r="1812" spans="1:24" ht="17.25">
      <c r="A1812" s="70">
        <v>1345</v>
      </c>
      <c r="B1812" s="70" t="s">
        <v>218</v>
      </c>
      <c r="C1812" s="70" t="s">
        <v>4551</v>
      </c>
      <c r="D1812" s="70" t="s">
        <v>217</v>
      </c>
      <c r="E1812" s="70" t="s">
        <v>129</v>
      </c>
      <c r="F1812" s="71">
        <v>4</v>
      </c>
      <c r="G1812" s="71">
        <v>54</v>
      </c>
      <c r="H1812" s="72">
        <v>0.13750000000000001</v>
      </c>
      <c r="I1812" s="71" t="b">
        <v>1</v>
      </c>
      <c r="J1812" s="71">
        <v>91</v>
      </c>
      <c r="K1812" s="71">
        <v>78</v>
      </c>
      <c r="L1812" s="71">
        <v>96</v>
      </c>
      <c r="M1812" s="71">
        <v>26</v>
      </c>
      <c r="N1812" s="71">
        <v>9</v>
      </c>
      <c r="O1812" s="71">
        <v>0</v>
      </c>
      <c r="P1812" s="71">
        <v>18</v>
      </c>
      <c r="Q1812" s="71">
        <v>34</v>
      </c>
      <c r="R1812" s="71">
        <v>96</v>
      </c>
      <c r="S1812" s="71" t="s">
        <v>128</v>
      </c>
      <c r="T1812" s="73">
        <v>45212</v>
      </c>
      <c r="U1812" s="71" t="s">
        <v>3977</v>
      </c>
      <c r="V1812" s="71" t="b">
        <v>0</v>
      </c>
      <c r="X1812" s="36" cm="1">
        <f t="array" ref="X1812">SUMPRODUCT((Raw_Data[artist_names]="Feid")*1)</f>
        <v>3</v>
      </c>
    </row>
    <row r="1813" spans="1:24" ht="17.25">
      <c r="A1813" s="70">
        <v>1346</v>
      </c>
      <c r="B1813" s="70" t="s">
        <v>216</v>
      </c>
      <c r="C1813" s="70" t="s">
        <v>215</v>
      </c>
      <c r="D1813" s="70" t="s">
        <v>214</v>
      </c>
      <c r="E1813" s="70" t="s">
        <v>213</v>
      </c>
      <c r="F1813" s="71">
        <v>15</v>
      </c>
      <c r="G1813" s="71">
        <v>274</v>
      </c>
      <c r="H1813" s="72">
        <v>0.16944444444444445</v>
      </c>
      <c r="I1813" s="71" t="b">
        <v>1</v>
      </c>
      <c r="J1813" s="71">
        <v>44</v>
      </c>
      <c r="K1813" s="71">
        <v>54</v>
      </c>
      <c r="L1813" s="71">
        <v>86</v>
      </c>
      <c r="M1813" s="71">
        <v>4</v>
      </c>
      <c r="N1813" s="71">
        <v>70</v>
      </c>
      <c r="O1813" s="71">
        <v>0</v>
      </c>
      <c r="P1813" s="71">
        <v>9</v>
      </c>
      <c r="Q1813" s="71">
        <v>13</v>
      </c>
      <c r="R1813" s="71">
        <v>123</v>
      </c>
      <c r="S1813" s="71" t="s">
        <v>74</v>
      </c>
      <c r="T1813" s="73">
        <v>41197</v>
      </c>
      <c r="U1813" s="71" t="s">
        <v>4271</v>
      </c>
      <c r="V1813" s="71" t="b">
        <v>0</v>
      </c>
    </row>
    <row r="1814" spans="1:24" ht="17.25">
      <c r="A1814" s="70">
        <v>1347</v>
      </c>
      <c r="B1814" s="70" t="s">
        <v>212</v>
      </c>
      <c r="C1814" s="70" t="s">
        <v>1603</v>
      </c>
      <c r="D1814" s="70" t="s">
        <v>211</v>
      </c>
      <c r="E1814" s="70" t="s">
        <v>188</v>
      </c>
      <c r="F1814" s="71">
        <v>34</v>
      </c>
      <c r="G1814" s="71">
        <v>28</v>
      </c>
      <c r="H1814" s="72" t="s">
        <v>4315</v>
      </c>
      <c r="I1814" s="71" t="b">
        <v>0</v>
      </c>
      <c r="J1814" s="71">
        <v>82</v>
      </c>
      <c r="K1814" s="71">
        <v>68</v>
      </c>
      <c r="L1814" s="71">
        <v>73</v>
      </c>
      <c r="M1814" s="71">
        <v>7</v>
      </c>
      <c r="N1814" s="71">
        <v>20</v>
      </c>
      <c r="O1814" s="71">
        <v>0</v>
      </c>
      <c r="P1814" s="71">
        <v>11</v>
      </c>
      <c r="Q1814" s="71">
        <v>76</v>
      </c>
      <c r="R1814" s="71">
        <v>100</v>
      </c>
      <c r="S1814" s="71" t="s">
        <v>128</v>
      </c>
      <c r="T1814" s="73" t="s">
        <v>4392</v>
      </c>
      <c r="U1814" s="71" t="s">
        <v>4272</v>
      </c>
      <c r="V1814" s="71" t="b">
        <v>0</v>
      </c>
    </row>
    <row r="1815" spans="1:24" ht="17.25">
      <c r="A1815" s="70">
        <v>1347</v>
      </c>
      <c r="B1815" s="70" t="s">
        <v>212</v>
      </c>
      <c r="C1815" s="70" t="s">
        <v>4552</v>
      </c>
      <c r="D1815" s="70" t="s">
        <v>211</v>
      </c>
      <c r="E1815" s="70" t="s">
        <v>188</v>
      </c>
      <c r="F1815" s="71">
        <v>34</v>
      </c>
      <c r="G1815" s="71">
        <v>28</v>
      </c>
      <c r="H1815" s="72" t="s">
        <v>4315</v>
      </c>
      <c r="I1815" s="71" t="b">
        <v>0</v>
      </c>
      <c r="J1815" s="71">
        <v>82</v>
      </c>
      <c r="K1815" s="71">
        <v>68</v>
      </c>
      <c r="L1815" s="71">
        <v>73</v>
      </c>
      <c r="M1815" s="71">
        <v>7</v>
      </c>
      <c r="N1815" s="71">
        <v>20</v>
      </c>
      <c r="O1815" s="71">
        <v>0</v>
      </c>
      <c r="P1815" s="71">
        <v>11</v>
      </c>
      <c r="Q1815" s="71">
        <v>76</v>
      </c>
      <c r="R1815" s="71">
        <v>100</v>
      </c>
      <c r="S1815" s="71" t="s">
        <v>128</v>
      </c>
      <c r="T1815" s="73" t="s">
        <v>4392</v>
      </c>
      <c r="U1815" s="71" t="s">
        <v>4272</v>
      </c>
      <c r="V1815" s="71" t="b">
        <v>0</v>
      </c>
    </row>
    <row r="1816" spans="1:24" ht="17.25">
      <c r="A1816" s="70">
        <v>1347</v>
      </c>
      <c r="B1816" s="70" t="s">
        <v>212</v>
      </c>
      <c r="C1816" s="70" t="s">
        <v>1886</v>
      </c>
      <c r="D1816" s="70" t="s">
        <v>211</v>
      </c>
      <c r="E1816" s="70" t="s">
        <v>188</v>
      </c>
      <c r="F1816" s="71">
        <v>34</v>
      </c>
      <c r="G1816" s="71">
        <v>28</v>
      </c>
      <c r="H1816" s="72" t="s">
        <v>4315</v>
      </c>
      <c r="I1816" s="71" t="b">
        <v>0</v>
      </c>
      <c r="J1816" s="71">
        <v>82</v>
      </c>
      <c r="K1816" s="71">
        <v>68</v>
      </c>
      <c r="L1816" s="71">
        <v>73</v>
      </c>
      <c r="M1816" s="71">
        <v>7</v>
      </c>
      <c r="N1816" s="71">
        <v>20</v>
      </c>
      <c r="O1816" s="71">
        <v>0</v>
      </c>
      <c r="P1816" s="71">
        <v>11</v>
      </c>
      <c r="Q1816" s="71">
        <v>76</v>
      </c>
      <c r="R1816" s="71">
        <v>100</v>
      </c>
      <c r="S1816" s="71" t="s">
        <v>128</v>
      </c>
      <c r="T1816" s="73" t="s">
        <v>4392</v>
      </c>
      <c r="U1816" s="71" t="s">
        <v>4272</v>
      </c>
      <c r="V1816" s="71" t="b">
        <v>0</v>
      </c>
    </row>
    <row r="1817" spans="1:24" ht="17.25">
      <c r="A1817" s="70">
        <v>1348</v>
      </c>
      <c r="B1817" s="70" t="s">
        <v>210</v>
      </c>
      <c r="C1817" s="70" t="s">
        <v>209</v>
      </c>
      <c r="D1817" s="70" t="s">
        <v>208</v>
      </c>
      <c r="E1817" s="70" t="s">
        <v>207</v>
      </c>
      <c r="F1817" s="71">
        <v>31</v>
      </c>
      <c r="G1817" s="71">
        <v>245</v>
      </c>
      <c r="H1817" s="72">
        <v>0.2013888888888889</v>
      </c>
      <c r="I1817" s="71" t="b">
        <v>1</v>
      </c>
      <c r="J1817" s="71">
        <v>91</v>
      </c>
      <c r="K1817" s="71">
        <v>67</v>
      </c>
      <c r="L1817" s="71">
        <v>95</v>
      </c>
      <c r="M1817" s="71">
        <v>7</v>
      </c>
      <c r="N1817" s="71">
        <v>0</v>
      </c>
      <c r="O1817" s="71">
        <v>0</v>
      </c>
      <c r="P1817" s="71">
        <v>24</v>
      </c>
      <c r="Q1817" s="71">
        <v>66</v>
      </c>
      <c r="R1817" s="71">
        <v>112</v>
      </c>
      <c r="S1817" s="71" t="s">
        <v>48</v>
      </c>
      <c r="T1817" s="73">
        <v>37390</v>
      </c>
      <c r="U1817" s="71" t="s">
        <v>4273</v>
      </c>
      <c r="V1817" s="71" t="b">
        <v>0</v>
      </c>
    </row>
    <row r="1818" spans="1:24" ht="17.25">
      <c r="A1818" s="70">
        <v>1350</v>
      </c>
      <c r="B1818" s="70" t="s">
        <v>203</v>
      </c>
      <c r="C1818" s="70" t="s">
        <v>202</v>
      </c>
      <c r="D1818" s="70" t="s">
        <v>201</v>
      </c>
      <c r="E1818" s="70" t="s">
        <v>200</v>
      </c>
      <c r="F1818" s="71">
        <v>197</v>
      </c>
      <c r="G1818" s="71">
        <v>1</v>
      </c>
      <c r="H1818" s="72">
        <v>0.15972222222222221</v>
      </c>
      <c r="I1818" s="71" t="b">
        <v>0</v>
      </c>
      <c r="J1818" s="71">
        <v>77</v>
      </c>
      <c r="K1818" s="71">
        <v>56</v>
      </c>
      <c r="L1818" s="71">
        <v>87</v>
      </c>
      <c r="M1818" s="71">
        <v>3</v>
      </c>
      <c r="N1818" s="71">
        <v>3</v>
      </c>
      <c r="O1818" s="71">
        <v>68</v>
      </c>
      <c r="P1818" s="71">
        <v>12</v>
      </c>
      <c r="Q1818" s="71">
        <v>96</v>
      </c>
      <c r="R1818" s="71">
        <v>126</v>
      </c>
      <c r="S1818" s="71" t="s">
        <v>34</v>
      </c>
      <c r="T1818" s="73">
        <v>37151</v>
      </c>
      <c r="U1818" s="71" t="s">
        <v>4274</v>
      </c>
      <c r="V1818" s="71" t="b">
        <v>0</v>
      </c>
    </row>
    <row r="1819" spans="1:24" ht="17.25">
      <c r="A1819" s="70">
        <v>1351</v>
      </c>
      <c r="B1819" s="70" t="s">
        <v>199</v>
      </c>
      <c r="C1819" s="70" t="s">
        <v>198</v>
      </c>
      <c r="D1819" s="70" t="s">
        <v>197</v>
      </c>
      <c r="E1819" s="70" t="s">
        <v>196</v>
      </c>
      <c r="F1819" s="71">
        <v>106</v>
      </c>
      <c r="G1819" s="71">
        <v>1</v>
      </c>
      <c r="H1819" s="72" t="s">
        <v>4334</v>
      </c>
      <c r="I1819" s="71" t="b">
        <v>0</v>
      </c>
      <c r="J1819" s="71">
        <v>56</v>
      </c>
      <c r="K1819" s="71">
        <v>45</v>
      </c>
      <c r="L1819" s="71">
        <v>70</v>
      </c>
      <c r="M1819" s="71">
        <v>4</v>
      </c>
      <c r="N1819" s="71">
        <v>59</v>
      </c>
      <c r="O1819" s="71">
        <v>0</v>
      </c>
      <c r="P1819" s="71">
        <v>10</v>
      </c>
      <c r="Q1819" s="71">
        <v>35</v>
      </c>
      <c r="R1819" s="71">
        <v>100</v>
      </c>
      <c r="S1819" s="71" t="s">
        <v>195</v>
      </c>
      <c r="T1819" s="73" t="s">
        <v>4337</v>
      </c>
      <c r="U1819" s="71" t="s">
        <v>3860</v>
      </c>
      <c r="V1819" s="71" t="b">
        <v>0</v>
      </c>
    </row>
    <row r="1820" spans="1:24" ht="17.25">
      <c r="A1820" s="70">
        <v>1352</v>
      </c>
      <c r="B1820" s="70" t="s">
        <v>194</v>
      </c>
      <c r="C1820" s="70" t="s">
        <v>193</v>
      </c>
      <c r="D1820" s="70" t="s">
        <v>192</v>
      </c>
      <c r="E1820" s="70" t="s">
        <v>191</v>
      </c>
      <c r="F1820" s="71">
        <v>3</v>
      </c>
      <c r="G1820" s="71">
        <v>92</v>
      </c>
      <c r="H1820" s="72">
        <v>0.15555555555555556</v>
      </c>
      <c r="I1820" s="71" t="b">
        <v>1</v>
      </c>
      <c r="J1820" s="71">
        <v>55</v>
      </c>
      <c r="K1820" s="71">
        <v>81</v>
      </c>
      <c r="L1820" s="71">
        <v>93</v>
      </c>
      <c r="M1820" s="71">
        <v>4</v>
      </c>
      <c r="N1820" s="71">
        <v>21</v>
      </c>
      <c r="O1820" s="71">
        <v>0</v>
      </c>
      <c r="P1820" s="71">
        <v>16</v>
      </c>
      <c r="Q1820" s="71">
        <v>37</v>
      </c>
      <c r="R1820" s="71">
        <v>109</v>
      </c>
      <c r="S1820" s="71" t="s">
        <v>74</v>
      </c>
      <c r="T1820" s="73">
        <v>45464</v>
      </c>
      <c r="U1820" s="71" t="s">
        <v>4275</v>
      </c>
      <c r="V1820" s="71" t="b">
        <v>0</v>
      </c>
    </row>
    <row r="1821" spans="1:24" ht="17.25">
      <c r="A1821" s="70">
        <v>1353</v>
      </c>
      <c r="B1821" s="70" t="s">
        <v>190</v>
      </c>
      <c r="C1821" s="70" t="s">
        <v>1333</v>
      </c>
      <c r="D1821" s="70" t="s">
        <v>189</v>
      </c>
      <c r="E1821" s="70" t="s">
        <v>188</v>
      </c>
      <c r="F1821" s="71">
        <v>93</v>
      </c>
      <c r="G1821" s="71">
        <v>15</v>
      </c>
      <c r="H1821" s="72" t="s">
        <v>4320</v>
      </c>
      <c r="I1821" s="71" t="b">
        <v>1</v>
      </c>
      <c r="J1821" s="71">
        <v>84</v>
      </c>
      <c r="K1821" s="71">
        <v>78</v>
      </c>
      <c r="L1821" s="71">
        <v>74</v>
      </c>
      <c r="M1821" s="71">
        <v>10</v>
      </c>
      <c r="N1821" s="71">
        <v>15</v>
      </c>
      <c r="O1821" s="71">
        <v>0</v>
      </c>
      <c r="P1821" s="71">
        <v>13</v>
      </c>
      <c r="Q1821" s="71">
        <v>79</v>
      </c>
      <c r="R1821" s="71">
        <v>128</v>
      </c>
      <c r="S1821" s="71" t="s">
        <v>128</v>
      </c>
      <c r="T1821" s="73" t="s">
        <v>4388</v>
      </c>
      <c r="U1821" s="71" t="s">
        <v>4276</v>
      </c>
      <c r="V1821" s="71" t="b">
        <v>0</v>
      </c>
    </row>
    <row r="1822" spans="1:24" ht="17.25">
      <c r="A1822" s="70">
        <v>1353</v>
      </c>
      <c r="B1822" s="70" t="s">
        <v>190</v>
      </c>
      <c r="C1822" s="70" t="s">
        <v>4422</v>
      </c>
      <c r="D1822" s="70" t="s">
        <v>189</v>
      </c>
      <c r="E1822" s="70" t="s">
        <v>188</v>
      </c>
      <c r="F1822" s="71">
        <v>93</v>
      </c>
      <c r="G1822" s="71">
        <v>15</v>
      </c>
      <c r="H1822" s="72" t="s">
        <v>4320</v>
      </c>
      <c r="I1822" s="71" t="b">
        <v>1</v>
      </c>
      <c r="J1822" s="71">
        <v>84</v>
      </c>
      <c r="K1822" s="71">
        <v>78</v>
      </c>
      <c r="L1822" s="71">
        <v>74</v>
      </c>
      <c r="M1822" s="71">
        <v>10</v>
      </c>
      <c r="N1822" s="71">
        <v>15</v>
      </c>
      <c r="O1822" s="71">
        <v>0</v>
      </c>
      <c r="P1822" s="71">
        <v>13</v>
      </c>
      <c r="Q1822" s="71">
        <v>79</v>
      </c>
      <c r="R1822" s="71">
        <v>128</v>
      </c>
      <c r="S1822" s="71" t="s">
        <v>128</v>
      </c>
      <c r="T1822" s="73" t="s">
        <v>4388</v>
      </c>
      <c r="U1822" s="71" t="s">
        <v>4276</v>
      </c>
      <c r="V1822" s="71" t="b">
        <v>0</v>
      </c>
    </row>
    <row r="1823" spans="1:24" ht="17.25">
      <c r="A1823" s="70">
        <v>1353</v>
      </c>
      <c r="B1823" s="70" t="s">
        <v>190</v>
      </c>
      <c r="C1823" s="70" t="s">
        <v>4866</v>
      </c>
      <c r="D1823" s="70" t="s">
        <v>189</v>
      </c>
      <c r="E1823" s="70" t="s">
        <v>188</v>
      </c>
      <c r="F1823" s="71">
        <v>93</v>
      </c>
      <c r="G1823" s="71">
        <v>15</v>
      </c>
      <c r="H1823" s="72" t="s">
        <v>4320</v>
      </c>
      <c r="I1823" s="71" t="b">
        <v>1</v>
      </c>
      <c r="J1823" s="71">
        <v>84</v>
      </c>
      <c r="K1823" s="71">
        <v>78</v>
      </c>
      <c r="L1823" s="71">
        <v>74</v>
      </c>
      <c r="M1823" s="71">
        <v>10</v>
      </c>
      <c r="N1823" s="71">
        <v>15</v>
      </c>
      <c r="O1823" s="71">
        <v>0</v>
      </c>
      <c r="P1823" s="71">
        <v>13</v>
      </c>
      <c r="Q1823" s="71">
        <v>79</v>
      </c>
      <c r="R1823" s="71">
        <v>128</v>
      </c>
      <c r="S1823" s="71" t="s">
        <v>128</v>
      </c>
      <c r="T1823" s="73" t="s">
        <v>4388</v>
      </c>
      <c r="U1823" s="71" t="s">
        <v>4276</v>
      </c>
      <c r="V1823" s="71" t="b">
        <v>0</v>
      </c>
    </row>
    <row r="1824" spans="1:24" ht="17.25">
      <c r="A1824" s="70">
        <v>1353</v>
      </c>
      <c r="B1824" s="70" t="s">
        <v>190</v>
      </c>
      <c r="C1824" s="70" t="s">
        <v>4865</v>
      </c>
      <c r="D1824" s="70" t="s">
        <v>189</v>
      </c>
      <c r="E1824" s="70" t="s">
        <v>188</v>
      </c>
      <c r="F1824" s="71">
        <v>93</v>
      </c>
      <c r="G1824" s="71">
        <v>15</v>
      </c>
      <c r="H1824" s="72" t="s">
        <v>4320</v>
      </c>
      <c r="I1824" s="71" t="b">
        <v>1</v>
      </c>
      <c r="J1824" s="71">
        <v>84</v>
      </c>
      <c r="K1824" s="71">
        <v>78</v>
      </c>
      <c r="L1824" s="71">
        <v>74</v>
      </c>
      <c r="M1824" s="71">
        <v>10</v>
      </c>
      <c r="N1824" s="71">
        <v>15</v>
      </c>
      <c r="O1824" s="71">
        <v>0</v>
      </c>
      <c r="P1824" s="71">
        <v>13</v>
      </c>
      <c r="Q1824" s="71">
        <v>79</v>
      </c>
      <c r="R1824" s="71">
        <v>128</v>
      </c>
      <c r="S1824" s="71" t="s">
        <v>128</v>
      </c>
      <c r="T1824" s="73" t="s">
        <v>4388</v>
      </c>
      <c r="U1824" s="71" t="s">
        <v>4276</v>
      </c>
      <c r="V1824" s="71" t="b">
        <v>0</v>
      </c>
    </row>
    <row r="1825" spans="1:22" ht="17.25">
      <c r="A1825" s="70">
        <v>1353</v>
      </c>
      <c r="B1825" s="70" t="s">
        <v>190</v>
      </c>
      <c r="C1825" s="70" t="s">
        <v>4867</v>
      </c>
      <c r="D1825" s="70" t="s">
        <v>189</v>
      </c>
      <c r="E1825" s="70" t="s">
        <v>188</v>
      </c>
      <c r="F1825" s="71">
        <v>93</v>
      </c>
      <c r="G1825" s="71">
        <v>15</v>
      </c>
      <c r="H1825" s="72" t="s">
        <v>4320</v>
      </c>
      <c r="I1825" s="71" t="b">
        <v>1</v>
      </c>
      <c r="J1825" s="71">
        <v>84</v>
      </c>
      <c r="K1825" s="71">
        <v>78</v>
      </c>
      <c r="L1825" s="71">
        <v>74</v>
      </c>
      <c r="M1825" s="71">
        <v>10</v>
      </c>
      <c r="N1825" s="71">
        <v>15</v>
      </c>
      <c r="O1825" s="71">
        <v>0</v>
      </c>
      <c r="P1825" s="71">
        <v>13</v>
      </c>
      <c r="Q1825" s="71">
        <v>79</v>
      </c>
      <c r="R1825" s="71">
        <v>128</v>
      </c>
      <c r="S1825" s="71" t="s">
        <v>128</v>
      </c>
      <c r="T1825" s="73" t="s">
        <v>4388</v>
      </c>
      <c r="U1825" s="71" t="s">
        <v>4276</v>
      </c>
      <c r="V1825" s="71" t="b">
        <v>0</v>
      </c>
    </row>
    <row r="1826" spans="1:22" ht="17.25">
      <c r="A1826" s="70">
        <v>1353</v>
      </c>
      <c r="B1826" s="70" t="s">
        <v>190</v>
      </c>
      <c r="C1826" s="70" t="s">
        <v>4864</v>
      </c>
      <c r="D1826" s="70" t="s">
        <v>189</v>
      </c>
      <c r="E1826" s="70" t="s">
        <v>188</v>
      </c>
      <c r="F1826" s="71">
        <v>93</v>
      </c>
      <c r="G1826" s="71">
        <v>15</v>
      </c>
      <c r="H1826" s="72" t="s">
        <v>4320</v>
      </c>
      <c r="I1826" s="71" t="b">
        <v>1</v>
      </c>
      <c r="J1826" s="71">
        <v>84</v>
      </c>
      <c r="K1826" s="71">
        <v>78</v>
      </c>
      <c r="L1826" s="71">
        <v>74</v>
      </c>
      <c r="M1826" s="71">
        <v>10</v>
      </c>
      <c r="N1826" s="71">
        <v>15</v>
      </c>
      <c r="O1826" s="71">
        <v>0</v>
      </c>
      <c r="P1826" s="71">
        <v>13</v>
      </c>
      <c r="Q1826" s="71">
        <v>79</v>
      </c>
      <c r="R1826" s="71">
        <v>128</v>
      </c>
      <c r="S1826" s="71" t="s">
        <v>128</v>
      </c>
      <c r="T1826" s="73" t="s">
        <v>4388</v>
      </c>
      <c r="U1826" s="71" t="s">
        <v>4276</v>
      </c>
      <c r="V1826" s="71" t="b">
        <v>0</v>
      </c>
    </row>
    <row r="1827" spans="1:22" ht="17.25">
      <c r="A1827" s="70">
        <v>1354</v>
      </c>
      <c r="B1827" s="70" t="s">
        <v>187</v>
      </c>
      <c r="C1827" s="70" t="s">
        <v>122</v>
      </c>
      <c r="D1827" s="70" t="s">
        <v>186</v>
      </c>
      <c r="E1827" s="70" t="s">
        <v>120</v>
      </c>
      <c r="F1827" s="71">
        <v>118</v>
      </c>
      <c r="G1827" s="71">
        <v>2</v>
      </c>
      <c r="H1827" s="72" t="s">
        <v>4326</v>
      </c>
      <c r="I1827" s="71" t="b">
        <v>0</v>
      </c>
      <c r="J1827" s="71">
        <v>48</v>
      </c>
      <c r="K1827" s="71">
        <v>38</v>
      </c>
      <c r="L1827" s="71">
        <v>68</v>
      </c>
      <c r="M1827" s="71">
        <v>5</v>
      </c>
      <c r="N1827" s="71">
        <v>76</v>
      </c>
      <c r="O1827" s="71">
        <v>0</v>
      </c>
      <c r="P1827" s="71">
        <v>11</v>
      </c>
      <c r="Q1827" s="71">
        <v>28</v>
      </c>
      <c r="R1827" s="71">
        <v>124</v>
      </c>
      <c r="S1827" s="71" t="s">
        <v>74</v>
      </c>
      <c r="T1827" s="73" t="s">
        <v>4385</v>
      </c>
      <c r="U1827" s="71" t="s">
        <v>4277</v>
      </c>
      <c r="V1827" s="71" t="b">
        <v>0</v>
      </c>
    </row>
    <row r="1828" spans="1:22" ht="17.25">
      <c r="A1828" s="70">
        <v>1355</v>
      </c>
      <c r="B1828" s="70" t="s">
        <v>185</v>
      </c>
      <c r="C1828" s="70" t="s">
        <v>4868</v>
      </c>
      <c r="D1828" s="70" t="s">
        <v>184</v>
      </c>
      <c r="E1828" s="70" t="s">
        <v>44</v>
      </c>
      <c r="F1828" s="71">
        <v>163</v>
      </c>
      <c r="G1828" s="71">
        <v>1</v>
      </c>
      <c r="H1828" s="72" t="s">
        <v>4320</v>
      </c>
      <c r="I1828" s="71" t="b">
        <v>0</v>
      </c>
      <c r="J1828" s="71">
        <v>63</v>
      </c>
      <c r="K1828" s="71">
        <v>56</v>
      </c>
      <c r="L1828" s="71">
        <v>71</v>
      </c>
      <c r="M1828" s="71">
        <v>7</v>
      </c>
      <c r="N1828" s="71">
        <v>52</v>
      </c>
      <c r="O1828" s="71">
        <v>0</v>
      </c>
      <c r="P1828" s="71">
        <v>25</v>
      </c>
      <c r="Q1828" s="71">
        <v>76</v>
      </c>
      <c r="R1828" s="71">
        <v>140</v>
      </c>
      <c r="S1828" s="71" t="s">
        <v>183</v>
      </c>
      <c r="T1828" s="73" t="s">
        <v>4359</v>
      </c>
      <c r="U1828" s="71" t="s">
        <v>3501</v>
      </c>
      <c r="V1828" s="71" t="b">
        <v>0</v>
      </c>
    </row>
    <row r="1829" spans="1:22" ht="17.25">
      <c r="A1829" s="70">
        <v>1355</v>
      </c>
      <c r="B1829" s="70" t="s">
        <v>185</v>
      </c>
      <c r="C1829" s="70" t="s">
        <v>301</v>
      </c>
      <c r="D1829" s="70" t="s">
        <v>184</v>
      </c>
      <c r="E1829" s="70" t="s">
        <v>44</v>
      </c>
      <c r="F1829" s="71">
        <v>163</v>
      </c>
      <c r="G1829" s="71">
        <v>1</v>
      </c>
      <c r="H1829" s="72" t="s">
        <v>4320</v>
      </c>
      <c r="I1829" s="71" t="b">
        <v>0</v>
      </c>
      <c r="J1829" s="71">
        <v>63</v>
      </c>
      <c r="K1829" s="71">
        <v>56</v>
      </c>
      <c r="L1829" s="71">
        <v>71</v>
      </c>
      <c r="M1829" s="71">
        <v>7</v>
      </c>
      <c r="N1829" s="71">
        <v>52</v>
      </c>
      <c r="O1829" s="71">
        <v>0</v>
      </c>
      <c r="P1829" s="71">
        <v>25</v>
      </c>
      <c r="Q1829" s="71">
        <v>76</v>
      </c>
      <c r="R1829" s="71">
        <v>140</v>
      </c>
      <c r="S1829" s="71" t="s">
        <v>183</v>
      </c>
      <c r="T1829" s="73" t="s">
        <v>4359</v>
      </c>
      <c r="U1829" s="71" t="s">
        <v>3501</v>
      </c>
      <c r="V1829" s="71" t="b">
        <v>0</v>
      </c>
    </row>
    <row r="1830" spans="1:22" ht="17.25">
      <c r="A1830" s="70">
        <v>1355</v>
      </c>
      <c r="B1830" s="70" t="s">
        <v>185</v>
      </c>
      <c r="C1830" s="70" t="s">
        <v>4869</v>
      </c>
      <c r="D1830" s="70" t="s">
        <v>184</v>
      </c>
      <c r="E1830" s="70" t="s">
        <v>44</v>
      </c>
      <c r="F1830" s="71">
        <v>163</v>
      </c>
      <c r="G1830" s="71">
        <v>1</v>
      </c>
      <c r="H1830" s="72" t="s">
        <v>4320</v>
      </c>
      <c r="I1830" s="71" t="b">
        <v>0</v>
      </c>
      <c r="J1830" s="71">
        <v>63</v>
      </c>
      <c r="K1830" s="71">
        <v>56</v>
      </c>
      <c r="L1830" s="71">
        <v>71</v>
      </c>
      <c r="M1830" s="71">
        <v>7</v>
      </c>
      <c r="N1830" s="71">
        <v>52</v>
      </c>
      <c r="O1830" s="71">
        <v>0</v>
      </c>
      <c r="P1830" s="71">
        <v>25</v>
      </c>
      <c r="Q1830" s="71">
        <v>76</v>
      </c>
      <c r="R1830" s="71">
        <v>140</v>
      </c>
      <c r="S1830" s="71" t="s">
        <v>183</v>
      </c>
      <c r="T1830" s="73" t="s">
        <v>4359</v>
      </c>
      <c r="U1830" s="71" t="s">
        <v>3501</v>
      </c>
      <c r="V1830" s="71" t="b">
        <v>0</v>
      </c>
    </row>
    <row r="1831" spans="1:22" ht="17.25">
      <c r="A1831" s="70">
        <v>1357</v>
      </c>
      <c r="B1831" s="70" t="s">
        <v>179</v>
      </c>
      <c r="C1831" s="70" t="s">
        <v>178</v>
      </c>
      <c r="D1831" s="70" t="s">
        <v>177</v>
      </c>
      <c r="E1831" s="70" t="s">
        <v>84</v>
      </c>
      <c r="F1831" s="71">
        <v>81</v>
      </c>
      <c r="G1831" s="71">
        <v>7</v>
      </c>
      <c r="H1831" s="72">
        <v>0.14097222222222222</v>
      </c>
      <c r="I1831" s="71" t="b">
        <v>0</v>
      </c>
      <c r="J1831" s="71">
        <v>81</v>
      </c>
      <c r="K1831" s="71">
        <v>54</v>
      </c>
      <c r="L1831" s="71">
        <v>79</v>
      </c>
      <c r="M1831" s="71">
        <v>4</v>
      </c>
      <c r="N1831" s="71">
        <v>18</v>
      </c>
      <c r="O1831" s="71">
        <v>0</v>
      </c>
      <c r="P1831" s="71">
        <v>16</v>
      </c>
      <c r="Q1831" s="71">
        <v>85</v>
      </c>
      <c r="R1831" s="71">
        <v>114</v>
      </c>
      <c r="S1831" s="71" t="s">
        <v>96</v>
      </c>
      <c r="T1831" s="73">
        <v>29129</v>
      </c>
      <c r="U1831" s="71" t="s">
        <v>3952</v>
      </c>
      <c r="V1831" s="71" t="b">
        <v>0</v>
      </c>
    </row>
    <row r="1832" spans="1:22" ht="17.25">
      <c r="A1832" s="70">
        <v>1358</v>
      </c>
      <c r="B1832" s="70" t="s">
        <v>176</v>
      </c>
      <c r="C1832" s="70" t="s">
        <v>253</v>
      </c>
      <c r="D1832" s="70" t="s">
        <v>175</v>
      </c>
      <c r="E1832" s="70" t="s">
        <v>65</v>
      </c>
      <c r="F1832" s="71">
        <v>92</v>
      </c>
      <c r="G1832" s="71">
        <v>1</v>
      </c>
      <c r="H1832" s="72">
        <v>0.11666666666666667</v>
      </c>
      <c r="I1832" s="71" t="b">
        <v>1</v>
      </c>
      <c r="J1832" s="71">
        <v>78</v>
      </c>
      <c r="K1832" s="71">
        <v>59</v>
      </c>
      <c r="L1832" s="71">
        <v>88</v>
      </c>
      <c r="M1832" s="71">
        <v>32</v>
      </c>
      <c r="N1832" s="71">
        <v>0</v>
      </c>
      <c r="O1832" s="71">
        <v>0</v>
      </c>
      <c r="P1832" s="71">
        <v>16</v>
      </c>
      <c r="Q1832" s="71">
        <v>29</v>
      </c>
      <c r="R1832" s="71">
        <v>141</v>
      </c>
      <c r="S1832" s="71" t="s">
        <v>48</v>
      </c>
      <c r="T1832" s="73">
        <v>45730</v>
      </c>
      <c r="U1832" s="71" t="s">
        <v>3386</v>
      </c>
      <c r="V1832" s="71" t="b">
        <v>0</v>
      </c>
    </row>
    <row r="1833" spans="1:22" ht="17.25">
      <c r="A1833" s="70">
        <v>1358</v>
      </c>
      <c r="B1833" s="70" t="s">
        <v>176</v>
      </c>
      <c r="C1833" s="70" t="s">
        <v>67</v>
      </c>
      <c r="D1833" s="70" t="s">
        <v>175</v>
      </c>
      <c r="E1833" s="70" t="s">
        <v>65</v>
      </c>
      <c r="F1833" s="71">
        <v>92</v>
      </c>
      <c r="G1833" s="71">
        <v>1</v>
      </c>
      <c r="H1833" s="72">
        <v>0.11666666666666667</v>
      </c>
      <c r="I1833" s="71" t="b">
        <v>1</v>
      </c>
      <c r="J1833" s="71">
        <v>78</v>
      </c>
      <c r="K1833" s="71">
        <v>59</v>
      </c>
      <c r="L1833" s="71">
        <v>88</v>
      </c>
      <c r="M1833" s="71">
        <v>32</v>
      </c>
      <c r="N1833" s="71">
        <v>0</v>
      </c>
      <c r="O1833" s="71">
        <v>0</v>
      </c>
      <c r="P1833" s="71">
        <v>16</v>
      </c>
      <c r="Q1833" s="71">
        <v>29</v>
      </c>
      <c r="R1833" s="71">
        <v>141</v>
      </c>
      <c r="S1833" s="71" t="s">
        <v>48</v>
      </c>
      <c r="T1833" s="73">
        <v>45730</v>
      </c>
      <c r="U1833" s="71" t="s">
        <v>3386</v>
      </c>
      <c r="V1833" s="71" t="b">
        <v>0</v>
      </c>
    </row>
    <row r="1834" spans="1:22" ht="17.25">
      <c r="A1834" s="70">
        <v>1359</v>
      </c>
      <c r="B1834" s="70" t="s">
        <v>174</v>
      </c>
      <c r="C1834" s="70" t="s">
        <v>173</v>
      </c>
      <c r="D1834" s="70" t="s">
        <v>172</v>
      </c>
      <c r="E1834" s="70" t="s">
        <v>171</v>
      </c>
      <c r="F1834" s="71">
        <v>21</v>
      </c>
      <c r="G1834" s="71">
        <v>13</v>
      </c>
      <c r="H1834" s="72">
        <v>0.13055555555555556</v>
      </c>
      <c r="I1834" s="71" t="b">
        <v>0</v>
      </c>
      <c r="J1834" s="71">
        <v>65</v>
      </c>
      <c r="K1834" s="71">
        <v>65</v>
      </c>
      <c r="L1834" s="71">
        <v>77</v>
      </c>
      <c r="M1834" s="71">
        <v>6</v>
      </c>
      <c r="N1834" s="71">
        <v>30</v>
      </c>
      <c r="O1834" s="71">
        <v>0</v>
      </c>
      <c r="P1834" s="71">
        <v>11</v>
      </c>
      <c r="Q1834" s="71">
        <v>58</v>
      </c>
      <c r="R1834" s="71">
        <v>105</v>
      </c>
      <c r="S1834" s="71" t="s">
        <v>96</v>
      </c>
      <c r="T1834" s="73">
        <v>45695</v>
      </c>
      <c r="U1834" s="71" t="s">
        <v>4278</v>
      </c>
      <c r="V1834" s="71" t="b">
        <v>0</v>
      </c>
    </row>
    <row r="1835" spans="1:22" ht="17.25">
      <c r="A1835" s="70">
        <v>1360</v>
      </c>
      <c r="B1835" s="70" t="s">
        <v>170</v>
      </c>
      <c r="C1835" s="70" t="s">
        <v>4553</v>
      </c>
      <c r="D1835" s="70" t="s">
        <v>169</v>
      </c>
      <c r="E1835" s="70" t="s">
        <v>168</v>
      </c>
      <c r="F1835" s="71">
        <v>60</v>
      </c>
      <c r="G1835" s="71">
        <v>7</v>
      </c>
      <c r="H1835" s="72" t="s">
        <v>4317</v>
      </c>
      <c r="I1835" s="71" t="b">
        <v>1</v>
      </c>
      <c r="J1835" s="71">
        <v>80</v>
      </c>
      <c r="K1835" s="71">
        <v>61</v>
      </c>
      <c r="L1835" s="71">
        <v>72</v>
      </c>
      <c r="M1835" s="71">
        <v>12</v>
      </c>
      <c r="N1835" s="71">
        <v>22</v>
      </c>
      <c r="O1835" s="71">
        <v>0</v>
      </c>
      <c r="P1835" s="71">
        <v>13</v>
      </c>
      <c r="Q1835" s="71">
        <v>62</v>
      </c>
      <c r="R1835" s="71">
        <v>128</v>
      </c>
      <c r="S1835" s="71" t="s">
        <v>48</v>
      </c>
      <c r="T1835" s="73" t="s">
        <v>4354</v>
      </c>
      <c r="U1835" s="71" t="s">
        <v>4279</v>
      </c>
      <c r="V1835" s="71" t="b">
        <v>0</v>
      </c>
    </row>
    <row r="1836" spans="1:22" ht="17.25">
      <c r="A1836" s="70">
        <v>1360</v>
      </c>
      <c r="B1836" s="70" t="s">
        <v>170</v>
      </c>
      <c r="C1836" s="70" t="s">
        <v>4870</v>
      </c>
      <c r="D1836" s="70" t="s">
        <v>169</v>
      </c>
      <c r="E1836" s="70" t="s">
        <v>168</v>
      </c>
      <c r="F1836" s="71">
        <v>60</v>
      </c>
      <c r="G1836" s="71">
        <v>7</v>
      </c>
      <c r="H1836" s="72" t="s">
        <v>4317</v>
      </c>
      <c r="I1836" s="71" t="b">
        <v>1</v>
      </c>
      <c r="J1836" s="71">
        <v>80</v>
      </c>
      <c r="K1836" s="71">
        <v>61</v>
      </c>
      <c r="L1836" s="71">
        <v>72</v>
      </c>
      <c r="M1836" s="71">
        <v>12</v>
      </c>
      <c r="N1836" s="71">
        <v>22</v>
      </c>
      <c r="O1836" s="71">
        <v>0</v>
      </c>
      <c r="P1836" s="71">
        <v>13</v>
      </c>
      <c r="Q1836" s="71">
        <v>62</v>
      </c>
      <c r="R1836" s="71">
        <v>128</v>
      </c>
      <c r="S1836" s="71" t="s">
        <v>48</v>
      </c>
      <c r="T1836" s="73" t="s">
        <v>4354</v>
      </c>
      <c r="U1836" s="71" t="s">
        <v>4279</v>
      </c>
      <c r="V1836" s="71" t="b">
        <v>0</v>
      </c>
    </row>
    <row r="1837" spans="1:22" ht="17.25">
      <c r="A1837" s="70">
        <v>1361</v>
      </c>
      <c r="B1837" s="70" t="s">
        <v>167</v>
      </c>
      <c r="C1837" s="70" t="s">
        <v>166</v>
      </c>
      <c r="D1837" s="70" t="s">
        <v>165</v>
      </c>
      <c r="E1837" s="70" t="s">
        <v>164</v>
      </c>
      <c r="F1837" s="71">
        <v>4</v>
      </c>
      <c r="G1837" s="71">
        <v>343</v>
      </c>
      <c r="H1837" s="72">
        <v>0.12638888888888888</v>
      </c>
      <c r="I1837" s="71" t="b">
        <v>0</v>
      </c>
      <c r="J1837" s="71">
        <v>50</v>
      </c>
      <c r="K1837" s="71">
        <v>40</v>
      </c>
      <c r="L1837" s="71">
        <v>91</v>
      </c>
      <c r="M1837" s="71">
        <v>3</v>
      </c>
      <c r="N1837" s="71">
        <v>75</v>
      </c>
      <c r="O1837" s="71">
        <v>0</v>
      </c>
      <c r="P1837" s="71">
        <v>10</v>
      </c>
      <c r="Q1837" s="71">
        <v>45</v>
      </c>
      <c r="R1837" s="71">
        <v>110</v>
      </c>
      <c r="S1837" s="71" t="s">
        <v>96</v>
      </c>
      <c r="T1837" s="73">
        <v>43412</v>
      </c>
      <c r="U1837" s="71" t="s">
        <v>4280</v>
      </c>
      <c r="V1837" s="71" t="b">
        <v>0</v>
      </c>
    </row>
    <row r="1838" spans="1:22" ht="17.25">
      <c r="A1838" s="70">
        <v>1363</v>
      </c>
      <c r="B1838" s="70" t="s">
        <v>160</v>
      </c>
      <c r="C1838" s="70" t="s">
        <v>159</v>
      </c>
      <c r="D1838" s="70" t="s">
        <v>158</v>
      </c>
      <c r="E1838" s="70" t="s">
        <v>157</v>
      </c>
      <c r="F1838" s="71">
        <v>1</v>
      </c>
      <c r="G1838" s="71">
        <v>434</v>
      </c>
      <c r="H1838" s="72">
        <v>0.16180555555555556</v>
      </c>
      <c r="I1838" s="71" t="b">
        <v>0</v>
      </c>
      <c r="J1838" s="71">
        <v>82</v>
      </c>
      <c r="K1838" s="71">
        <v>65</v>
      </c>
      <c r="L1838" s="71">
        <v>95</v>
      </c>
      <c r="M1838" s="71">
        <v>8</v>
      </c>
      <c r="N1838" s="71">
        <v>58</v>
      </c>
      <c r="O1838" s="71">
        <v>0</v>
      </c>
      <c r="P1838" s="71">
        <v>9</v>
      </c>
      <c r="Q1838" s="71">
        <v>93</v>
      </c>
      <c r="R1838" s="71">
        <v>96</v>
      </c>
      <c r="S1838" s="71" t="s">
        <v>96</v>
      </c>
      <c r="T1838" s="73">
        <v>42741</v>
      </c>
      <c r="U1838" s="71" t="s">
        <v>4281</v>
      </c>
      <c r="V1838" s="71" t="b">
        <v>0</v>
      </c>
    </row>
    <row r="1839" spans="1:22" ht="17.25">
      <c r="A1839" s="70">
        <v>1365</v>
      </c>
      <c r="B1839" s="70" t="s">
        <v>155</v>
      </c>
      <c r="C1839" s="70" t="s">
        <v>1603</v>
      </c>
      <c r="D1839" s="70" t="s">
        <v>154</v>
      </c>
      <c r="E1839" s="70" t="s">
        <v>153</v>
      </c>
      <c r="F1839" s="71">
        <v>55</v>
      </c>
      <c r="G1839" s="71">
        <v>19</v>
      </c>
      <c r="H1839" s="72">
        <v>0.11666666666666667</v>
      </c>
      <c r="I1839" s="71" t="b">
        <v>0</v>
      </c>
      <c r="J1839" s="71">
        <v>59</v>
      </c>
      <c r="K1839" s="71">
        <v>63</v>
      </c>
      <c r="L1839" s="71">
        <v>91</v>
      </c>
      <c r="M1839" s="71">
        <v>27</v>
      </c>
      <c r="N1839" s="71">
        <v>42</v>
      </c>
      <c r="O1839" s="71">
        <v>0</v>
      </c>
      <c r="P1839" s="71">
        <v>10</v>
      </c>
      <c r="Q1839" s="71">
        <v>46</v>
      </c>
      <c r="R1839" s="71">
        <v>151</v>
      </c>
      <c r="S1839" s="71" t="s">
        <v>128</v>
      </c>
      <c r="T1839" s="73">
        <v>45583</v>
      </c>
      <c r="U1839" s="71" t="s">
        <v>4282</v>
      </c>
      <c r="V1839" s="71" t="b">
        <v>0</v>
      </c>
    </row>
    <row r="1840" spans="1:22" ht="17.25">
      <c r="A1840" s="70">
        <v>1365</v>
      </c>
      <c r="B1840" s="70" t="s">
        <v>155</v>
      </c>
      <c r="C1840" s="70" t="s">
        <v>4552</v>
      </c>
      <c r="D1840" s="70" t="s">
        <v>154</v>
      </c>
      <c r="E1840" s="70" t="s">
        <v>153</v>
      </c>
      <c r="F1840" s="71">
        <v>55</v>
      </c>
      <c r="G1840" s="71">
        <v>19</v>
      </c>
      <c r="H1840" s="72">
        <v>0.11666666666666667</v>
      </c>
      <c r="I1840" s="71" t="b">
        <v>0</v>
      </c>
      <c r="J1840" s="71">
        <v>59</v>
      </c>
      <c r="K1840" s="71">
        <v>63</v>
      </c>
      <c r="L1840" s="71">
        <v>91</v>
      </c>
      <c r="M1840" s="71">
        <v>27</v>
      </c>
      <c r="N1840" s="71">
        <v>42</v>
      </c>
      <c r="O1840" s="71">
        <v>0</v>
      </c>
      <c r="P1840" s="71">
        <v>10</v>
      </c>
      <c r="Q1840" s="71">
        <v>46</v>
      </c>
      <c r="R1840" s="71">
        <v>151</v>
      </c>
      <c r="S1840" s="71" t="s">
        <v>128</v>
      </c>
      <c r="T1840" s="73">
        <v>45583</v>
      </c>
      <c r="U1840" s="71" t="s">
        <v>4282</v>
      </c>
      <c r="V1840" s="71" t="b">
        <v>0</v>
      </c>
    </row>
    <row r="1841" spans="1:22" ht="17.25">
      <c r="A1841" s="70">
        <v>1366</v>
      </c>
      <c r="B1841" s="70" t="s">
        <v>152</v>
      </c>
      <c r="C1841" s="70" t="s">
        <v>151</v>
      </c>
      <c r="D1841" s="70" t="s">
        <v>150</v>
      </c>
      <c r="E1841" s="70" t="s">
        <v>44</v>
      </c>
      <c r="F1841" s="71">
        <v>22</v>
      </c>
      <c r="G1841" s="71">
        <v>2</v>
      </c>
      <c r="H1841" s="72" t="s">
        <v>4320</v>
      </c>
      <c r="I1841" s="71" t="b">
        <v>0</v>
      </c>
      <c r="J1841" s="71">
        <v>60</v>
      </c>
      <c r="K1841" s="71">
        <v>46</v>
      </c>
      <c r="L1841" s="71">
        <v>70</v>
      </c>
      <c r="M1841" s="71">
        <v>5</v>
      </c>
      <c r="N1841" s="71">
        <v>59</v>
      </c>
      <c r="O1841" s="71">
        <v>0</v>
      </c>
      <c r="P1841" s="71">
        <v>10</v>
      </c>
      <c r="Q1841" s="71">
        <v>36</v>
      </c>
      <c r="R1841" s="71">
        <v>142</v>
      </c>
      <c r="S1841" s="71" t="s">
        <v>96</v>
      </c>
      <c r="T1841" s="73" t="s">
        <v>4345</v>
      </c>
      <c r="U1841" s="71" t="s">
        <v>3389</v>
      </c>
      <c r="V1841" s="71" t="b">
        <v>0</v>
      </c>
    </row>
    <row r="1842" spans="1:22" ht="17.25">
      <c r="A1842" s="70">
        <v>1367</v>
      </c>
      <c r="B1842" s="70" t="s">
        <v>149</v>
      </c>
      <c r="C1842" s="70" t="s">
        <v>4602</v>
      </c>
      <c r="D1842" s="70" t="s">
        <v>148</v>
      </c>
      <c r="E1842" s="70" t="s">
        <v>147</v>
      </c>
      <c r="F1842" s="71">
        <v>163</v>
      </c>
      <c r="G1842" s="71">
        <v>2</v>
      </c>
      <c r="H1842" s="72">
        <v>0.12847222222222221</v>
      </c>
      <c r="I1842" s="71" t="b">
        <v>1</v>
      </c>
      <c r="J1842" s="71">
        <v>65</v>
      </c>
      <c r="K1842" s="71">
        <v>36</v>
      </c>
      <c r="L1842" s="71">
        <v>87</v>
      </c>
      <c r="M1842" s="71">
        <v>4</v>
      </c>
      <c r="N1842" s="71">
        <v>36</v>
      </c>
      <c r="O1842" s="71">
        <v>0</v>
      </c>
      <c r="P1842" s="71">
        <v>12</v>
      </c>
      <c r="Q1842" s="71">
        <v>22</v>
      </c>
      <c r="R1842" s="71">
        <v>124</v>
      </c>
      <c r="S1842" s="71" t="s">
        <v>96</v>
      </c>
      <c r="T1842" s="73">
        <v>45737</v>
      </c>
      <c r="U1842" s="71" t="s">
        <v>4283</v>
      </c>
      <c r="V1842" s="71" t="b">
        <v>0</v>
      </c>
    </row>
    <row r="1843" spans="1:22" ht="17.25">
      <c r="A1843" s="70">
        <v>1367</v>
      </c>
      <c r="B1843" s="70" t="s">
        <v>149</v>
      </c>
      <c r="C1843" s="70" t="s">
        <v>4438</v>
      </c>
      <c r="D1843" s="70" t="s">
        <v>148</v>
      </c>
      <c r="E1843" s="70" t="s">
        <v>147</v>
      </c>
      <c r="F1843" s="71">
        <v>163</v>
      </c>
      <c r="G1843" s="71">
        <v>2</v>
      </c>
      <c r="H1843" s="72">
        <v>0.12847222222222221</v>
      </c>
      <c r="I1843" s="71" t="b">
        <v>1</v>
      </c>
      <c r="J1843" s="71">
        <v>65</v>
      </c>
      <c r="K1843" s="71">
        <v>36</v>
      </c>
      <c r="L1843" s="71">
        <v>87</v>
      </c>
      <c r="M1843" s="71">
        <v>4</v>
      </c>
      <c r="N1843" s="71">
        <v>36</v>
      </c>
      <c r="O1843" s="71">
        <v>0</v>
      </c>
      <c r="P1843" s="71">
        <v>12</v>
      </c>
      <c r="Q1843" s="71">
        <v>22</v>
      </c>
      <c r="R1843" s="71">
        <v>124</v>
      </c>
      <c r="S1843" s="71" t="s">
        <v>96</v>
      </c>
      <c r="T1843" s="73">
        <v>45737</v>
      </c>
      <c r="U1843" s="71" t="s">
        <v>4283</v>
      </c>
      <c r="V1843" s="71" t="b">
        <v>0</v>
      </c>
    </row>
    <row r="1844" spans="1:22" ht="17.25">
      <c r="A1844" s="70">
        <v>1369</v>
      </c>
      <c r="B1844" s="70" t="s">
        <v>142</v>
      </c>
      <c r="C1844" s="70" t="s">
        <v>141</v>
      </c>
      <c r="D1844" s="70" t="s">
        <v>140</v>
      </c>
      <c r="E1844" s="70" t="s">
        <v>62</v>
      </c>
      <c r="F1844" s="71">
        <v>37</v>
      </c>
      <c r="G1844" s="71">
        <v>23</v>
      </c>
      <c r="H1844" s="72">
        <v>0.12847222222222221</v>
      </c>
      <c r="I1844" s="71" t="b">
        <v>1</v>
      </c>
      <c r="J1844" s="71">
        <v>70</v>
      </c>
      <c r="K1844" s="71">
        <v>84</v>
      </c>
      <c r="L1844" s="71">
        <v>92</v>
      </c>
      <c r="M1844" s="71">
        <v>11</v>
      </c>
      <c r="N1844" s="71">
        <v>46</v>
      </c>
      <c r="O1844" s="71">
        <v>0</v>
      </c>
      <c r="P1844" s="71">
        <v>12</v>
      </c>
      <c r="Q1844" s="71">
        <v>53</v>
      </c>
      <c r="R1844" s="71">
        <v>93</v>
      </c>
      <c r="S1844" s="71" t="s">
        <v>61</v>
      </c>
      <c r="T1844" s="73">
        <v>45730</v>
      </c>
      <c r="U1844" s="71" t="s">
        <v>4284</v>
      </c>
      <c r="V1844" s="71" t="b">
        <v>0</v>
      </c>
    </row>
    <row r="1845" spans="1:22" ht="17.25">
      <c r="A1845" s="70">
        <v>1370</v>
      </c>
      <c r="B1845" s="70" t="s">
        <v>139</v>
      </c>
      <c r="C1845" s="70" t="s">
        <v>138</v>
      </c>
      <c r="D1845" s="70" t="s">
        <v>137</v>
      </c>
      <c r="E1845" s="70" t="s">
        <v>136</v>
      </c>
      <c r="F1845" s="71">
        <v>99</v>
      </c>
      <c r="G1845" s="71">
        <v>91</v>
      </c>
      <c r="H1845" s="72">
        <v>0.24722222222222223</v>
      </c>
      <c r="I1845" s="71" t="b">
        <v>0</v>
      </c>
      <c r="J1845" s="71">
        <v>44</v>
      </c>
      <c r="K1845" s="71">
        <v>95</v>
      </c>
      <c r="L1845" s="71">
        <v>91</v>
      </c>
      <c r="M1845" s="71">
        <v>5</v>
      </c>
      <c r="N1845" s="71">
        <v>9</v>
      </c>
      <c r="O1845" s="71">
        <v>8</v>
      </c>
      <c r="P1845" s="71">
        <v>11</v>
      </c>
      <c r="Q1845" s="71">
        <v>62</v>
      </c>
      <c r="R1845" s="71">
        <v>125</v>
      </c>
      <c r="S1845" s="71" t="s">
        <v>135</v>
      </c>
      <c r="T1845" s="73">
        <v>31979</v>
      </c>
      <c r="U1845" s="71" t="s">
        <v>4285</v>
      </c>
      <c r="V1845" s="71" t="b">
        <v>0</v>
      </c>
    </row>
    <row r="1846" spans="1:22" ht="17.25">
      <c r="A1846" s="70">
        <v>1372</v>
      </c>
      <c r="B1846" s="70" t="s">
        <v>132</v>
      </c>
      <c r="C1846" s="70" t="s">
        <v>131</v>
      </c>
      <c r="D1846" s="70" t="s">
        <v>130</v>
      </c>
      <c r="E1846" s="70" t="s">
        <v>129</v>
      </c>
      <c r="F1846" s="71">
        <v>26</v>
      </c>
      <c r="G1846" s="71">
        <v>6</v>
      </c>
      <c r="H1846" s="72">
        <v>0.13750000000000001</v>
      </c>
      <c r="I1846" s="71" t="b">
        <v>0</v>
      </c>
      <c r="J1846" s="71">
        <v>36</v>
      </c>
      <c r="K1846" s="71">
        <v>12</v>
      </c>
      <c r="L1846" s="71">
        <v>49</v>
      </c>
      <c r="M1846" s="71">
        <v>52</v>
      </c>
      <c r="N1846" s="71">
        <v>46</v>
      </c>
      <c r="O1846" s="71">
        <v>7</v>
      </c>
      <c r="P1846" s="71">
        <v>15</v>
      </c>
      <c r="Q1846" s="71">
        <v>32</v>
      </c>
      <c r="R1846" s="71">
        <v>91</v>
      </c>
      <c r="S1846" s="71" t="s">
        <v>128</v>
      </c>
      <c r="T1846" s="73">
        <v>45662</v>
      </c>
      <c r="U1846" s="71" t="s">
        <v>3505</v>
      </c>
      <c r="V1846" s="71" t="b">
        <v>0</v>
      </c>
    </row>
    <row r="1847" spans="1:22" ht="17.25">
      <c r="A1847" s="70">
        <v>1373</v>
      </c>
      <c r="B1847" s="70" t="s">
        <v>127</v>
      </c>
      <c r="C1847" s="70" t="s">
        <v>126</v>
      </c>
      <c r="D1847" s="70" t="s">
        <v>125</v>
      </c>
      <c r="E1847" s="70" t="s">
        <v>124</v>
      </c>
      <c r="F1847" s="71">
        <v>1</v>
      </c>
      <c r="G1847" s="71">
        <v>107</v>
      </c>
      <c r="H1847" s="72">
        <v>0.11874999999999999</v>
      </c>
      <c r="I1847" s="71" t="b">
        <v>0</v>
      </c>
      <c r="J1847" s="71">
        <v>66</v>
      </c>
      <c r="K1847" s="71">
        <v>76</v>
      </c>
      <c r="L1847" s="71">
        <v>94</v>
      </c>
      <c r="M1847" s="71">
        <v>3</v>
      </c>
      <c r="N1847" s="71">
        <v>0</v>
      </c>
      <c r="O1847" s="71">
        <v>0</v>
      </c>
      <c r="P1847" s="71">
        <v>19</v>
      </c>
      <c r="Q1847" s="71">
        <v>84</v>
      </c>
      <c r="R1847" s="71">
        <v>116</v>
      </c>
      <c r="S1847" s="71" t="s">
        <v>115</v>
      </c>
      <c r="T1847" s="73">
        <v>45492</v>
      </c>
      <c r="U1847" s="71" t="s">
        <v>3874</v>
      </c>
      <c r="V1847" s="71" t="b">
        <v>0</v>
      </c>
    </row>
    <row r="1848" spans="1:22" ht="17.25">
      <c r="A1848" s="70">
        <v>1374</v>
      </c>
      <c r="B1848" s="70" t="s">
        <v>123</v>
      </c>
      <c r="C1848" s="70" t="s">
        <v>122</v>
      </c>
      <c r="D1848" s="70" t="s">
        <v>121</v>
      </c>
      <c r="E1848" s="70" t="s">
        <v>120</v>
      </c>
      <c r="F1848" s="71">
        <v>21</v>
      </c>
      <c r="G1848" s="71">
        <v>34</v>
      </c>
      <c r="H1848" s="72">
        <v>0.14027777777777778</v>
      </c>
      <c r="I1848" s="71" t="b">
        <v>0</v>
      </c>
      <c r="J1848" s="71">
        <v>62</v>
      </c>
      <c r="K1848" s="71">
        <v>60</v>
      </c>
      <c r="L1848" s="71">
        <v>75</v>
      </c>
      <c r="M1848" s="71">
        <v>5</v>
      </c>
      <c r="N1848" s="71">
        <v>40</v>
      </c>
      <c r="O1848" s="71">
        <v>0</v>
      </c>
      <c r="P1848" s="71">
        <v>10</v>
      </c>
      <c r="Q1848" s="71">
        <v>42</v>
      </c>
      <c r="R1848" s="71">
        <v>88</v>
      </c>
      <c r="S1848" s="71" t="s">
        <v>74</v>
      </c>
      <c r="T1848" s="73">
        <v>45513</v>
      </c>
      <c r="U1848" s="71" t="s">
        <v>4286</v>
      </c>
      <c r="V1848" s="71" t="b">
        <v>0</v>
      </c>
    </row>
    <row r="1849" spans="1:22" ht="17.25">
      <c r="A1849" s="70">
        <v>1375</v>
      </c>
      <c r="B1849" s="70" t="s">
        <v>119</v>
      </c>
      <c r="C1849" s="70" t="s">
        <v>118</v>
      </c>
      <c r="D1849" s="70" t="s">
        <v>117</v>
      </c>
      <c r="E1849" s="70" t="s">
        <v>116</v>
      </c>
      <c r="F1849" s="71">
        <v>163</v>
      </c>
      <c r="G1849" s="71">
        <v>1</v>
      </c>
      <c r="H1849" s="72" t="s">
        <v>4315</v>
      </c>
      <c r="I1849" s="71" t="b">
        <v>0</v>
      </c>
      <c r="J1849" s="71">
        <v>74</v>
      </c>
      <c r="K1849" s="71">
        <v>76</v>
      </c>
      <c r="L1849" s="71">
        <v>74</v>
      </c>
      <c r="M1849" s="71">
        <v>7</v>
      </c>
      <c r="N1849" s="71">
        <v>16</v>
      </c>
      <c r="O1849" s="71">
        <v>0</v>
      </c>
      <c r="P1849" s="71">
        <v>14</v>
      </c>
      <c r="Q1849" s="71">
        <v>66</v>
      </c>
      <c r="R1849" s="71">
        <v>130</v>
      </c>
      <c r="S1849" s="71" t="s">
        <v>115</v>
      </c>
      <c r="T1849" s="73" t="s">
        <v>4375</v>
      </c>
      <c r="U1849" s="71" t="s">
        <v>4059</v>
      </c>
      <c r="V1849" s="71" t="b">
        <v>0</v>
      </c>
    </row>
    <row r="1850" spans="1:22" ht="17.25">
      <c r="A1850" s="70">
        <v>1376</v>
      </c>
      <c r="B1850" s="70" t="s">
        <v>114</v>
      </c>
      <c r="C1850" s="70" t="s">
        <v>113</v>
      </c>
      <c r="D1850" s="70" t="s">
        <v>112</v>
      </c>
      <c r="E1850" s="70" t="s">
        <v>44</v>
      </c>
      <c r="F1850" s="71">
        <v>119</v>
      </c>
      <c r="G1850" s="71">
        <v>6</v>
      </c>
      <c r="H1850" s="72" t="s">
        <v>4315</v>
      </c>
      <c r="I1850" s="71" t="b">
        <v>1</v>
      </c>
      <c r="J1850" s="71">
        <v>66</v>
      </c>
      <c r="K1850" s="71">
        <v>54</v>
      </c>
      <c r="L1850" s="71">
        <v>71</v>
      </c>
      <c r="M1850" s="71">
        <v>5</v>
      </c>
      <c r="N1850" s="71">
        <v>42</v>
      </c>
      <c r="O1850" s="71">
        <v>0</v>
      </c>
      <c r="P1850" s="71">
        <v>11</v>
      </c>
      <c r="Q1850" s="71">
        <v>46</v>
      </c>
      <c r="R1850" s="71">
        <v>120</v>
      </c>
      <c r="S1850" s="71" t="s">
        <v>96</v>
      </c>
      <c r="T1850" s="73" t="s">
        <v>4388</v>
      </c>
      <c r="U1850" s="71" t="s">
        <v>4287</v>
      </c>
      <c r="V1850" s="71" t="b">
        <v>0</v>
      </c>
    </row>
    <row r="1851" spans="1:22" ht="17.25">
      <c r="A1851" s="70">
        <v>1377</v>
      </c>
      <c r="B1851" s="70" t="s">
        <v>111</v>
      </c>
      <c r="C1851" s="70" t="s">
        <v>110</v>
      </c>
      <c r="D1851" s="70" t="s">
        <v>109</v>
      </c>
      <c r="E1851" s="70" t="s">
        <v>108</v>
      </c>
      <c r="F1851" s="71">
        <v>170</v>
      </c>
      <c r="G1851" s="71">
        <v>1</v>
      </c>
      <c r="H1851" s="72" t="s">
        <v>4320</v>
      </c>
      <c r="I1851" s="71" t="b">
        <v>1</v>
      </c>
      <c r="J1851" s="71">
        <v>78</v>
      </c>
      <c r="K1851" s="71">
        <v>65</v>
      </c>
      <c r="L1851" s="71">
        <v>71</v>
      </c>
      <c r="M1851" s="71">
        <v>12</v>
      </c>
      <c r="N1851" s="71">
        <v>23</v>
      </c>
      <c r="O1851" s="71">
        <v>0</v>
      </c>
      <c r="P1851" s="71">
        <v>14</v>
      </c>
      <c r="Q1851" s="71">
        <v>69</v>
      </c>
      <c r="R1851" s="71">
        <v>90</v>
      </c>
      <c r="S1851" s="71" t="s">
        <v>48</v>
      </c>
      <c r="T1851" s="73" t="s">
        <v>4351</v>
      </c>
      <c r="U1851" s="71" t="s">
        <v>4288</v>
      </c>
      <c r="V1851" s="71" t="b">
        <v>0</v>
      </c>
    </row>
    <row r="1852" spans="1:22" ht="17.25">
      <c r="A1852" s="70">
        <v>1378</v>
      </c>
      <c r="B1852" s="70" t="s">
        <v>107</v>
      </c>
      <c r="C1852" s="70" t="s">
        <v>106</v>
      </c>
      <c r="D1852" s="70" t="s">
        <v>105</v>
      </c>
      <c r="E1852" s="70" t="s">
        <v>104</v>
      </c>
      <c r="F1852" s="71">
        <v>29</v>
      </c>
      <c r="G1852" s="71">
        <v>12</v>
      </c>
      <c r="H1852" s="72" t="s">
        <v>4357</v>
      </c>
      <c r="I1852" s="71" t="b">
        <v>0</v>
      </c>
      <c r="J1852" s="71">
        <v>55</v>
      </c>
      <c r="K1852" s="71">
        <v>44</v>
      </c>
      <c r="L1852" s="71">
        <v>71</v>
      </c>
      <c r="M1852" s="71">
        <v>4</v>
      </c>
      <c r="N1852" s="71">
        <v>67</v>
      </c>
      <c r="O1852" s="71">
        <v>0</v>
      </c>
      <c r="P1852" s="71">
        <v>11</v>
      </c>
      <c r="Q1852" s="71">
        <v>35</v>
      </c>
      <c r="R1852" s="71">
        <v>120</v>
      </c>
      <c r="S1852" s="71" t="s">
        <v>96</v>
      </c>
      <c r="T1852" s="73" t="s">
        <v>4358</v>
      </c>
      <c r="U1852" s="71" t="s">
        <v>3825</v>
      </c>
      <c r="V1852" s="71" t="b">
        <v>0</v>
      </c>
    </row>
    <row r="1853" spans="1:22" ht="17.25">
      <c r="A1853" s="70">
        <v>1379</v>
      </c>
      <c r="B1853" s="70" t="s">
        <v>103</v>
      </c>
      <c r="C1853" s="70" t="s">
        <v>102</v>
      </c>
      <c r="D1853" s="70" t="s">
        <v>101</v>
      </c>
      <c r="E1853" s="70" t="s">
        <v>100</v>
      </c>
      <c r="F1853" s="71">
        <v>8</v>
      </c>
      <c r="G1853" s="71">
        <v>47</v>
      </c>
      <c r="H1853" s="72">
        <v>0.11458333333333333</v>
      </c>
      <c r="I1853" s="71" t="b">
        <v>0</v>
      </c>
      <c r="J1853" s="71">
        <v>72</v>
      </c>
      <c r="K1853" s="71">
        <v>52</v>
      </c>
      <c r="L1853" s="71">
        <v>90</v>
      </c>
      <c r="M1853" s="71">
        <v>3</v>
      </c>
      <c r="N1853" s="71">
        <v>43</v>
      </c>
      <c r="O1853" s="71">
        <v>0</v>
      </c>
      <c r="P1853" s="71">
        <v>9</v>
      </c>
      <c r="Q1853" s="71">
        <v>34</v>
      </c>
      <c r="R1853" s="71">
        <v>105</v>
      </c>
      <c r="S1853" s="71" t="s">
        <v>29</v>
      </c>
      <c r="T1853" s="73">
        <v>43021</v>
      </c>
      <c r="U1853" s="71" t="s">
        <v>3606</v>
      </c>
      <c r="V1853" s="71" t="b">
        <v>1</v>
      </c>
    </row>
    <row r="1854" spans="1:22" ht="17.25">
      <c r="A1854" s="70">
        <v>1380</v>
      </c>
      <c r="B1854" s="70" t="s">
        <v>99</v>
      </c>
      <c r="C1854" s="70" t="s">
        <v>97</v>
      </c>
      <c r="D1854" s="70" t="s">
        <v>98</v>
      </c>
      <c r="E1854" s="70" t="s">
        <v>97</v>
      </c>
      <c r="F1854" s="71">
        <v>4</v>
      </c>
      <c r="G1854" s="71">
        <v>1</v>
      </c>
      <c r="H1854" s="72" t="s">
        <v>4320</v>
      </c>
      <c r="I1854" s="71" t="b">
        <v>0</v>
      </c>
      <c r="J1854" s="71">
        <v>64</v>
      </c>
      <c r="K1854" s="71">
        <v>66</v>
      </c>
      <c r="L1854" s="71">
        <v>73</v>
      </c>
      <c r="M1854" s="71">
        <v>4</v>
      </c>
      <c r="N1854" s="71">
        <v>27</v>
      </c>
      <c r="O1854" s="71">
        <v>0</v>
      </c>
      <c r="P1854" s="71">
        <v>20</v>
      </c>
      <c r="Q1854" s="71">
        <v>56</v>
      </c>
      <c r="R1854" s="71">
        <v>135</v>
      </c>
      <c r="S1854" s="71" t="s">
        <v>96</v>
      </c>
      <c r="T1854" s="73" t="s">
        <v>4364</v>
      </c>
      <c r="U1854" s="71" t="s">
        <v>3550</v>
      </c>
      <c r="V1854" s="71" t="b">
        <v>0</v>
      </c>
    </row>
    <row r="1855" spans="1:22" ht="17.25">
      <c r="A1855" s="70">
        <v>1381</v>
      </c>
      <c r="B1855" s="70" t="s">
        <v>95</v>
      </c>
      <c r="C1855" s="70" t="s">
        <v>94</v>
      </c>
      <c r="D1855" s="70" t="s">
        <v>93</v>
      </c>
      <c r="E1855" s="70" t="s">
        <v>92</v>
      </c>
      <c r="F1855" s="71">
        <v>4</v>
      </c>
      <c r="G1855" s="71">
        <v>58</v>
      </c>
      <c r="H1855" s="72">
        <v>9.0972222222222218E-2</v>
      </c>
      <c r="I1855" s="71" t="b">
        <v>0</v>
      </c>
      <c r="J1855" s="71">
        <v>60</v>
      </c>
      <c r="K1855" s="71">
        <v>62</v>
      </c>
      <c r="L1855" s="71">
        <v>77</v>
      </c>
      <c r="M1855" s="71">
        <v>4</v>
      </c>
      <c r="N1855" s="71">
        <v>40</v>
      </c>
      <c r="O1855" s="71">
        <v>0</v>
      </c>
      <c r="P1855" s="71">
        <v>15</v>
      </c>
      <c r="Q1855" s="71">
        <v>82</v>
      </c>
      <c r="R1855" s="71">
        <v>120</v>
      </c>
      <c r="S1855" s="71" t="s">
        <v>29</v>
      </c>
      <c r="T1855" s="73">
        <v>21125</v>
      </c>
      <c r="U1855" s="71" t="s">
        <v>4289</v>
      </c>
      <c r="V1855" s="71" t="b">
        <v>1</v>
      </c>
    </row>
    <row r="1856" spans="1:22" ht="17.25">
      <c r="A1856" s="70">
        <v>1382</v>
      </c>
      <c r="B1856" s="70" t="s">
        <v>91</v>
      </c>
      <c r="C1856" s="70" t="s">
        <v>4851</v>
      </c>
      <c r="D1856" s="70" t="s">
        <v>90</v>
      </c>
      <c r="E1856" s="70" t="s">
        <v>89</v>
      </c>
      <c r="F1856" s="71">
        <v>172</v>
      </c>
      <c r="G1856" s="71">
        <v>3</v>
      </c>
      <c r="H1856" s="72" t="s">
        <v>4352</v>
      </c>
      <c r="I1856" s="71" t="b">
        <v>1</v>
      </c>
      <c r="J1856" s="71">
        <v>76</v>
      </c>
      <c r="K1856" s="71">
        <v>74</v>
      </c>
      <c r="L1856" s="71">
        <v>74</v>
      </c>
      <c r="M1856" s="71">
        <v>11</v>
      </c>
      <c r="N1856" s="71">
        <v>18</v>
      </c>
      <c r="O1856" s="71">
        <v>0</v>
      </c>
      <c r="P1856" s="71">
        <v>13</v>
      </c>
      <c r="Q1856" s="71">
        <v>65</v>
      </c>
      <c r="R1856" s="71">
        <v>130</v>
      </c>
      <c r="S1856" s="71" t="s">
        <v>88</v>
      </c>
      <c r="T1856" s="73" t="s">
        <v>4351</v>
      </c>
      <c r="U1856" s="71" t="s">
        <v>4232</v>
      </c>
      <c r="V1856" s="71" t="b">
        <v>0</v>
      </c>
    </row>
    <row r="1857" spans="1:22" ht="17.25">
      <c r="A1857" s="70">
        <v>1382</v>
      </c>
      <c r="B1857" s="70" t="s">
        <v>91</v>
      </c>
      <c r="C1857" s="70" t="s">
        <v>89</v>
      </c>
      <c r="D1857" s="70" t="s">
        <v>90</v>
      </c>
      <c r="E1857" s="70" t="s">
        <v>89</v>
      </c>
      <c r="F1857" s="71">
        <v>172</v>
      </c>
      <c r="G1857" s="71">
        <v>3</v>
      </c>
      <c r="H1857" s="72" t="s">
        <v>4352</v>
      </c>
      <c r="I1857" s="71" t="b">
        <v>1</v>
      </c>
      <c r="J1857" s="71">
        <v>76</v>
      </c>
      <c r="K1857" s="71">
        <v>74</v>
      </c>
      <c r="L1857" s="71">
        <v>74</v>
      </c>
      <c r="M1857" s="71">
        <v>11</v>
      </c>
      <c r="N1857" s="71">
        <v>18</v>
      </c>
      <c r="O1857" s="71">
        <v>0</v>
      </c>
      <c r="P1857" s="71">
        <v>13</v>
      </c>
      <c r="Q1857" s="71">
        <v>65</v>
      </c>
      <c r="R1857" s="71">
        <v>130</v>
      </c>
      <c r="S1857" s="71" t="s">
        <v>88</v>
      </c>
      <c r="T1857" s="73" t="s">
        <v>4351</v>
      </c>
      <c r="U1857" s="71" t="s">
        <v>4232</v>
      </c>
      <c r="V1857" s="71" t="b">
        <v>0</v>
      </c>
    </row>
    <row r="1858" spans="1:22" ht="17.25">
      <c r="A1858" s="70">
        <v>1383</v>
      </c>
      <c r="B1858" s="70" t="s">
        <v>87</v>
      </c>
      <c r="C1858" s="70" t="s">
        <v>86</v>
      </c>
      <c r="D1858" s="70" t="s">
        <v>85</v>
      </c>
      <c r="E1858" s="70" t="s">
        <v>84</v>
      </c>
      <c r="F1858" s="71">
        <v>98</v>
      </c>
      <c r="G1858" s="71">
        <v>1</v>
      </c>
      <c r="H1858" s="72">
        <v>0.30763888888888891</v>
      </c>
      <c r="I1858" s="71" t="b">
        <v>0</v>
      </c>
      <c r="J1858" s="71">
        <v>35</v>
      </c>
      <c r="K1858" s="71">
        <v>75</v>
      </c>
      <c r="L1858" s="71">
        <v>89</v>
      </c>
      <c r="M1858" s="71">
        <v>4</v>
      </c>
      <c r="N1858" s="71">
        <v>0</v>
      </c>
      <c r="O1858" s="71">
        <v>0</v>
      </c>
      <c r="P1858" s="71">
        <v>65</v>
      </c>
      <c r="Q1858" s="71">
        <v>32</v>
      </c>
      <c r="R1858" s="71">
        <v>103</v>
      </c>
      <c r="S1858" s="71" t="s">
        <v>83</v>
      </c>
      <c r="T1858" s="73">
        <v>33498</v>
      </c>
      <c r="U1858" s="71" t="s">
        <v>4290</v>
      </c>
      <c r="V1858" s="71" t="b">
        <v>0</v>
      </c>
    </row>
    <row r="1859" spans="1:22" ht="17.25">
      <c r="A1859" s="70">
        <v>1385</v>
      </c>
      <c r="B1859" s="70" t="s">
        <v>78</v>
      </c>
      <c r="C1859" s="70" t="s">
        <v>77</v>
      </c>
      <c r="D1859" s="70" t="s">
        <v>76</v>
      </c>
      <c r="E1859" s="70" t="s">
        <v>75</v>
      </c>
      <c r="F1859" s="71">
        <v>194</v>
      </c>
      <c r="G1859" s="71">
        <v>5</v>
      </c>
      <c r="H1859" s="72">
        <v>0.13750000000000001</v>
      </c>
      <c r="I1859" s="71" t="b">
        <v>0</v>
      </c>
      <c r="J1859" s="71">
        <v>49</v>
      </c>
      <c r="K1859" s="71">
        <v>41</v>
      </c>
      <c r="L1859" s="71">
        <v>89</v>
      </c>
      <c r="M1859" s="71">
        <v>3</v>
      </c>
      <c r="N1859" s="71">
        <v>59</v>
      </c>
      <c r="O1859" s="71">
        <v>0</v>
      </c>
      <c r="P1859" s="71">
        <v>6</v>
      </c>
      <c r="Q1859" s="71">
        <v>25</v>
      </c>
      <c r="R1859" s="71">
        <v>136</v>
      </c>
      <c r="S1859" s="71" t="s">
        <v>74</v>
      </c>
      <c r="T1859" s="73">
        <v>44736</v>
      </c>
      <c r="U1859" s="71" t="s">
        <v>4044</v>
      </c>
      <c r="V1859" s="71" t="b">
        <v>0</v>
      </c>
    </row>
    <row r="1860" spans="1:22" ht="17.25">
      <c r="A1860" s="70">
        <v>1386</v>
      </c>
      <c r="B1860" s="70" t="s">
        <v>73</v>
      </c>
      <c r="C1860" s="70" t="s">
        <v>72</v>
      </c>
      <c r="D1860" s="70" t="s">
        <v>71</v>
      </c>
      <c r="E1860" s="70" t="s">
        <v>70</v>
      </c>
      <c r="F1860" s="71">
        <v>81</v>
      </c>
      <c r="G1860" s="71">
        <v>3</v>
      </c>
      <c r="H1860" s="72">
        <v>0.22916666666666666</v>
      </c>
      <c r="I1860" s="71" t="b">
        <v>0</v>
      </c>
      <c r="J1860" s="71">
        <v>43</v>
      </c>
      <c r="K1860" s="71">
        <v>72</v>
      </c>
      <c r="L1860" s="71">
        <v>90</v>
      </c>
      <c r="M1860" s="71">
        <v>6</v>
      </c>
      <c r="N1860" s="71">
        <v>14</v>
      </c>
      <c r="O1860" s="71">
        <v>0</v>
      </c>
      <c r="P1860" s="71">
        <v>37</v>
      </c>
      <c r="Q1860" s="71">
        <v>19</v>
      </c>
      <c r="R1860" s="71">
        <v>130</v>
      </c>
      <c r="S1860" s="71" t="s">
        <v>69</v>
      </c>
      <c r="T1860" s="73">
        <v>30358</v>
      </c>
      <c r="U1860" s="71" t="s">
        <v>4291</v>
      </c>
      <c r="V1860" s="71" t="b">
        <v>0</v>
      </c>
    </row>
    <row r="1861" spans="1:22" ht="17.25">
      <c r="A1861" s="70">
        <v>1387</v>
      </c>
      <c r="B1861" s="70" t="s">
        <v>68</v>
      </c>
      <c r="C1861" s="70" t="s">
        <v>67</v>
      </c>
      <c r="D1861" s="70" t="s">
        <v>66</v>
      </c>
      <c r="E1861" s="70" t="s">
        <v>65</v>
      </c>
      <c r="F1861" s="71">
        <v>86</v>
      </c>
      <c r="G1861" s="71">
        <v>1</v>
      </c>
      <c r="H1861" s="72">
        <v>0.11666666666666667</v>
      </c>
      <c r="I1861" s="71" t="b">
        <v>1</v>
      </c>
      <c r="J1861" s="71">
        <v>70</v>
      </c>
      <c r="K1861" s="71">
        <v>86</v>
      </c>
      <c r="L1861" s="71">
        <v>93</v>
      </c>
      <c r="M1861" s="71">
        <v>4</v>
      </c>
      <c r="N1861" s="71">
        <v>0</v>
      </c>
      <c r="O1861" s="71">
        <v>0</v>
      </c>
      <c r="P1861" s="71">
        <v>10</v>
      </c>
      <c r="Q1861" s="71">
        <v>53</v>
      </c>
      <c r="R1861" s="71">
        <v>143</v>
      </c>
      <c r="S1861" s="71" t="s">
        <v>48</v>
      </c>
      <c r="T1861" s="73">
        <v>45730</v>
      </c>
      <c r="U1861" s="71" t="s">
        <v>3386</v>
      </c>
      <c r="V1861" s="71" t="b">
        <v>0</v>
      </c>
    </row>
    <row r="1862" spans="1:22" ht="17.25">
      <c r="A1862" s="70">
        <v>1388</v>
      </c>
      <c r="B1862" s="70" t="s">
        <v>64</v>
      </c>
      <c r="C1862" s="70" t="s">
        <v>1987</v>
      </c>
      <c r="D1862" s="70" t="s">
        <v>63</v>
      </c>
      <c r="E1862" s="70" t="s">
        <v>62</v>
      </c>
      <c r="F1862" s="71">
        <v>70</v>
      </c>
      <c r="G1862" s="71">
        <v>4</v>
      </c>
      <c r="H1862" s="72">
        <v>0.12847222222222221</v>
      </c>
      <c r="I1862" s="71" t="b">
        <v>1</v>
      </c>
      <c r="J1862" s="71">
        <v>78</v>
      </c>
      <c r="K1862" s="71">
        <v>74</v>
      </c>
      <c r="L1862" s="71">
        <v>80</v>
      </c>
      <c r="M1862" s="71">
        <v>10</v>
      </c>
      <c r="N1862" s="71">
        <v>15</v>
      </c>
      <c r="O1862" s="71">
        <v>0</v>
      </c>
      <c r="P1862" s="71">
        <v>12</v>
      </c>
      <c r="Q1862" s="71">
        <v>58</v>
      </c>
      <c r="R1862" s="71">
        <v>108</v>
      </c>
      <c r="S1862" s="71" t="s">
        <v>61</v>
      </c>
      <c r="T1862" s="73">
        <v>45765</v>
      </c>
      <c r="U1862" s="71" t="s">
        <v>3961</v>
      </c>
      <c r="V1862" s="71" t="b">
        <v>0</v>
      </c>
    </row>
    <row r="1863" spans="1:22" ht="17.25">
      <c r="A1863" s="70">
        <v>1388</v>
      </c>
      <c r="B1863" s="70" t="s">
        <v>64</v>
      </c>
      <c r="C1863" s="70" t="s">
        <v>141</v>
      </c>
      <c r="D1863" s="70" t="s">
        <v>63</v>
      </c>
      <c r="E1863" s="70" t="s">
        <v>62</v>
      </c>
      <c r="F1863" s="71">
        <v>70</v>
      </c>
      <c r="G1863" s="71">
        <v>4</v>
      </c>
      <c r="H1863" s="72">
        <v>0.12847222222222221</v>
      </c>
      <c r="I1863" s="71" t="b">
        <v>1</v>
      </c>
      <c r="J1863" s="71">
        <v>78</v>
      </c>
      <c r="K1863" s="71">
        <v>74</v>
      </c>
      <c r="L1863" s="71">
        <v>80</v>
      </c>
      <c r="M1863" s="71">
        <v>10</v>
      </c>
      <c r="N1863" s="71">
        <v>15</v>
      </c>
      <c r="O1863" s="71">
        <v>0</v>
      </c>
      <c r="P1863" s="71">
        <v>12</v>
      </c>
      <c r="Q1863" s="71">
        <v>58</v>
      </c>
      <c r="R1863" s="71">
        <v>108</v>
      </c>
      <c r="S1863" s="71" t="s">
        <v>61</v>
      </c>
      <c r="T1863" s="73">
        <v>45765</v>
      </c>
      <c r="U1863" s="71" t="s">
        <v>3961</v>
      </c>
      <c r="V1863" s="71" t="b">
        <v>0</v>
      </c>
    </row>
    <row r="1864" spans="1:22" ht="17.25">
      <c r="A1864" s="70">
        <v>1389</v>
      </c>
      <c r="B1864" s="70" t="s">
        <v>60</v>
      </c>
      <c r="C1864" s="70" t="s">
        <v>59</v>
      </c>
      <c r="D1864" s="70" t="s">
        <v>58</v>
      </c>
      <c r="E1864" s="70" t="s">
        <v>57</v>
      </c>
      <c r="F1864" s="71">
        <v>87</v>
      </c>
      <c r="G1864" s="71">
        <v>3</v>
      </c>
      <c r="H1864" s="72" t="s">
        <v>4315</v>
      </c>
      <c r="I1864" s="71" t="b">
        <v>1</v>
      </c>
      <c r="J1864" s="71">
        <v>70</v>
      </c>
      <c r="K1864" s="71">
        <v>58</v>
      </c>
      <c r="L1864" s="71">
        <v>70</v>
      </c>
      <c r="M1864" s="71">
        <v>6</v>
      </c>
      <c r="N1864" s="71">
        <v>38</v>
      </c>
      <c r="O1864" s="71">
        <v>0</v>
      </c>
      <c r="P1864" s="71">
        <v>14</v>
      </c>
      <c r="Q1864" s="71">
        <v>53</v>
      </c>
      <c r="R1864" s="71">
        <v>105</v>
      </c>
      <c r="S1864" s="71" t="s">
        <v>56</v>
      </c>
      <c r="T1864" s="73" t="s">
        <v>4388</v>
      </c>
      <c r="U1864" s="71" t="s">
        <v>4292</v>
      </c>
      <c r="V1864" s="71" t="b">
        <v>0</v>
      </c>
    </row>
    <row r="1865" spans="1:22" ht="17.25">
      <c r="A1865" s="70">
        <v>1390</v>
      </c>
      <c r="B1865" s="70" t="s">
        <v>55</v>
      </c>
      <c r="C1865" s="70" t="s">
        <v>54</v>
      </c>
      <c r="D1865" s="70" t="s">
        <v>53</v>
      </c>
      <c r="E1865" s="70" t="s">
        <v>52</v>
      </c>
      <c r="F1865" s="71">
        <v>15</v>
      </c>
      <c r="G1865" s="71">
        <v>48</v>
      </c>
      <c r="H1865" s="72">
        <v>0.12708333333333333</v>
      </c>
      <c r="I1865" s="71" t="b">
        <v>0</v>
      </c>
      <c r="J1865" s="71">
        <v>62</v>
      </c>
      <c r="K1865" s="71">
        <v>62</v>
      </c>
      <c r="L1865" s="71">
        <v>77</v>
      </c>
      <c r="M1865" s="71">
        <v>5</v>
      </c>
      <c r="N1865" s="71">
        <v>30</v>
      </c>
      <c r="O1865" s="71">
        <v>0</v>
      </c>
      <c r="P1865" s="71">
        <v>14</v>
      </c>
      <c r="Q1865" s="71">
        <v>78</v>
      </c>
      <c r="R1865" s="71">
        <v>120</v>
      </c>
      <c r="S1865" s="71" t="s">
        <v>29</v>
      </c>
      <c r="T1865" s="73">
        <v>40833</v>
      </c>
      <c r="U1865" s="71" t="s">
        <v>4293</v>
      </c>
      <c r="V1865" s="71" t="b">
        <v>1</v>
      </c>
    </row>
    <row r="1866" spans="1:22" ht="17.25">
      <c r="A1866" s="70">
        <v>1392</v>
      </c>
      <c r="B1866" s="70" t="s">
        <v>47</v>
      </c>
      <c r="C1866" s="70" t="s">
        <v>46</v>
      </c>
      <c r="D1866" s="70" t="s">
        <v>45</v>
      </c>
      <c r="E1866" s="70" t="s">
        <v>44</v>
      </c>
      <c r="F1866" s="71">
        <v>1</v>
      </c>
      <c r="G1866" s="71">
        <v>46</v>
      </c>
      <c r="H1866" s="72" t="s">
        <v>4326</v>
      </c>
      <c r="I1866" s="71" t="b">
        <v>0</v>
      </c>
      <c r="J1866" s="71">
        <v>65</v>
      </c>
      <c r="K1866" s="71">
        <v>73</v>
      </c>
      <c r="L1866" s="71">
        <v>73</v>
      </c>
      <c r="M1866" s="71">
        <v>4</v>
      </c>
      <c r="N1866" s="71">
        <v>22</v>
      </c>
      <c r="O1866" s="71">
        <v>0</v>
      </c>
      <c r="P1866" s="71">
        <v>33</v>
      </c>
      <c r="Q1866" s="71">
        <v>74</v>
      </c>
      <c r="R1866" s="71">
        <v>116</v>
      </c>
      <c r="S1866" s="71" t="s">
        <v>43</v>
      </c>
      <c r="T1866" s="73" t="s">
        <v>4388</v>
      </c>
      <c r="U1866" s="71" t="s">
        <v>4294</v>
      </c>
      <c r="V1866" s="71" t="b">
        <v>0</v>
      </c>
    </row>
    <row r="1867" spans="1:22" ht="17.25">
      <c r="A1867" s="70">
        <v>1393</v>
      </c>
      <c r="B1867" s="70" t="s">
        <v>42</v>
      </c>
      <c r="C1867" s="70" t="s">
        <v>4871</v>
      </c>
      <c r="D1867" s="70" t="s">
        <v>41</v>
      </c>
      <c r="E1867" s="70" t="s">
        <v>40</v>
      </c>
      <c r="F1867" s="71">
        <v>174</v>
      </c>
      <c r="G1867" s="71">
        <v>1</v>
      </c>
      <c r="H1867" s="72" t="s">
        <v>4317</v>
      </c>
      <c r="I1867" s="71" t="b">
        <v>1</v>
      </c>
      <c r="J1867" s="71">
        <v>76</v>
      </c>
      <c r="K1867" s="71">
        <v>55</v>
      </c>
      <c r="L1867" s="71">
        <v>71</v>
      </c>
      <c r="M1867" s="71">
        <v>16</v>
      </c>
      <c r="N1867" s="71">
        <v>33</v>
      </c>
      <c r="O1867" s="71">
        <v>0</v>
      </c>
      <c r="P1867" s="71">
        <v>11</v>
      </c>
      <c r="Q1867" s="71">
        <v>50</v>
      </c>
      <c r="R1867" s="71">
        <v>140</v>
      </c>
      <c r="S1867" s="71" t="s">
        <v>39</v>
      </c>
      <c r="T1867" s="73" t="s">
        <v>4354</v>
      </c>
      <c r="U1867" s="71" t="s">
        <v>4295</v>
      </c>
      <c r="V1867" s="71" t="b">
        <v>0</v>
      </c>
    </row>
    <row r="1868" spans="1:22" ht="17.25">
      <c r="A1868" s="70">
        <v>1393</v>
      </c>
      <c r="B1868" s="70" t="s">
        <v>42</v>
      </c>
      <c r="C1868" s="70" t="s">
        <v>4554</v>
      </c>
      <c r="D1868" s="70" t="s">
        <v>41</v>
      </c>
      <c r="E1868" s="70" t="s">
        <v>40</v>
      </c>
      <c r="F1868" s="71">
        <v>174</v>
      </c>
      <c r="G1868" s="71">
        <v>1</v>
      </c>
      <c r="H1868" s="72" t="s">
        <v>4317</v>
      </c>
      <c r="I1868" s="71" t="b">
        <v>1</v>
      </c>
      <c r="J1868" s="71">
        <v>76</v>
      </c>
      <c r="K1868" s="71">
        <v>55</v>
      </c>
      <c r="L1868" s="71">
        <v>71</v>
      </c>
      <c r="M1868" s="71">
        <v>16</v>
      </c>
      <c r="N1868" s="71">
        <v>33</v>
      </c>
      <c r="O1868" s="71">
        <v>0</v>
      </c>
      <c r="P1868" s="71">
        <v>11</v>
      </c>
      <c r="Q1868" s="71">
        <v>50</v>
      </c>
      <c r="R1868" s="71">
        <v>140</v>
      </c>
      <c r="S1868" s="71" t="s">
        <v>39</v>
      </c>
      <c r="T1868" s="73" t="s">
        <v>4354</v>
      </c>
      <c r="U1868" s="71" t="s">
        <v>4295</v>
      </c>
      <c r="V1868" s="71" t="b">
        <v>0</v>
      </c>
    </row>
    <row r="1869" spans="1:22" ht="17.25">
      <c r="A1869" s="70">
        <v>1394</v>
      </c>
      <c r="B1869" s="70" t="s">
        <v>38</v>
      </c>
      <c r="C1869" s="70" t="s">
        <v>37</v>
      </c>
      <c r="D1869" s="70" t="s">
        <v>36</v>
      </c>
      <c r="E1869" s="70" t="s">
        <v>35</v>
      </c>
      <c r="F1869" s="71">
        <v>136</v>
      </c>
      <c r="G1869" s="71">
        <v>27</v>
      </c>
      <c r="H1869" s="72">
        <v>0.16875000000000001</v>
      </c>
      <c r="I1869" s="71" t="b">
        <v>1</v>
      </c>
      <c r="J1869" s="71">
        <v>77</v>
      </c>
      <c r="K1869" s="71">
        <v>68</v>
      </c>
      <c r="L1869" s="71">
        <v>92</v>
      </c>
      <c r="M1869" s="71">
        <v>4</v>
      </c>
      <c r="N1869" s="71">
        <v>1</v>
      </c>
      <c r="O1869" s="71">
        <v>0</v>
      </c>
      <c r="P1869" s="71">
        <v>9</v>
      </c>
      <c r="Q1869" s="71">
        <v>84</v>
      </c>
      <c r="R1869" s="71">
        <v>128</v>
      </c>
      <c r="S1869" s="71" t="s">
        <v>34</v>
      </c>
      <c r="T1869" s="73">
        <v>40501</v>
      </c>
      <c r="U1869" s="71" t="s">
        <v>3721</v>
      </c>
      <c r="V1869" s="71" t="b">
        <v>0</v>
      </c>
    </row>
    <row r="1870" spans="1:22" ht="17.25">
      <c r="A1870" s="70">
        <v>1395</v>
      </c>
      <c r="B1870" s="70" t="s">
        <v>33</v>
      </c>
      <c r="C1870" s="70" t="s">
        <v>32</v>
      </c>
      <c r="D1870" s="70" t="s">
        <v>31</v>
      </c>
      <c r="E1870" s="70" t="s">
        <v>30</v>
      </c>
      <c r="F1870" s="71">
        <v>37</v>
      </c>
      <c r="G1870" s="71">
        <v>6</v>
      </c>
      <c r="H1870" s="72">
        <v>0.11388888888888889</v>
      </c>
      <c r="I1870" s="71" t="b">
        <v>0</v>
      </c>
      <c r="J1870" s="71">
        <v>72</v>
      </c>
      <c r="K1870" s="71">
        <v>72</v>
      </c>
      <c r="L1870" s="71">
        <v>79</v>
      </c>
      <c r="M1870" s="71">
        <v>8</v>
      </c>
      <c r="N1870" s="71">
        <v>15</v>
      </c>
      <c r="O1870" s="71">
        <v>0</v>
      </c>
      <c r="P1870" s="71">
        <v>12</v>
      </c>
      <c r="Q1870" s="71">
        <v>78</v>
      </c>
      <c r="R1870" s="71">
        <v>138</v>
      </c>
      <c r="S1870" s="71" t="s">
        <v>29</v>
      </c>
      <c r="T1870" s="73">
        <v>45261</v>
      </c>
      <c r="U1870" s="71" t="s">
        <v>4296</v>
      </c>
      <c r="V1870" s="71" t="b">
        <v>1</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6655E70-428D-4CAE-96A5-539335F1A5D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Summary</vt:lpstr>
      <vt:lpstr>Song Dashboard</vt:lpstr>
      <vt:lpstr>Analytics</vt:lpstr>
      <vt:lpstr>Statistical Summary</vt:lpstr>
      <vt:lpstr>Data Descriptions</vt:lpstr>
      <vt:lpstr>Project Requirements</vt:lpstr>
      <vt:lpstr>Raw_Data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Katie Sly</dc:creator>
  <cp:lastModifiedBy>German Andres Vargas</cp:lastModifiedBy>
  <cp:lastPrinted>2026-10-05T03:03:27Z</cp:lastPrinted>
  <dcterms:created xsi:type="dcterms:W3CDTF">2025-03-01T05:04:34Z</dcterms:created>
  <dcterms:modified xsi:type="dcterms:W3CDTF">2026-10-05T21:50:16Z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2026-10-04T03:58:46Z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42804ae1-d2e9-40b7-a4a3-45811234298b</vt:lpwstr>
  </property>
  <property fmtid="{D5CDD505-2E9C-101B-9397-08002B2CF9AE}" pid="7" name="MSIP_Label_defa4170-0d19-0005-0004-bc88714345d2_ActionId">
    <vt:lpwstr>cd32f93a-01cb-40d6-bbcc-3d52e5983c38</vt:lpwstr>
  </property>
  <property fmtid="{D5CDD505-2E9C-101B-9397-08002B2CF9AE}" pid="8" name="MSIP_Label_defa4170-0d19-0005-0004-bc88714345d2_ContentBits">
    <vt:lpwstr>0</vt:lpwstr>
  </property>
  <property fmtid="{D5CDD505-2E9C-101B-9397-08002B2CF9AE}" pid="9" name="MSIP_Label_defa4170-0d19-0005-0004-bc88714345d2_Tag">
    <vt:lpwstr>10, 3, 0, 1</vt:lpwstr>
  </property>
</Properties>
</file>